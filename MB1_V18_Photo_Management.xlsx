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aea63832a04691" /></Relationships>
</file>

<file path=xl/workbook.xml><?xml version="1.0" encoding="utf-8"?>
<x:workbook xmlns:x="http://schemas.openxmlformats.org/spreadsheetml/2006/main">
  <x:sheets>
    <x:sheet xmlns:r="http://schemas.openxmlformats.org/officeDocument/2006/relationships" name="Photo Management" sheetId="1" r:id="R3f59bc9c40854835"/>
    <x:sheet xmlns:r="http://schemas.openxmlformats.org/officeDocument/2006/relationships" name="Photo Types &amp; Naming" sheetId="2" r:id="Rd0082ef732cd4df7"/>
    <x:sheet xmlns:r="http://schemas.openxmlformats.org/officeDocument/2006/relationships" name="Gallery Summary" sheetId="3" r:id="Rc5b9d6710c2849a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5">
    <x:font>
      <x:sz val="11"/>
      <x:name val="Carlito"/>
    </x:font>
    <x:font>
      <x:b/>
      <x:sz val="11"/>
      <x:color rgb="FFFFFFFF"/>
      <x:name val="Carlito"/>
    </x:font>
    <x:font>
      <x:b/>
      <x:sz val="16"/>
      <x:color rgb="FFFFFFFF"/>
      <x:name val="Carlito"/>
    </x:font>
    <x:font>
      <x:b/>
      <x:sz val="11"/>
      <x:color rgb="FF68727B"/>
      <x:name val="Carlito"/>
    </x:font>
    <x:font>
      <x:b/>
      <x:sz val="16"/>
      <x:color rgb="FF18212A"/>
      <x:name val="Carlito"/>
    </x:font>
  </x:fonts>
  <x:fills count="3">
    <x:fill>
      <x:patternFill patternType="none"/>
    </x:fill>
    <x:fill>
      <x:patternFill patternType="gray125"/>
    </x:fill>
    <x:fill>
      <x:patternFill patternType="solid">
        <x:fgColor rgb="FF18212A"/>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3" fillId="0" borderId="0"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3" fillId="0" borderId="0" xfId="0" applyNumberFormat="1" applyFont="1" applyFill="1" applyBorder="1" applyAlignment="1">
      <x:alignment horizontal="center"/>
    </x:xf>
    <x:xf numFmtId="0" fontId="4" fillId="0" borderId="0" xfId="0" applyNumberFormat="1" applyFont="1" applyFill="1" applyBorder="1" applyAlignment="1">
      <x:alignment horizontal="center"/>
    </x:xf>
    <x:xf numFmtId="0" fontId="3" fillId="0" borderId="1" xfId="0" applyNumberFormat="1" applyFont="1" applyFill="1" applyBorder="1" applyAlignment="1">
      <x:alignment horizontal="center"/>
    </x:xf>
    <x:xf numFmtId="0" fontId="4" fillId="0"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200" fontId="0" fillId="0" borderId="1" xfId="0" applyNumberFormat="1" applyFont="1" applyFill="1" applyBorder="1" applyAlignment="1">
      <x:alignment wrapText="1"/>
    </x:xf>
  </x:cellXfs>
  <x:cellStyles count="1">
    <x:cellStyle name="Normal" xfId="0"/>
  </x:cellStyles>
  <x:dxfs count="3">
    <x:dxf>
      <x:font>
        <x:b/>
        <x:color rgb="FF166534"/>
      </x:font>
      <x:fill>
        <x:patternFill patternType="solid">
          <x:bgColor rgb="FFE3F4E8"/>
        </x:patternFill>
      </x:fill>
    </x:dxf>
    <x:dxf>
      <x:font>
        <x:color rgb="FF7A4E00"/>
      </x:font>
      <x:fill>
        <x:patternFill patternType="solid">
          <x:bgColor rgb="FFFFF3CD"/>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3b5597a3344e14" /><Relationship Type="http://schemas.openxmlformats.org/officeDocument/2006/relationships/theme" Target="/xl/theme/theme1.xml" Id="R355ef3e4634b4c94" /><Relationship Type="http://schemas.openxmlformats.org/officeDocument/2006/relationships/sharedStrings" Target="/xl/sharedStrings.xml" Id="R301c3d849c05436b" /><Relationship Type="http://schemas.openxmlformats.org/officeDocument/2006/relationships/worksheet" Target="/xl/worksheets/sheet1.xml" Id="R3f59bc9c40854835" /><Relationship Type="http://schemas.openxmlformats.org/officeDocument/2006/relationships/worksheet" Target="/xl/worksheets/sheet2.xml" Id="Rd0082ef732cd4df7" /><Relationship Type="http://schemas.openxmlformats.org/officeDocument/2006/relationships/worksheet" Target="/xl/worksheets/sheet3.xml" Id="Rc5b9d6710c2849ae" /></Relationships>
</file>

<file path=xl/drawings/_rels/drawing1.xml.rels>&#65279;<?xml version="1.0" encoding="utf-8"?><Relationships xmlns="http://schemas.openxmlformats.org/package/2006/relationships"><Relationship Type="http://schemas.openxmlformats.org/officeDocument/2006/relationships/chart" Target="/xl/drawings/charts/chart1.xml" Id="R6d60d00ce234498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Product Gallery Readiness</a:t>
            </a:r>
          </a:p>
        </c:rich>
      </c:tx>
    </c:title>
    <c:plotArea>
      <c:barChart>
        <c:barDir val="col"/>
        <c:varyColors val="0"/>
        <c:ser>
          <c:idx val="0"/>
          <c:order val="0"/>
          <c:tx>
            <c:v>Products</c:v>
          </c:tx>
          <c:cat>
            <c:strRef>
              <c:f>'Gallery Summary'!$D$8:$D$10</c:f>
              <c:strCache>
                <c:ptCount val="0"/>
              </c:strCache>
            </c:strRef>
          </c:cat>
          <c:val>
            <c:numRef>
              <c:f>'Gallery Summary'!$E$8:$E$10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11</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d60d00ce2344985"/>
        </a:graphicData>
      </a:graphic>
    </xdr:graphicFrame>
    <xdr:clientData/>
  </xdr:twoCellAnchor>
</xdr:wsDr>
</file>

<file path=xl/tables/table1.xml><?xml version="1.0" encoding="utf-8"?>
<x:table xmlns:x="http://schemas.openxmlformats.org/spreadsheetml/2006/main" id="2" name="PhotoManagementTable" displayName="PhotoManagementTable" ref="A1:R1398" headerRowCount="1" totalsRowCount="0" totalsRowShown="0">
  <x:tableColumns count="18">
    <x:tableColumn id="1" name="Design Number"/>
    <x:tableColumn id="2" name="SKU"/>
    <x:tableColumn id="3" name="Product Name"/>
    <x:tableColumn id="4" name="Primary Category"/>
    <x:tableColumn id="5" name="Main Photo URL"/>
    <x:tableColumn id="6" name="Photo 2 URL"/>
    <x:tableColumn id="7" name="Photo 2 Type"/>
    <x:tableColumn id="8" name="Photo 3 URL"/>
    <x:tableColumn id="9" name="Photo 3 Type"/>
    <x:tableColumn id="10" name="Photo 4 URL"/>
    <x:tableColumn id="11" name="Photo 4 Type"/>
    <x:tableColumn id="12" name="Photo 5 URL"/>
    <x:tableColumn id="13" name="Photo 5 Type"/>
    <x:tableColumn id="14" name="Photo Count"/>
    <x:tableColumn id="15" name="Gallery Status"/>
    <x:tableColumn id="16" name="Naming Prefix"/>
    <x:tableColumn id="17" name="Direct Product Link"/>
    <x:tableColumn id="18" name="Review Notes"/>
  </x:tableColumns>
  <x:tableStyleInfo name="TableStyleMedium2" showFirstColumn="0" showLastColumn="0" showRowStripes="1" showColumnStripes="0"/>
</x:table>
</file>

<file path=xl/tables/table2.xml><?xml version="1.0" encoding="utf-8"?>
<x:table xmlns:x="http://schemas.openxmlformats.org/spreadsheetml/2006/main" id="1" name="PhotoTypesTable" displayName="PhotoTypesTable" ref="A1:D9" headerRowCount="1" totalsRowCount="0" totalsRowShown="0">
  <x:tableColumns count="4">
    <x:tableColumn id="1" name="Photo Type"/>
    <x:tableColumn id="2" name="Recommended Filename Suffix"/>
    <x:tableColumn id="3" name="Best Use"/>
    <x:tableColumn id="4" name="Notes"/>
  </x:tableColumns>
  <x:tableStyleInfo name="TableStyleMedium2" showFirstColumn="0" showLastColumn="0" showRowStripes="1" showColumnStripes="0"/>
</x:table>
</file>

<file path=xl/tables/table3.xml><?xml version="1.0" encoding="utf-8"?>
<x:table xmlns:x="http://schemas.openxmlformats.org/spreadsheetml/2006/main" id="3" name="GalleryMetricsTable" displayName="GalleryMetricsTable" ref="A7:B12" headerRowCount="1" totalsRowCount="0" totalsRowShown="0">
  <x:tableColumns count="2">
    <x:tableColumn id="1" name="Metric"/>
    <x:tableColumn id="2" name="Val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b8e581c9c74879" /></Relationships>
</file>

<file path=xl/worksheets/_rels/sheet2.xml.rels>&#65279;<?xml version="1.0" encoding="utf-8"?><Relationships xmlns="http://schemas.openxmlformats.org/package/2006/relationships"><Relationship Type="http://schemas.openxmlformats.org/officeDocument/2006/relationships/table" Target="/xl/tables/table2.xml" Id="Rb6381d8a7b3b4738" /></Relationships>
</file>

<file path=xl/worksheets/_rels/sheet3.xml.rels>&#65279;<?xml version="1.0" encoding="utf-8"?><Relationships xmlns="http://schemas.openxmlformats.org/package/2006/relationships"><Relationship Type="http://schemas.openxmlformats.org/officeDocument/2006/relationships/drawing" Target="/xl/drawings/drawing1.xml" Id="R29bf91454f4b4b7e" /><Relationship Type="http://schemas.openxmlformats.org/officeDocument/2006/relationships/table" Target="/xl/tables/table3.xml" Id="Rbbd74186602f4122"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34" hidden="0" customWidth="1"/>
    <x:col min="4" max="4" width="25" hidden="0" customWidth="1"/>
    <x:col min="5" max="5" width="52" hidden="0" customWidth="1"/>
    <x:col min="6" max="6" width="52" hidden="0" customWidth="1"/>
    <x:col min="7" max="7" width="20" hidden="0" customWidth="1"/>
    <x:col min="8" max="8" width="52" hidden="0" customWidth="1"/>
    <x:col min="9" max="9" width="20" hidden="0" customWidth="1"/>
    <x:col min="10" max="10" width="52" hidden="0" customWidth="1"/>
    <x:col min="11" max="11" width="20" hidden="0" customWidth="1"/>
    <x:col min="12" max="12" width="52" hidden="0" customWidth="1"/>
    <x:col min="13" max="13" width="20" hidden="0" customWidth="1"/>
    <x:col min="14" max="14" width="12" hidden="0" customWidth="1"/>
    <x:col min="15" max="15" width="16" hidden="0" customWidth="1"/>
    <x:col min="16" max="16" width="16" hidden="0" customWidth="1"/>
    <x:col min="17" max="17" width="55" hidden="0" customWidth="1"/>
    <x:col min="18" max="18" width="40" hidden="0" customWidth="1"/>
  </x:cols>
  <x:sheetData>
    <x:row r="1" ht="32" customHeight="1">
      <x:c r="A1" s="12" t="str">
        <x:v>Design Number</x:v>
      </x:c>
      <x:c r="B1" s="12" t="str">
        <x:v>SKU</x:v>
      </x:c>
      <x:c r="C1" s="12" t="str">
        <x:v>Product Name</x:v>
      </x:c>
      <x:c r="D1" s="12" t="str">
        <x:v>Primary Category</x:v>
      </x:c>
      <x:c r="E1" s="12" t="str">
        <x:v>Main Photo URL</x:v>
      </x:c>
      <x:c r="F1" s="12" t="str">
        <x:v>Photo 2 URL</x:v>
      </x:c>
      <x:c r="G1" s="12" t="str">
        <x:v>Photo 2 Type</x:v>
      </x:c>
      <x:c r="H1" s="12" t="str">
        <x:v>Photo 3 URL</x:v>
      </x:c>
      <x:c r="I1" s="12" t="str">
        <x:v>Photo 3 Type</x:v>
      </x:c>
      <x:c r="J1" s="12" t="str">
        <x:v>Photo 4 URL</x:v>
      </x:c>
      <x:c r="K1" s="12" t="str">
        <x:v>Photo 4 Type</x:v>
      </x:c>
      <x:c r="L1" s="12" t="str">
        <x:v>Photo 5 URL</x:v>
      </x:c>
      <x:c r="M1" s="12" t="str">
        <x:v>Photo 5 Type</x:v>
      </x:c>
      <x:c r="N1" s="12" t="str">
        <x:v>Photo Count</x:v>
      </x:c>
      <x:c r="O1" s="12" t="str">
        <x:v>Gallery Status</x:v>
      </x:c>
      <x:c r="P1" s="12" t="str">
        <x:v>Naming Prefix</x:v>
      </x:c>
      <x:c r="Q1" s="12" t="str">
        <x:v>Direct Product Link</x:v>
      </x:c>
      <x:c r="R1" s="12" t="str">
        <x:v>Review Notes</x:v>
      </x:c>
    </x:row>
    <x:row r="2">
      <x:c r="A2" s="13" t="str">
        <x:v>MB1-0002</x:v>
      </x:c>
      <x:c r="B2" s="13" t="str">
        <x:v>MB1-0002</x:v>
      </x:c>
      <x:c r="C2" s="14" t="str">
        <x:v>all gave some 1</x:v>
      </x:c>
      <x:c r="D2" s="14" t="str">
        <x:v>memorial and tribute</x:v>
      </x:c>
      <x:c r="E2" s="14" t="str">
        <x:v>https://res.cloudinary.com/oxygre42/image/upload/f_auto,q_auto,c_pad,b_white,w_1200,h_1200/v1788348698/0002_all_gave_some_1.png</x:v>
      </x:c>
      <x:c r="F2" s="14" t="str"/>
      <x:c r="G2" s="14" t="str">
        <x:v>Lifestyle</x:v>
      </x:c>
      <x:c r="H2" s="14" t="str"/>
      <x:c r="I2" s="14" t="str">
        <x:v>Detail</x:v>
      </x:c>
      <x:c r="J2" s="14" t="str"/>
      <x:c r="K2" s="14" t="str">
        <x:v>Scale</x:v>
      </x:c>
      <x:c r="L2" s="14" t="str"/>
      <x:c r="M2" s="14" t="str">
        <x:v>Alternate</x:v>
      </x:c>
      <x:c r="N2" s="14" t="n">
        <x:f>IF(E2&lt;&gt;"",1,0)+IF(F2&lt;&gt;"",1,0)+IF(H2&lt;&gt;"",1,0)+IF(J2&lt;&gt;"",1,0)+IF(L2&lt;&gt;"",1,0)</x:f>
        <x:v>1</x:v>
      </x:c>
      <x:c r="O2" s="14" t="str">
        <x:f>IF(E2="","MISSING MAIN",IF(N2=1,"MAIN ONLY","MULTI-PHOTO"))</x:f>
        <x:v>MAIN ONLY</x:v>
      </x:c>
      <x:c r="P2" s="14" t="str">
        <x:v>0002_</x:v>
      </x:c>
      <x:c r="Q2" s="14" t="str">
        <x:v>https://mb1advancedsolutions.github.io/mb1-catalog/index.html?design=0002</x:v>
      </x:c>
      <x:c r="R2" s="14" t="str"/>
    </x:row>
    <x:row r="3">
      <x:c r="A3" s="13" t="str">
        <x:v>MB1-0003</x:v>
      </x:c>
      <x:c r="B3" s="13" t="str">
        <x:v>MB1-0003</x:v>
      </x:c>
      <x:c r="C3" s="14" t="str">
        <x:v>all gave some 2</x:v>
      </x:c>
      <x:c r="D3" s="14" t="str">
        <x:v>memorial and tribute</x:v>
      </x:c>
      <x:c r="E3" s="14" t="str">
        <x:v>https://res.cloudinary.com/oxygre42/image/upload/f_auto,q_auto,c_pad,b_white,w_1200,h_1200/v1788348699/0003_all_gave_some_2.png</x:v>
      </x:c>
      <x:c r="F3" s="14" t="str"/>
      <x:c r="G3" s="14" t="str">
        <x:v>Lifestyle</x:v>
      </x:c>
      <x:c r="H3" s="14" t="str"/>
      <x:c r="I3" s="14" t="str">
        <x:v>Detail</x:v>
      </x:c>
      <x:c r="J3" s="14" t="str"/>
      <x:c r="K3" s="14" t="str">
        <x:v>Scale</x:v>
      </x:c>
      <x:c r="L3" s="14" t="str"/>
      <x:c r="M3" s="14" t="str">
        <x:v>Alternate</x:v>
      </x:c>
      <x:c r="N3" s="14" t="n">
        <x:f>IF(E3&lt;&gt;"",1,0)+IF(F3&lt;&gt;"",1,0)+IF(H3&lt;&gt;"",1,0)+IF(J3&lt;&gt;"",1,0)+IF(L3&lt;&gt;"",1,0)</x:f>
        <x:v>1</x:v>
      </x:c>
      <x:c r="O3" s="14" t="str">
        <x:f>IF(E3="","MISSING MAIN",IF(N3=1,"MAIN ONLY","MULTI-PHOTO"))</x:f>
        <x:v>MAIN ONLY</x:v>
      </x:c>
      <x:c r="P3" s="14" t="str">
        <x:v>0003_</x:v>
      </x:c>
      <x:c r="Q3" s="14" t="str">
        <x:v>https://mb1advancedsolutions.github.io/mb1-catalog/index.html?design=0003</x:v>
      </x:c>
      <x:c r="R3" s="14" t="str"/>
    </x:row>
    <x:row r="4">
      <x:c r="A4" s="13" t="str">
        <x:v>MB1-0004</x:v>
      </x:c>
      <x:c r="B4" s="13" t="str">
        <x:v>MB1-0004</x:v>
      </x:c>
      <x:c r="C4" s="14" t="str">
        <x:v>all gave some 3</x:v>
      </x:c>
      <x:c r="D4" s="14" t="str">
        <x:v>memorial and tribute</x:v>
      </x:c>
      <x:c r="E4" s="14" t="str">
        <x:v>https://res.cloudinary.com/oxygre42/image/upload/f_auto,q_auto,c_pad,b_white,w_1200,h_1200/v1788348702/0004_all_gave_some_3.png</x:v>
      </x:c>
      <x:c r="F4" s="14" t="str"/>
      <x:c r="G4" s="14" t="str">
        <x:v>Lifestyle</x:v>
      </x:c>
      <x:c r="H4" s="14" t="str"/>
      <x:c r="I4" s="14" t="str">
        <x:v>Detail</x:v>
      </x:c>
      <x:c r="J4" s="14" t="str"/>
      <x:c r="K4" s="14" t="str">
        <x:v>Scale</x:v>
      </x:c>
      <x:c r="L4" s="14" t="str"/>
      <x:c r="M4" s="14" t="str">
        <x:v>Alternate</x:v>
      </x:c>
      <x:c r="N4" s="14" t="n">
        <x:f>IF(E4&lt;&gt;"",1,0)+IF(F4&lt;&gt;"",1,0)+IF(H4&lt;&gt;"",1,0)+IF(J4&lt;&gt;"",1,0)+IF(L4&lt;&gt;"",1,0)</x:f>
        <x:v>1</x:v>
      </x:c>
      <x:c r="O4" s="14" t="str">
        <x:f>IF(E4="","MISSING MAIN",IF(N4=1,"MAIN ONLY","MULTI-PHOTO"))</x:f>
        <x:v>MAIN ONLY</x:v>
      </x:c>
      <x:c r="P4" s="14" t="str">
        <x:v>0004_</x:v>
      </x:c>
      <x:c r="Q4" s="14" t="str">
        <x:v>https://mb1advancedsolutions.github.io/mb1-catalog/index.html?design=0004</x:v>
      </x:c>
      <x:c r="R4" s="14" t="str"/>
    </x:row>
    <x:row r="5">
      <x:c r="A5" s="13" t="str">
        <x:v>MB1-0005</x:v>
      </x:c>
      <x:c r="B5" s="13" t="str">
        <x:v>MB1-0005</x:v>
      </x:c>
      <x:c r="C5" s="14" t="str">
        <x:v>all gave some 4</x:v>
      </x:c>
      <x:c r="D5" s="14" t="str">
        <x:v>memorial and tribute</x:v>
      </x:c>
      <x:c r="E5" s="14" t="str">
        <x:v>https://res.cloudinary.com/oxygre42/image/upload/f_auto,q_auto,c_pad,b_white,w_1200,h_1200/v1788348703/0005_all_gave_some_4.png</x:v>
      </x:c>
      <x:c r="F5" s="14" t="str"/>
      <x:c r="G5" s="14" t="str">
        <x:v>Lifestyle</x:v>
      </x:c>
      <x:c r="H5" s="14" t="str"/>
      <x:c r="I5" s="14" t="str">
        <x:v>Detail</x:v>
      </x:c>
      <x:c r="J5" s="14" t="str"/>
      <x:c r="K5" s="14" t="str">
        <x:v>Scale</x:v>
      </x:c>
      <x:c r="L5" s="14" t="str"/>
      <x:c r="M5" s="14" t="str">
        <x:v>Alternate</x:v>
      </x:c>
      <x:c r="N5" s="14" t="n">
        <x:f>IF(E5&lt;&gt;"",1,0)+IF(F5&lt;&gt;"",1,0)+IF(H5&lt;&gt;"",1,0)+IF(J5&lt;&gt;"",1,0)+IF(L5&lt;&gt;"",1,0)</x:f>
        <x:v>1</x:v>
      </x:c>
      <x:c r="O5" s="14" t="str">
        <x:f>IF(E5="","MISSING MAIN",IF(N5=1,"MAIN ONLY","MULTI-PHOTO"))</x:f>
        <x:v>MAIN ONLY</x:v>
      </x:c>
      <x:c r="P5" s="14" t="str">
        <x:v>0005_</x:v>
      </x:c>
      <x:c r="Q5" s="14" t="str">
        <x:v>https://mb1advancedsolutions.github.io/mb1-catalog/index.html?design=0005</x:v>
      </x:c>
      <x:c r="R5" s="14" t="str"/>
    </x:row>
    <x:row r="6">
      <x:c r="A6" s="13" t="str">
        <x:v>MB1-0031</x:v>
      </x:c>
      <x:c r="B6" s="13" t="str">
        <x:v>MB1-0031</x:v>
      </x:c>
      <x:c r="C6" s="14" t="str">
        <x:v>Anchor Monogram frame</x:v>
      </x:c>
      <x:c r="D6" s="14" t="str">
        <x:v>lake house and nautical</x:v>
      </x:c>
      <x:c r="E6" s="14" t="str">
        <x:v>https://res.cloudinary.com/oxygre42/image/upload/f_auto,q_auto,c_pad,b_white,w_1200,h_1200/v1788348748/0031_Anchor_Monogram_frame.png</x:v>
      </x:c>
      <x:c r="F6" s="14" t="str"/>
      <x:c r="G6" s="14" t="str">
        <x:v>Lifestyle</x:v>
      </x:c>
      <x:c r="H6" s="14" t="str"/>
      <x:c r="I6" s="14" t="str">
        <x:v>Detail</x:v>
      </x:c>
      <x:c r="J6" s="14" t="str"/>
      <x:c r="K6" s="14" t="str">
        <x:v>Scale</x:v>
      </x:c>
      <x:c r="L6" s="14" t="str"/>
      <x:c r="M6" s="14" t="str">
        <x:v>Alternate</x:v>
      </x:c>
      <x:c r="N6" s="14" t="n">
        <x:f>IF(E6&lt;&gt;"",1,0)+IF(F6&lt;&gt;"",1,0)+IF(H6&lt;&gt;"",1,0)+IF(J6&lt;&gt;"",1,0)+IF(L6&lt;&gt;"",1,0)</x:f>
        <x:v>1</x:v>
      </x:c>
      <x:c r="O6" s="14" t="str">
        <x:f>IF(E6="","MISSING MAIN",IF(N6=1,"MAIN ONLY","MULTI-PHOTO"))</x:f>
        <x:v>MAIN ONLY</x:v>
      </x:c>
      <x:c r="P6" s="14" t="str">
        <x:v>0031_</x:v>
      </x:c>
      <x:c r="Q6" s="14" t="str">
        <x:v>https://mb1advancedsolutions.github.io/mb1-catalog/index.html?design=0031</x:v>
      </x:c>
      <x:c r="R6" s="14" t="str"/>
    </x:row>
    <x:row r="7">
      <x:c r="A7" s="13" t="str">
        <x:v>MB1-0032</x:v>
      </x:c>
      <x:c r="B7" s="13" t="str">
        <x:v>MB1-0032</x:v>
      </x:c>
      <x:c r="C7" s="14" t="str">
        <x:v>Good Luck anchor</x:v>
      </x:c>
      <x:c r="D7" s="14" t="str">
        <x:v>lake house and nautical</x:v>
      </x:c>
      <x:c r="E7" s="14" t="str">
        <x:v>https://res.cloudinary.com/oxygre42/image/upload/f_auto,q_auto,c_pad,b_white,w_1200,h_1200/v1788348750/0032_Good_Luck_anchor.png</x:v>
      </x:c>
      <x:c r="F7" s="14" t="str"/>
      <x:c r="G7" s="14" t="str">
        <x:v>Lifestyle</x:v>
      </x:c>
      <x:c r="H7" s="14" t="str"/>
      <x:c r="I7" s="14" t="str">
        <x:v>Detail</x:v>
      </x:c>
      <x:c r="J7" s="14" t="str"/>
      <x:c r="K7" s="14" t="str">
        <x:v>Scale</x:v>
      </x:c>
      <x:c r="L7" s="14" t="str"/>
      <x:c r="M7" s="14" t="str">
        <x:v>Alternate</x:v>
      </x:c>
      <x:c r="N7" s="14" t="n">
        <x:f>IF(E7&lt;&gt;"",1,0)+IF(F7&lt;&gt;"",1,0)+IF(H7&lt;&gt;"",1,0)+IF(J7&lt;&gt;"",1,0)+IF(L7&lt;&gt;"",1,0)</x:f>
        <x:v>1</x:v>
      </x:c>
      <x:c r="O7" s="14" t="str">
        <x:f>IF(E7="","MISSING MAIN",IF(N7=1,"MAIN ONLY","MULTI-PHOTO"))</x:f>
        <x:v>MAIN ONLY</x:v>
      </x:c>
      <x:c r="P7" s="14" t="str">
        <x:v>0032_</x:v>
      </x:c>
      <x:c r="Q7" s="14" t="str">
        <x:v>https://mb1advancedsolutions.github.io/mb1-catalog/index.html?design=0032</x:v>
      </x:c>
      <x:c r="R7" s="14" t="str"/>
    </x:row>
    <x:row r="8">
      <x:c r="A8" s="13" t="str">
        <x:v>MB1-0034</x:v>
      </x:c>
      <x:c r="B8" s="13" t="str">
        <x:v>MB1-0034</x:v>
      </x:c>
      <x:c r="C8" s="14" t="str">
        <x:v>anchor 1</x:v>
      </x:c>
      <x:c r="D8" s="14" t="str">
        <x:v>lake house and nautical</x:v>
      </x:c>
      <x:c r="E8" s="14" t="str">
        <x:v>https://res.cloudinary.com/oxygre42/image/upload/f_auto,q_auto,c_pad,b_white,w_1200,h_1200/v1788348753/0034_anchor_1.png</x:v>
      </x:c>
      <x:c r="F8" s="14" t="str"/>
      <x:c r="G8" s="14" t="str">
        <x:v>Lifestyle</x:v>
      </x:c>
      <x:c r="H8" s="14" t="str"/>
      <x:c r="I8" s="14" t="str">
        <x:v>Detail</x:v>
      </x:c>
      <x:c r="J8" s="14" t="str"/>
      <x:c r="K8" s="14" t="str">
        <x:v>Scale</x:v>
      </x:c>
      <x:c r="L8" s="14" t="str"/>
      <x:c r="M8" s="14" t="str">
        <x:v>Alternate</x:v>
      </x:c>
      <x:c r="N8" s="14" t="n">
        <x:f>IF(E8&lt;&gt;"",1,0)+IF(F8&lt;&gt;"",1,0)+IF(H8&lt;&gt;"",1,0)+IF(J8&lt;&gt;"",1,0)+IF(L8&lt;&gt;"",1,0)</x:f>
        <x:v>1</x:v>
      </x:c>
      <x:c r="O8" s="14" t="str">
        <x:f>IF(E8="","MISSING MAIN",IF(N8=1,"MAIN ONLY","MULTI-PHOTO"))</x:f>
        <x:v>MAIN ONLY</x:v>
      </x:c>
      <x:c r="P8" s="14" t="str">
        <x:v>0034_</x:v>
      </x:c>
      <x:c r="Q8" s="14" t="str">
        <x:v>https://mb1advancedsolutions.github.io/mb1-catalog/index.html?design=0034</x:v>
      </x:c>
      <x:c r="R8" s="14" t="str"/>
    </x:row>
    <x:row r="9">
      <x:c r="A9" s="13" t="str">
        <x:v>MB1-0035</x:v>
      </x:c>
      <x:c r="B9" s="13" t="str">
        <x:v>MB1-0035</x:v>
      </x:c>
      <x:c r="C9" s="14" t="str">
        <x:v>anchor 2</x:v>
      </x:c>
      <x:c r="D9" s="14" t="str">
        <x:v>lake house and nautical</x:v>
      </x:c>
      <x:c r="E9" s="14" t="str">
        <x:v>https://res.cloudinary.com/oxygre42/image/upload/f_auto,q_auto,c_pad,b_white,w_1200,h_1200/v1788348755/0035_anchor_2.png</x:v>
      </x:c>
      <x:c r="F9" s="14" t="str"/>
      <x:c r="G9" s="14" t="str">
        <x:v>Lifestyle</x:v>
      </x:c>
      <x:c r="H9" s="14" t="str"/>
      <x:c r="I9" s="14" t="str">
        <x:v>Detail</x:v>
      </x:c>
      <x:c r="J9" s="14" t="str"/>
      <x:c r="K9" s="14" t="str">
        <x:v>Scale</x:v>
      </x:c>
      <x:c r="L9" s="14" t="str"/>
      <x:c r="M9" s="14" t="str">
        <x:v>Alternate</x:v>
      </x:c>
      <x:c r="N9" s="14" t="n">
        <x:f>IF(E9&lt;&gt;"",1,0)+IF(F9&lt;&gt;"",1,0)+IF(H9&lt;&gt;"",1,0)+IF(J9&lt;&gt;"",1,0)+IF(L9&lt;&gt;"",1,0)</x:f>
        <x:v>1</x:v>
      </x:c>
      <x:c r="O9" s="14" t="str">
        <x:f>IF(E9="","MISSING MAIN",IF(N9=1,"MAIN ONLY","MULTI-PHOTO"))</x:f>
        <x:v>MAIN ONLY</x:v>
      </x:c>
      <x:c r="P9" s="14" t="str">
        <x:v>0035_</x:v>
      </x:c>
      <x:c r="Q9" s="14" t="str">
        <x:v>https://mb1advancedsolutions.github.io/mb1-catalog/index.html?design=0035</x:v>
      </x:c>
      <x:c r="R9" s="14" t="str"/>
    </x:row>
    <x:row r="10">
      <x:c r="A10" s="13" t="str">
        <x:v>MB1-0036</x:v>
      </x:c>
      <x:c r="B10" s="13" t="str">
        <x:v>MB1-0036</x:v>
      </x:c>
      <x:c r="C10" s="14" t="str">
        <x:v>anchor 3</x:v>
      </x:c>
      <x:c r="D10" s="14" t="str">
        <x:v>lake house and nautical</x:v>
      </x:c>
      <x:c r="E10" s="14" t="str">
        <x:v>https://res.cloudinary.com/oxygre42/image/upload/f_auto,q_auto,c_pad,b_white,w_1200,h_1200/v1788348757/0036_anchor_3.png</x:v>
      </x:c>
      <x:c r="F10" s="14" t="str"/>
      <x:c r="G10" s="14" t="str">
        <x:v>Lifestyle</x:v>
      </x:c>
      <x:c r="H10" s="14" t="str"/>
      <x:c r="I10" s="14" t="str">
        <x:v>Detail</x:v>
      </x:c>
      <x:c r="J10" s="14" t="str"/>
      <x:c r="K10" s="14" t="str">
        <x:v>Scale</x:v>
      </x:c>
      <x:c r="L10" s="14" t="str"/>
      <x:c r="M10" s="14" t="str">
        <x:v>Alternate</x:v>
      </x:c>
      <x:c r="N10" s="14" t="n">
        <x:f>IF(E10&lt;&gt;"",1,0)+IF(F10&lt;&gt;"",1,0)+IF(H10&lt;&gt;"",1,0)+IF(J10&lt;&gt;"",1,0)+IF(L10&lt;&gt;"",1,0)</x:f>
        <x:v>1</x:v>
      </x:c>
      <x:c r="O10" s="14" t="str">
        <x:f>IF(E10="","MISSING MAIN",IF(N10=1,"MAIN ONLY","MULTI-PHOTO"))</x:f>
        <x:v>MAIN ONLY</x:v>
      </x:c>
      <x:c r="P10" s="14" t="str">
        <x:v>0036_</x:v>
      </x:c>
      <x:c r="Q10" s="14" t="str">
        <x:v>https://mb1advancedsolutions.github.io/mb1-catalog/index.html?design=0036</x:v>
      </x:c>
      <x:c r="R10" s="14" t="str"/>
    </x:row>
    <x:row r="11">
      <x:c r="A11" s="13" t="str">
        <x:v>MB1-0037</x:v>
      </x:c>
      <x:c r="B11" s="13" t="str">
        <x:v>MB1-0037</x:v>
      </x:c>
      <x:c r="C11" s="14" t="str">
        <x:v>anchor 4</x:v>
      </x:c>
      <x:c r="D11" s="14" t="str">
        <x:v>lake house and nautical</x:v>
      </x:c>
      <x:c r="E11" s="14" t="str">
        <x:v>https://res.cloudinary.com/oxygre42/image/upload/f_auto,q_auto,c_pad,b_white,w_1200,h_1200/v1788348759/0037_anchor_4.png</x:v>
      </x:c>
      <x:c r="F11" s="14" t="str"/>
      <x:c r="G11" s="14" t="str">
        <x:v>Lifestyle</x:v>
      </x:c>
      <x:c r="H11" s="14" t="str"/>
      <x:c r="I11" s="14" t="str">
        <x:v>Detail</x:v>
      </x:c>
      <x:c r="J11" s="14" t="str"/>
      <x:c r="K11" s="14" t="str">
        <x:v>Scale</x:v>
      </x:c>
      <x:c r="L11" s="14" t="str"/>
      <x:c r="M11" s="14" t="str">
        <x:v>Alternate</x:v>
      </x:c>
      <x:c r="N11" s="14" t="n">
        <x:f>IF(E11&lt;&gt;"",1,0)+IF(F11&lt;&gt;"",1,0)+IF(H11&lt;&gt;"",1,0)+IF(J11&lt;&gt;"",1,0)+IF(L11&lt;&gt;"",1,0)</x:f>
        <x:v>1</x:v>
      </x:c>
      <x:c r="O11" s="14" t="str">
        <x:f>IF(E11="","MISSING MAIN",IF(N11=1,"MAIN ONLY","MULTI-PHOTO"))</x:f>
        <x:v>MAIN ONLY</x:v>
      </x:c>
      <x:c r="P11" s="14" t="str">
        <x:v>0037_</x:v>
      </x:c>
      <x:c r="Q11" s="14" t="str">
        <x:v>https://mb1advancedsolutions.github.io/mb1-catalog/index.html?design=0037</x:v>
      </x:c>
      <x:c r="R11" s="14" t="str"/>
    </x:row>
    <x:row r="12">
      <x:c r="A12" s="13" t="str">
        <x:v>MB1-0038</x:v>
      </x:c>
      <x:c r="B12" s="13" t="str">
        <x:v>MB1-0038</x:v>
      </x:c>
      <x:c r="C12" s="14" t="str">
        <x:v>anchor 5</x:v>
      </x:c>
      <x:c r="D12" s="14" t="str">
        <x:v>lake house and nautical</x:v>
      </x:c>
      <x:c r="E12" s="14" t="str">
        <x:v>https://res.cloudinary.com/oxygre42/image/upload/f_auto,q_auto,c_pad,b_white,w_1200,h_1200/v1788348761/0038_anchor_5.png</x:v>
      </x:c>
      <x:c r="F12" s="14" t="str"/>
      <x:c r="G12" s="14" t="str">
        <x:v>Lifestyle</x:v>
      </x:c>
      <x:c r="H12" s="14" t="str"/>
      <x:c r="I12" s="14" t="str">
        <x:v>Detail</x:v>
      </x:c>
      <x:c r="J12" s="14" t="str"/>
      <x:c r="K12" s="14" t="str">
        <x:v>Scale</x:v>
      </x:c>
      <x:c r="L12" s="14" t="str"/>
      <x:c r="M12" s="14" t="str">
        <x:v>Alternate</x:v>
      </x:c>
      <x:c r="N12" s="14" t="n">
        <x:f>IF(E12&lt;&gt;"",1,0)+IF(F12&lt;&gt;"",1,0)+IF(H12&lt;&gt;"",1,0)+IF(J12&lt;&gt;"",1,0)+IF(L12&lt;&gt;"",1,0)</x:f>
        <x:v>1</x:v>
      </x:c>
      <x:c r="O12" s="14" t="str">
        <x:f>IF(E12="","MISSING MAIN",IF(N12=1,"MAIN ONLY","MULTI-PHOTO"))</x:f>
        <x:v>MAIN ONLY</x:v>
      </x:c>
      <x:c r="P12" s="14" t="str">
        <x:v>0038_</x:v>
      </x:c>
      <x:c r="Q12" s="14" t="str">
        <x:v>https://mb1advancedsolutions.github.io/mb1-catalog/index.html?design=0038</x:v>
      </x:c>
      <x:c r="R12" s="14" t="str"/>
    </x:row>
    <x:row r="13">
      <x:c r="A13" s="13" t="str">
        <x:v>MB1-0039</x:v>
      </x:c>
      <x:c r="B13" s="13" t="str">
        <x:v>MB1-0039</x:v>
      </x:c>
      <x:c r="C13" s="14" t="str">
        <x:v>anchor 6</x:v>
      </x:c>
      <x:c r="D13" s="14" t="str">
        <x:v>lake house and nautical</x:v>
      </x:c>
      <x:c r="E13" s="14" t="str">
        <x:v>https://res.cloudinary.com/oxygre42/image/upload/f_auto,q_auto,c_pad,b_white,w_1200,h_1200/v1788348763/0039_anchor_6.png</x:v>
      </x:c>
      <x:c r="F13" s="14" t="str"/>
      <x:c r="G13" s="14" t="str">
        <x:v>Lifestyle</x:v>
      </x:c>
      <x:c r="H13" s="14" t="str"/>
      <x:c r="I13" s="14" t="str">
        <x:v>Detail</x:v>
      </x:c>
      <x:c r="J13" s="14" t="str"/>
      <x:c r="K13" s="14" t="str">
        <x:v>Scale</x:v>
      </x:c>
      <x:c r="L13" s="14" t="str"/>
      <x:c r="M13" s="14" t="str">
        <x:v>Alternate</x:v>
      </x:c>
      <x:c r="N13" s="14" t="n">
        <x:f>IF(E13&lt;&gt;"",1,0)+IF(F13&lt;&gt;"",1,0)+IF(H13&lt;&gt;"",1,0)+IF(J13&lt;&gt;"",1,0)+IF(L13&lt;&gt;"",1,0)</x:f>
        <x:v>1</x:v>
      </x:c>
      <x:c r="O13" s="14" t="str">
        <x:f>IF(E13="","MISSING MAIN",IF(N13=1,"MAIN ONLY","MULTI-PHOTO"))</x:f>
        <x:v>MAIN ONLY</x:v>
      </x:c>
      <x:c r="P13" s="14" t="str">
        <x:v>0039_</x:v>
      </x:c>
      <x:c r="Q13" s="14" t="str">
        <x:v>https://mb1advancedsolutions.github.io/mb1-catalog/index.html?design=0039</x:v>
      </x:c>
      <x:c r="R13" s="14" t="str"/>
    </x:row>
    <x:row r="14">
      <x:c r="A14" s="13" t="str">
        <x:v>MB1-0040</x:v>
      </x:c>
      <x:c r="B14" s="13" t="str">
        <x:v>MB1-0040</x:v>
      </x:c>
      <x:c r="C14" s="14" t="str">
        <x:v>anchor 7</x:v>
      </x:c>
      <x:c r="D14" s="14" t="str">
        <x:v>lake house and nautical</x:v>
      </x:c>
      <x:c r="E14" s="14" t="str">
        <x:v>https://res.cloudinary.com/oxygre42/image/upload/f_auto,q_auto,c_pad,b_white,w_1200,h_1200/v1788348765/0040_anchor_7.png</x:v>
      </x:c>
      <x:c r="F14" s="14" t="str"/>
      <x:c r="G14" s="14" t="str">
        <x:v>Lifestyle</x:v>
      </x:c>
      <x:c r="H14" s="14" t="str"/>
      <x:c r="I14" s="14" t="str">
        <x:v>Detail</x:v>
      </x:c>
      <x:c r="J14" s="14" t="str"/>
      <x:c r="K14" s="14" t="str">
        <x:v>Scale</x:v>
      </x:c>
      <x:c r="L14" s="14" t="str"/>
      <x:c r="M14" s="14" t="str">
        <x:v>Alternate</x:v>
      </x:c>
      <x:c r="N14" s="14" t="n">
        <x:f>IF(E14&lt;&gt;"",1,0)+IF(F14&lt;&gt;"",1,0)+IF(H14&lt;&gt;"",1,0)+IF(J14&lt;&gt;"",1,0)+IF(L14&lt;&gt;"",1,0)</x:f>
        <x:v>1</x:v>
      </x:c>
      <x:c r="O14" s="14" t="str">
        <x:f>IF(E14="","MISSING MAIN",IF(N14=1,"MAIN ONLY","MULTI-PHOTO"))</x:f>
        <x:v>MAIN ONLY</x:v>
      </x:c>
      <x:c r="P14" s="14" t="str">
        <x:v>0040_</x:v>
      </x:c>
      <x:c r="Q14" s="14" t="str">
        <x:v>https://mb1advancedsolutions.github.io/mb1-catalog/index.html?design=0040</x:v>
      </x:c>
      <x:c r="R14" s="14" t="str"/>
    </x:row>
    <x:row r="15">
      <x:c r="A15" s="13" t="str">
        <x:v>MB1-0041</x:v>
      </x:c>
      <x:c r="B15" s="13" t="str">
        <x:v>MB1-0041</x:v>
      </x:c>
      <x:c r="C15" s="14" t="str">
        <x:v>anchor 8</x:v>
      </x:c>
      <x:c r="D15" s="14" t="str">
        <x:v>lake house and nautical</x:v>
      </x:c>
      <x:c r="E15" s="14" t="str">
        <x:v>https://res.cloudinary.com/oxygre42/image/upload/f_auto,q_auto,c_pad,b_white,w_1200,h_1200/v1788348767/0041_anchor_8.png</x:v>
      </x:c>
      <x:c r="F15" s="14" t="str"/>
      <x:c r="G15" s="14" t="str">
        <x:v>Lifestyle</x:v>
      </x:c>
      <x:c r="H15" s="14" t="str"/>
      <x:c r="I15" s="14" t="str">
        <x:v>Detail</x:v>
      </x:c>
      <x:c r="J15" s="14" t="str"/>
      <x:c r="K15" s="14" t="str">
        <x:v>Scale</x:v>
      </x:c>
      <x:c r="L15" s="14" t="str"/>
      <x:c r="M15" s="14" t="str">
        <x:v>Alternate</x:v>
      </x:c>
      <x:c r="N15" s="14" t="n">
        <x:f>IF(E15&lt;&gt;"",1,0)+IF(F15&lt;&gt;"",1,0)+IF(H15&lt;&gt;"",1,0)+IF(J15&lt;&gt;"",1,0)+IF(L15&lt;&gt;"",1,0)</x:f>
        <x:v>1</x:v>
      </x:c>
      <x:c r="O15" s="14" t="str">
        <x:f>IF(E15="","MISSING MAIN",IF(N15=1,"MAIN ONLY","MULTI-PHOTO"))</x:f>
        <x:v>MAIN ONLY</x:v>
      </x:c>
      <x:c r="P15" s="14" t="str">
        <x:v>0041_</x:v>
      </x:c>
      <x:c r="Q15" s="14" t="str">
        <x:v>https://mb1advancedsolutions.github.io/mb1-catalog/index.html?design=0041</x:v>
      </x:c>
      <x:c r="R15" s="14" t="str"/>
    </x:row>
    <x:row r="16">
      <x:c r="A16" s="13" t="str">
        <x:v>MB1-0042</x:v>
      </x:c>
      <x:c r="B16" s="13" t="str">
        <x:v>MB1-0042</x:v>
      </x:c>
      <x:c r="C16" s="14" t="str">
        <x:v>anchor 9</x:v>
      </x:c>
      <x:c r="D16" s="14" t="str">
        <x:v>lake house and nautical</x:v>
      </x:c>
      <x:c r="E16" s="14" t="str">
        <x:v>https://res.cloudinary.com/oxygre42/image/upload/f_auto,q_auto,c_pad,b_white,w_1200,h_1200/v1788348768/0042_anchor_9.png</x:v>
      </x:c>
      <x:c r="F16" s="14" t="str"/>
      <x:c r="G16" s="14" t="str">
        <x:v>Lifestyle</x:v>
      </x:c>
      <x:c r="H16" s="14" t="str"/>
      <x:c r="I16" s="14" t="str">
        <x:v>Detail</x:v>
      </x:c>
      <x:c r="J16" s="14" t="str"/>
      <x:c r="K16" s="14" t="str">
        <x:v>Scale</x:v>
      </x:c>
      <x:c r="L16" s="14" t="str"/>
      <x:c r="M16" s="14" t="str">
        <x:v>Alternate</x:v>
      </x:c>
      <x:c r="N16" s="14" t="n">
        <x:f>IF(E16&lt;&gt;"",1,0)+IF(F16&lt;&gt;"",1,0)+IF(H16&lt;&gt;"",1,0)+IF(J16&lt;&gt;"",1,0)+IF(L16&lt;&gt;"",1,0)</x:f>
        <x:v>1</x:v>
      </x:c>
      <x:c r="O16" s="14" t="str">
        <x:f>IF(E16="","MISSING MAIN",IF(N16=1,"MAIN ONLY","MULTI-PHOTO"))</x:f>
        <x:v>MAIN ONLY</x:v>
      </x:c>
      <x:c r="P16" s="14" t="str">
        <x:v>0042_</x:v>
      </x:c>
      <x:c r="Q16" s="14" t="str">
        <x:v>https://mb1advancedsolutions.github.io/mb1-catalog/index.html?design=0042</x:v>
      </x:c>
      <x:c r="R16" s="14" t="str"/>
    </x:row>
    <x:row r="17">
      <x:c r="A17" s="13" t="str">
        <x:v>MB1-0043</x:v>
      </x:c>
      <x:c r="B17" s="13" t="str">
        <x:v>MB1-0043</x:v>
      </x:c>
      <x:c r="C17" s="14" t="str">
        <x:v>BASEBALL 1</x:v>
      </x:c>
      <x:c r="D17" s="14" t="str">
        <x:v>sports and hobbies</x:v>
      </x:c>
      <x:c r="E17" s="14" t="str">
        <x:v>https://res.cloudinary.com/oxygre42/image/upload/f_auto,q_auto,c_pad,b_white,w_1200,h_1200/v1788348770/0043_BASEBALL_1.png</x:v>
      </x:c>
      <x:c r="F17" s="14" t="str"/>
      <x:c r="G17" s="14" t="str">
        <x:v>Lifestyle</x:v>
      </x:c>
      <x:c r="H17" s="14" t="str"/>
      <x:c r="I17" s="14" t="str">
        <x:v>Detail</x:v>
      </x:c>
      <x:c r="J17" s="14" t="str"/>
      <x:c r="K17" s="14" t="str">
        <x:v>Scale</x:v>
      </x:c>
      <x:c r="L17" s="14" t="str"/>
      <x:c r="M17" s="14" t="str">
        <x:v>Alternate</x:v>
      </x:c>
      <x:c r="N17" s="14" t="n">
        <x:f>IF(E17&lt;&gt;"",1,0)+IF(F17&lt;&gt;"",1,0)+IF(H17&lt;&gt;"",1,0)+IF(J17&lt;&gt;"",1,0)+IF(L17&lt;&gt;"",1,0)</x:f>
        <x:v>1</x:v>
      </x:c>
      <x:c r="O17" s="14" t="str">
        <x:f>IF(E17="","MISSING MAIN",IF(N17=1,"MAIN ONLY","MULTI-PHOTO"))</x:f>
        <x:v>MAIN ONLY</x:v>
      </x:c>
      <x:c r="P17" s="14" t="str">
        <x:v>0043_</x:v>
      </x:c>
      <x:c r="Q17" s="14" t="str">
        <x:v>https://mb1advancedsolutions.github.io/mb1-catalog/index.html?design=0043</x:v>
      </x:c>
      <x:c r="R17" s="14" t="str"/>
    </x:row>
    <x:row r="18">
      <x:c r="A18" s="13" t="str">
        <x:v>MB1-0044</x:v>
      </x:c>
      <x:c r="B18" s="13" t="str">
        <x:v>MB1-0044</x:v>
      </x:c>
      <x:c r="C18" s="14" t="str">
        <x:v>BASEBALL 10</x:v>
      </x:c>
      <x:c r="D18" s="14" t="str">
        <x:v>sports and hobbies</x:v>
      </x:c>
      <x:c r="E18" s="14" t="str">
        <x:v>https://res.cloudinary.com/oxygre42/image/upload/f_auto,q_auto,c_pad,b_white,w_1200,h_1200/v1788348772/0044_BASEBALL_10.png</x:v>
      </x:c>
      <x:c r="F18" s="14" t="str"/>
      <x:c r="G18" s="14" t="str">
        <x:v>Lifestyle</x:v>
      </x:c>
      <x:c r="H18" s="14" t="str"/>
      <x:c r="I18" s="14" t="str">
        <x:v>Detail</x:v>
      </x:c>
      <x:c r="J18" s="14" t="str"/>
      <x:c r="K18" s="14" t="str">
        <x:v>Scale</x:v>
      </x:c>
      <x:c r="L18" s="14" t="str"/>
      <x:c r="M18" s="14" t="str">
        <x:v>Alternate</x:v>
      </x:c>
      <x:c r="N18" s="14" t="n">
        <x:f>IF(E18&lt;&gt;"",1,0)+IF(F18&lt;&gt;"",1,0)+IF(H18&lt;&gt;"",1,0)+IF(J18&lt;&gt;"",1,0)+IF(L18&lt;&gt;"",1,0)</x:f>
        <x:v>1</x:v>
      </x:c>
      <x:c r="O18" s="14" t="str">
        <x:f>IF(E18="","MISSING MAIN",IF(N18=1,"MAIN ONLY","MULTI-PHOTO"))</x:f>
        <x:v>MAIN ONLY</x:v>
      </x:c>
      <x:c r="P18" s="14" t="str">
        <x:v>0044_</x:v>
      </x:c>
      <x:c r="Q18" s="14" t="str">
        <x:v>https://mb1advancedsolutions.github.io/mb1-catalog/index.html?design=0044</x:v>
      </x:c>
      <x:c r="R18" s="14" t="str"/>
    </x:row>
    <x:row r="19">
      <x:c r="A19" s="13" t="str">
        <x:v>MB1-0045</x:v>
      </x:c>
      <x:c r="B19" s="13" t="str">
        <x:v>MB1-0045</x:v>
      </x:c>
      <x:c r="C19" s="14" t="str">
        <x:v>BASEBALL 11</x:v>
      </x:c>
      <x:c r="D19" s="14" t="str">
        <x:v>sports and hobbies</x:v>
      </x:c>
      <x:c r="E19" s="14" t="str">
        <x:v>https://res.cloudinary.com/oxygre42/image/upload/f_auto,q_auto,c_pad,b_white,w_1200,h_1200/v1788348774/0045_BASEBALL_11.png</x:v>
      </x:c>
      <x:c r="F19" s="14" t="str"/>
      <x:c r="G19" s="14" t="str">
        <x:v>Lifestyle</x:v>
      </x:c>
      <x:c r="H19" s="14" t="str"/>
      <x:c r="I19" s="14" t="str">
        <x:v>Detail</x:v>
      </x:c>
      <x:c r="J19" s="14" t="str"/>
      <x:c r="K19" s="14" t="str">
        <x:v>Scale</x:v>
      </x:c>
      <x:c r="L19" s="14" t="str"/>
      <x:c r="M19" s="14" t="str">
        <x:v>Alternate</x:v>
      </x:c>
      <x:c r="N19" s="14" t="n">
        <x:f>IF(E19&lt;&gt;"",1,0)+IF(F19&lt;&gt;"",1,0)+IF(H19&lt;&gt;"",1,0)+IF(J19&lt;&gt;"",1,0)+IF(L19&lt;&gt;"",1,0)</x:f>
        <x:v>1</x:v>
      </x:c>
      <x:c r="O19" s="14" t="str">
        <x:f>IF(E19="","MISSING MAIN",IF(N19=1,"MAIN ONLY","MULTI-PHOTO"))</x:f>
        <x:v>MAIN ONLY</x:v>
      </x:c>
      <x:c r="P19" s="14" t="str">
        <x:v>0045_</x:v>
      </x:c>
      <x:c r="Q19" s="14" t="str">
        <x:v>https://mb1advancedsolutions.github.io/mb1-catalog/index.html?design=0045</x:v>
      </x:c>
      <x:c r="R19" s="14" t="str"/>
    </x:row>
    <x:row r="20">
      <x:c r="A20" s="13" t="str">
        <x:v>MB1-0046</x:v>
      </x:c>
      <x:c r="B20" s="13" t="str">
        <x:v>MB1-0046</x:v>
      </x:c>
      <x:c r="C20" s="14" t="str">
        <x:v>BASEBALL 12</x:v>
      </x:c>
      <x:c r="D20" s="14" t="str">
        <x:v>sports and hobbies</x:v>
      </x:c>
      <x:c r="E20" s="14" t="str">
        <x:v>https://res.cloudinary.com/oxygre42/image/upload/f_auto,q_auto,c_pad,b_white,w_1200,h_1200/v1788348776/0046_BASEBALL_12.png</x:v>
      </x:c>
      <x:c r="F20" s="14" t="str"/>
      <x:c r="G20" s="14" t="str">
        <x:v>Lifestyle</x:v>
      </x:c>
      <x:c r="H20" s="14" t="str"/>
      <x:c r="I20" s="14" t="str">
        <x:v>Detail</x:v>
      </x:c>
      <x:c r="J20" s="14" t="str"/>
      <x:c r="K20" s="14" t="str">
        <x:v>Scale</x:v>
      </x:c>
      <x:c r="L20" s="14" t="str"/>
      <x:c r="M20" s="14" t="str">
        <x:v>Alternate</x:v>
      </x:c>
      <x:c r="N20" s="14" t="n">
        <x:f>IF(E20&lt;&gt;"",1,0)+IF(F20&lt;&gt;"",1,0)+IF(H20&lt;&gt;"",1,0)+IF(J20&lt;&gt;"",1,0)+IF(L20&lt;&gt;"",1,0)</x:f>
        <x:v>1</x:v>
      </x:c>
      <x:c r="O20" s="14" t="str">
        <x:f>IF(E20="","MISSING MAIN",IF(N20=1,"MAIN ONLY","MULTI-PHOTO"))</x:f>
        <x:v>MAIN ONLY</x:v>
      </x:c>
      <x:c r="P20" s="14" t="str">
        <x:v>0046_</x:v>
      </x:c>
      <x:c r="Q20" s="14" t="str">
        <x:v>https://mb1advancedsolutions.github.io/mb1-catalog/index.html?design=0046</x:v>
      </x:c>
      <x:c r="R20" s="14" t="str"/>
    </x:row>
    <x:row r="21">
      <x:c r="A21" s="13" t="str">
        <x:v>MB1-0047</x:v>
      </x:c>
      <x:c r="B21" s="13" t="str">
        <x:v>MB1-0047</x:v>
      </x:c>
      <x:c r="C21" s="14" t="str">
        <x:v>BASEBALL 13</x:v>
      </x:c>
      <x:c r="D21" s="14" t="str">
        <x:v>sports and hobbies</x:v>
      </x:c>
      <x:c r="E21" s="14" t="str">
        <x:v>https://res.cloudinary.com/oxygre42/image/upload/f_auto,q_auto,c_pad,b_white,w_1200,h_1200/v1788348778/0047_BASEBALL_13.png</x:v>
      </x:c>
      <x:c r="F21" s="14" t="str"/>
      <x:c r="G21" s="14" t="str">
        <x:v>Lifestyle</x:v>
      </x:c>
      <x:c r="H21" s="14" t="str"/>
      <x:c r="I21" s="14" t="str">
        <x:v>Detail</x:v>
      </x:c>
      <x:c r="J21" s="14" t="str"/>
      <x:c r="K21" s="14" t="str">
        <x:v>Scale</x:v>
      </x:c>
      <x:c r="L21" s="14" t="str"/>
      <x:c r="M21" s="14" t="str">
        <x:v>Alternate</x:v>
      </x:c>
      <x:c r="N21" s="14" t="n">
        <x:f>IF(E21&lt;&gt;"",1,0)+IF(F21&lt;&gt;"",1,0)+IF(H21&lt;&gt;"",1,0)+IF(J21&lt;&gt;"",1,0)+IF(L21&lt;&gt;"",1,0)</x:f>
        <x:v>1</x:v>
      </x:c>
      <x:c r="O21" s="14" t="str">
        <x:f>IF(E21="","MISSING MAIN",IF(N21=1,"MAIN ONLY","MULTI-PHOTO"))</x:f>
        <x:v>MAIN ONLY</x:v>
      </x:c>
      <x:c r="P21" s="14" t="str">
        <x:v>0047_</x:v>
      </x:c>
      <x:c r="Q21" s="14" t="str">
        <x:v>https://mb1advancedsolutions.github.io/mb1-catalog/index.html?design=0047</x:v>
      </x:c>
      <x:c r="R21" s="14" t="str"/>
    </x:row>
    <x:row r="22">
      <x:c r="A22" s="13" t="str">
        <x:v>MB1-0048</x:v>
      </x:c>
      <x:c r="B22" s="13" t="str">
        <x:v>MB1-0048</x:v>
      </x:c>
      <x:c r="C22" s="14" t="str">
        <x:v>BASEBALL 2</x:v>
      </x:c>
      <x:c r="D22" s="14" t="str">
        <x:v>sports and hobbies</x:v>
      </x:c>
      <x:c r="E22" s="14" t="str">
        <x:v>https://res.cloudinary.com/oxygre42/image/upload/f_auto,q_auto,c_pad,b_white,w_1200,h_1200/v1788348780/0048_BASEBALL_2.png</x:v>
      </x:c>
      <x:c r="F22" s="14" t="str"/>
      <x:c r="G22" s="14" t="str">
        <x:v>Lifestyle</x:v>
      </x:c>
      <x:c r="H22" s="14" t="str"/>
      <x:c r="I22" s="14" t="str">
        <x:v>Detail</x:v>
      </x:c>
      <x:c r="J22" s="14" t="str"/>
      <x:c r="K22" s="14" t="str">
        <x:v>Scale</x:v>
      </x:c>
      <x:c r="L22" s="14" t="str"/>
      <x:c r="M22" s="14" t="str">
        <x:v>Alternate</x:v>
      </x:c>
      <x:c r="N22" s="14" t="n">
        <x:f>IF(E22&lt;&gt;"",1,0)+IF(F22&lt;&gt;"",1,0)+IF(H22&lt;&gt;"",1,0)+IF(J22&lt;&gt;"",1,0)+IF(L22&lt;&gt;"",1,0)</x:f>
        <x:v>1</x:v>
      </x:c>
      <x:c r="O22" s="14" t="str">
        <x:f>IF(E22="","MISSING MAIN",IF(N22=1,"MAIN ONLY","MULTI-PHOTO"))</x:f>
        <x:v>MAIN ONLY</x:v>
      </x:c>
      <x:c r="P22" s="14" t="str">
        <x:v>0048_</x:v>
      </x:c>
      <x:c r="Q22" s="14" t="str">
        <x:v>https://mb1advancedsolutions.github.io/mb1-catalog/index.html?design=0048</x:v>
      </x:c>
      <x:c r="R22" s="14" t="str"/>
    </x:row>
    <x:row r="23">
      <x:c r="A23" s="13" t="str">
        <x:v>MB1-0049</x:v>
      </x:c>
      <x:c r="B23" s="13" t="str">
        <x:v>MB1-0049</x:v>
      </x:c>
      <x:c r="C23" s="14" t="str">
        <x:v>BASEBALL 3</x:v>
      </x:c>
      <x:c r="D23" s="14" t="str">
        <x:v>sports and hobbies</x:v>
      </x:c>
      <x:c r="E23" s="14" t="str">
        <x:v>https://res.cloudinary.com/oxygre42/image/upload/f_auto,q_auto,c_pad,b_white,w_1200,h_1200/v1788348782/0049_BASEBALL_3.png</x:v>
      </x:c>
      <x:c r="F23" s="14" t="str"/>
      <x:c r="G23" s="14" t="str">
        <x:v>Lifestyle</x:v>
      </x:c>
      <x:c r="H23" s="14" t="str"/>
      <x:c r="I23" s="14" t="str">
        <x:v>Detail</x:v>
      </x:c>
      <x:c r="J23" s="14" t="str"/>
      <x:c r="K23" s="14" t="str">
        <x:v>Scale</x:v>
      </x:c>
      <x:c r="L23" s="14" t="str"/>
      <x:c r="M23" s="14" t="str">
        <x:v>Alternate</x:v>
      </x:c>
      <x:c r="N23" s="14" t="n">
        <x:f>IF(E23&lt;&gt;"",1,0)+IF(F23&lt;&gt;"",1,0)+IF(H23&lt;&gt;"",1,0)+IF(J23&lt;&gt;"",1,0)+IF(L23&lt;&gt;"",1,0)</x:f>
        <x:v>1</x:v>
      </x:c>
      <x:c r="O23" s="14" t="str">
        <x:f>IF(E23="","MISSING MAIN",IF(N23=1,"MAIN ONLY","MULTI-PHOTO"))</x:f>
        <x:v>MAIN ONLY</x:v>
      </x:c>
      <x:c r="P23" s="14" t="str">
        <x:v>0049_</x:v>
      </x:c>
      <x:c r="Q23" s="14" t="str">
        <x:v>https://mb1advancedsolutions.github.io/mb1-catalog/index.html?design=0049</x:v>
      </x:c>
      <x:c r="R23" s="14" t="str"/>
    </x:row>
    <x:row r="24">
      <x:c r="A24" s="13" t="str">
        <x:v>MB1-0050</x:v>
      </x:c>
      <x:c r="B24" s="13" t="str">
        <x:v>MB1-0050</x:v>
      </x:c>
      <x:c r="C24" s="14" t="str">
        <x:v>BASEBALL 4</x:v>
      </x:c>
      <x:c r="D24" s="14" t="str">
        <x:v>sports and hobbies</x:v>
      </x:c>
      <x:c r="E24" s="14" t="str">
        <x:v>https://res.cloudinary.com/oxygre42/image/upload/f_auto,q_auto,c_pad,b_white,w_1200,h_1200/v1788348784/0050_BASEBALL_4.png</x:v>
      </x:c>
      <x:c r="F24" s="14" t="str"/>
      <x:c r="G24" s="14" t="str">
        <x:v>Lifestyle</x:v>
      </x:c>
      <x:c r="H24" s="14" t="str"/>
      <x:c r="I24" s="14" t="str">
        <x:v>Detail</x:v>
      </x:c>
      <x:c r="J24" s="14" t="str"/>
      <x:c r="K24" s="14" t="str">
        <x:v>Scale</x:v>
      </x:c>
      <x:c r="L24" s="14" t="str"/>
      <x:c r="M24" s="14" t="str">
        <x:v>Alternate</x:v>
      </x:c>
      <x:c r="N24" s="14" t="n">
        <x:f>IF(E24&lt;&gt;"",1,0)+IF(F24&lt;&gt;"",1,0)+IF(H24&lt;&gt;"",1,0)+IF(J24&lt;&gt;"",1,0)+IF(L24&lt;&gt;"",1,0)</x:f>
        <x:v>1</x:v>
      </x:c>
      <x:c r="O24" s="14" t="str">
        <x:f>IF(E24="","MISSING MAIN",IF(N24=1,"MAIN ONLY","MULTI-PHOTO"))</x:f>
        <x:v>MAIN ONLY</x:v>
      </x:c>
      <x:c r="P24" s="14" t="str">
        <x:v>0050_</x:v>
      </x:c>
      <x:c r="Q24" s="14" t="str">
        <x:v>https://mb1advancedsolutions.github.io/mb1-catalog/index.html?design=0050</x:v>
      </x:c>
      <x:c r="R24" s="14" t="str"/>
    </x:row>
    <x:row r="25">
      <x:c r="A25" s="13" t="str">
        <x:v>MB1-0051</x:v>
      </x:c>
      <x:c r="B25" s="13" t="str">
        <x:v>MB1-0051</x:v>
      </x:c>
      <x:c r="C25" s="14" t="str">
        <x:v>BASEBALL 5</x:v>
      </x:c>
      <x:c r="D25" s="14" t="str">
        <x:v>sports and hobbies</x:v>
      </x:c>
      <x:c r="E25" s="14" t="str">
        <x:v>https://res.cloudinary.com/oxygre42/image/upload/f_auto,q_auto,c_pad,b_white,w_1200,h_1200/v1788348786/0051_BASEBALL_5.png</x:v>
      </x:c>
      <x:c r="F25" s="14" t="str"/>
      <x:c r="G25" s="14" t="str">
        <x:v>Lifestyle</x:v>
      </x:c>
      <x:c r="H25" s="14" t="str"/>
      <x:c r="I25" s="14" t="str">
        <x:v>Detail</x:v>
      </x:c>
      <x:c r="J25" s="14" t="str"/>
      <x:c r="K25" s="14" t="str">
        <x:v>Scale</x:v>
      </x:c>
      <x:c r="L25" s="14" t="str"/>
      <x:c r="M25" s="14" t="str">
        <x:v>Alternate</x:v>
      </x:c>
      <x:c r="N25" s="14" t="n">
        <x:f>IF(E25&lt;&gt;"",1,0)+IF(F25&lt;&gt;"",1,0)+IF(H25&lt;&gt;"",1,0)+IF(J25&lt;&gt;"",1,0)+IF(L25&lt;&gt;"",1,0)</x:f>
        <x:v>1</x:v>
      </x:c>
      <x:c r="O25" s="14" t="str">
        <x:f>IF(E25="","MISSING MAIN",IF(N25=1,"MAIN ONLY","MULTI-PHOTO"))</x:f>
        <x:v>MAIN ONLY</x:v>
      </x:c>
      <x:c r="P25" s="14" t="str">
        <x:v>0051_</x:v>
      </x:c>
      <x:c r="Q25" s="14" t="str">
        <x:v>https://mb1advancedsolutions.github.io/mb1-catalog/index.html?design=0051</x:v>
      </x:c>
      <x:c r="R25" s="14" t="str"/>
    </x:row>
    <x:row r="26">
      <x:c r="A26" s="13" t="str">
        <x:v>MB1-0052</x:v>
      </x:c>
      <x:c r="B26" s="13" t="str">
        <x:v>MB1-0052</x:v>
      </x:c>
      <x:c r="C26" s="14" t="str">
        <x:v>BASEBALL 6</x:v>
      </x:c>
      <x:c r="D26" s="14" t="str">
        <x:v>sports and hobbies</x:v>
      </x:c>
      <x:c r="E26" s="14" t="str">
        <x:v>https://res.cloudinary.com/oxygre42/image/upload/f_auto,q_auto,c_pad,b_white,w_1200,h_1200/v1788348788/0052_BASEBALL_6.png</x:v>
      </x:c>
      <x:c r="F26" s="14" t="str"/>
      <x:c r="G26" s="14" t="str">
        <x:v>Lifestyle</x:v>
      </x:c>
      <x:c r="H26" s="14" t="str"/>
      <x:c r="I26" s="14" t="str">
        <x:v>Detail</x:v>
      </x:c>
      <x:c r="J26" s="14" t="str"/>
      <x:c r="K26" s="14" t="str">
        <x:v>Scale</x:v>
      </x:c>
      <x:c r="L26" s="14" t="str"/>
      <x:c r="M26" s="14" t="str">
        <x:v>Alternate</x:v>
      </x:c>
      <x:c r="N26" s="14" t="n">
        <x:f>IF(E26&lt;&gt;"",1,0)+IF(F26&lt;&gt;"",1,0)+IF(H26&lt;&gt;"",1,0)+IF(J26&lt;&gt;"",1,0)+IF(L26&lt;&gt;"",1,0)</x:f>
        <x:v>1</x:v>
      </x:c>
      <x:c r="O26" s="14" t="str">
        <x:f>IF(E26="","MISSING MAIN",IF(N26=1,"MAIN ONLY","MULTI-PHOTO"))</x:f>
        <x:v>MAIN ONLY</x:v>
      </x:c>
      <x:c r="P26" s="14" t="str">
        <x:v>0052_</x:v>
      </x:c>
      <x:c r="Q26" s="14" t="str">
        <x:v>https://mb1advancedsolutions.github.io/mb1-catalog/index.html?design=0052</x:v>
      </x:c>
      <x:c r="R26" s="14" t="str"/>
    </x:row>
    <x:row r="27">
      <x:c r="A27" s="13" t="str">
        <x:v>MB1-0053</x:v>
      </x:c>
      <x:c r="B27" s="13" t="str">
        <x:v>MB1-0053</x:v>
      </x:c>
      <x:c r="C27" s="14" t="str">
        <x:v>BASEBALL 7</x:v>
      </x:c>
      <x:c r="D27" s="14" t="str">
        <x:v>sports and hobbies</x:v>
      </x:c>
      <x:c r="E27" s="14" t="str">
        <x:v>https://res.cloudinary.com/oxygre42/image/upload/f_auto,q_auto,c_pad,b_white,w_1200,h_1200/v1788348790/0053_BASEBALL_7.png</x:v>
      </x:c>
      <x:c r="F27" s="14" t="str"/>
      <x:c r="G27" s="14" t="str">
        <x:v>Lifestyle</x:v>
      </x:c>
      <x:c r="H27" s="14" t="str"/>
      <x:c r="I27" s="14" t="str">
        <x:v>Detail</x:v>
      </x:c>
      <x:c r="J27" s="14" t="str"/>
      <x:c r="K27" s="14" t="str">
        <x:v>Scale</x:v>
      </x:c>
      <x:c r="L27" s="14" t="str"/>
      <x:c r="M27" s="14" t="str">
        <x:v>Alternate</x:v>
      </x:c>
      <x:c r="N27" s="14" t="n">
        <x:f>IF(E27&lt;&gt;"",1,0)+IF(F27&lt;&gt;"",1,0)+IF(H27&lt;&gt;"",1,0)+IF(J27&lt;&gt;"",1,0)+IF(L27&lt;&gt;"",1,0)</x:f>
        <x:v>1</x:v>
      </x:c>
      <x:c r="O27" s="14" t="str">
        <x:f>IF(E27="","MISSING MAIN",IF(N27=1,"MAIN ONLY","MULTI-PHOTO"))</x:f>
        <x:v>MAIN ONLY</x:v>
      </x:c>
      <x:c r="P27" s="14" t="str">
        <x:v>0053_</x:v>
      </x:c>
      <x:c r="Q27" s="14" t="str">
        <x:v>https://mb1advancedsolutions.github.io/mb1-catalog/index.html?design=0053</x:v>
      </x:c>
      <x:c r="R27" s="14" t="str"/>
    </x:row>
    <x:row r="28">
      <x:c r="A28" s="13" t="str">
        <x:v>MB1-0054</x:v>
      </x:c>
      <x:c r="B28" s="13" t="str">
        <x:v>MB1-0054</x:v>
      </x:c>
      <x:c r="C28" s="14" t="str">
        <x:v>BASEBALL 8</x:v>
      </x:c>
      <x:c r="D28" s="14" t="str">
        <x:v>sports and hobbies</x:v>
      </x:c>
      <x:c r="E28" s="14" t="str">
        <x:v>https://res.cloudinary.com/oxygre42/image/upload/f_auto,q_auto,c_pad,b_white,w_1200,h_1200/v1788348791/0054_BASEBALL_8.png</x:v>
      </x:c>
      <x:c r="F28" s="14" t="str"/>
      <x:c r="G28" s="14" t="str">
        <x:v>Lifestyle</x:v>
      </x:c>
      <x:c r="H28" s="14" t="str"/>
      <x:c r="I28" s="14" t="str">
        <x:v>Detail</x:v>
      </x:c>
      <x:c r="J28" s="14" t="str"/>
      <x:c r="K28" s="14" t="str">
        <x:v>Scale</x:v>
      </x:c>
      <x:c r="L28" s="14" t="str"/>
      <x:c r="M28" s="14" t="str">
        <x:v>Alternate</x:v>
      </x:c>
      <x:c r="N28" s="14" t="n">
        <x:f>IF(E28&lt;&gt;"",1,0)+IF(F28&lt;&gt;"",1,0)+IF(H28&lt;&gt;"",1,0)+IF(J28&lt;&gt;"",1,0)+IF(L28&lt;&gt;"",1,0)</x:f>
        <x:v>1</x:v>
      </x:c>
      <x:c r="O28" s="14" t="str">
        <x:f>IF(E28="","MISSING MAIN",IF(N28=1,"MAIN ONLY","MULTI-PHOTO"))</x:f>
        <x:v>MAIN ONLY</x:v>
      </x:c>
      <x:c r="P28" s="14" t="str">
        <x:v>0054_</x:v>
      </x:c>
      <x:c r="Q28" s="14" t="str">
        <x:v>https://mb1advancedsolutions.github.io/mb1-catalog/index.html?design=0054</x:v>
      </x:c>
      <x:c r="R28" s="14" t="str"/>
    </x:row>
    <x:row r="29">
      <x:c r="A29" s="13" t="str">
        <x:v>MB1-0055</x:v>
      </x:c>
      <x:c r="B29" s="13" t="str">
        <x:v>MB1-0055</x:v>
      </x:c>
      <x:c r="C29" s="14" t="str">
        <x:v>BASEBALL 9</x:v>
      </x:c>
      <x:c r="D29" s="14" t="str">
        <x:v>sports and hobbies</x:v>
      </x:c>
      <x:c r="E29" s="14" t="str">
        <x:v>https://res.cloudinary.com/oxygre42/image/upload/f_auto,q_auto,c_pad,b_white,w_1200,h_1200/v1788348793/0055_BASEBALL_9.png</x:v>
      </x:c>
      <x:c r="F29" s="14" t="str"/>
      <x:c r="G29" s="14" t="str">
        <x:v>Lifestyle</x:v>
      </x:c>
      <x:c r="H29" s="14" t="str"/>
      <x:c r="I29" s="14" t="str">
        <x:v>Detail</x:v>
      </x:c>
      <x:c r="J29" s="14" t="str"/>
      <x:c r="K29" s="14" t="str">
        <x:v>Scale</x:v>
      </x:c>
      <x:c r="L29" s="14" t="str"/>
      <x:c r="M29" s="14" t="str">
        <x:v>Alternate</x:v>
      </x:c>
      <x:c r="N29" s="14" t="n">
        <x:f>IF(E29&lt;&gt;"",1,0)+IF(F29&lt;&gt;"",1,0)+IF(H29&lt;&gt;"",1,0)+IF(J29&lt;&gt;"",1,0)+IF(L29&lt;&gt;"",1,0)</x:f>
        <x:v>1</x:v>
      </x:c>
      <x:c r="O29" s="14" t="str">
        <x:f>IF(E29="","MISSING MAIN",IF(N29=1,"MAIN ONLY","MULTI-PHOTO"))</x:f>
        <x:v>MAIN ONLY</x:v>
      </x:c>
      <x:c r="P29" s="14" t="str">
        <x:v>0055_</x:v>
      </x:c>
      <x:c r="Q29" s="14" t="str">
        <x:v>https://mb1advancedsolutions.github.io/mb1-catalog/index.html?design=0055</x:v>
      </x:c>
      <x:c r="R29" s="14" t="str"/>
    </x:row>
    <x:row r="30">
      <x:c r="A30" s="13" t="str">
        <x:v>MB1-0056</x:v>
      </x:c>
      <x:c r="B30" s="13" t="str">
        <x:v>MB1-0056</x:v>
      </x:c>
      <x:c r="C30" s="14" t="str">
        <x:v>BBQ GRILL 1</x:v>
      </x:c>
      <x:c r="D30" s="14" t="str">
        <x:v>sports and hobbies</x:v>
      </x:c>
      <x:c r="E30" s="14" t="str">
        <x:v>https://res.cloudinary.com/oxygre42/image/upload/f_auto,q_auto,c_pad,b_white,w_1200,h_1200/v1788348795/0056_BBQ_GRILL_1.png</x:v>
      </x:c>
      <x:c r="F30" s="14" t="str"/>
      <x:c r="G30" s="14" t="str">
        <x:v>Lifestyle</x:v>
      </x:c>
      <x:c r="H30" s="14" t="str"/>
      <x:c r="I30" s="14" t="str">
        <x:v>Detail</x:v>
      </x:c>
      <x:c r="J30" s="14" t="str"/>
      <x:c r="K30" s="14" t="str">
        <x:v>Scale</x:v>
      </x:c>
      <x:c r="L30" s="14" t="str"/>
      <x:c r="M30" s="14" t="str">
        <x:v>Alternate</x:v>
      </x:c>
      <x:c r="N30" s="14" t="n">
        <x:f>IF(E30&lt;&gt;"",1,0)+IF(F30&lt;&gt;"",1,0)+IF(H30&lt;&gt;"",1,0)+IF(J30&lt;&gt;"",1,0)+IF(L30&lt;&gt;"",1,0)</x:f>
        <x:v>1</x:v>
      </x:c>
      <x:c r="O30" s="14" t="str">
        <x:f>IF(E30="","MISSING MAIN",IF(N30=1,"MAIN ONLY","MULTI-PHOTO"))</x:f>
        <x:v>MAIN ONLY</x:v>
      </x:c>
      <x:c r="P30" s="14" t="str">
        <x:v>0056_</x:v>
      </x:c>
      <x:c r="Q30" s="14" t="str">
        <x:v>https://mb1advancedsolutions.github.io/mb1-catalog/index.html?design=0056</x:v>
      </x:c>
      <x:c r="R30" s="14" t="str"/>
    </x:row>
    <x:row r="31">
      <x:c r="A31" s="13" t="str">
        <x:v>MB1-0057</x:v>
      </x:c>
      <x:c r="B31" s="13" t="str">
        <x:v>MB1-0057</x:v>
      </x:c>
      <x:c r="C31" s="14" t="str">
        <x:v>BBQ GRILL 10</x:v>
      </x:c>
      <x:c r="D31" s="14" t="str">
        <x:v>sports and hobbies</x:v>
      </x:c>
      <x:c r="E31" s="14" t="str">
        <x:v>https://res.cloudinary.com/oxygre42/image/upload/f_auto,q_auto,c_pad,b_white,w_1200,h_1200/v1788348797/0057_BBQ_GRILL_10.png</x:v>
      </x:c>
      <x:c r="F31" s="14" t="str"/>
      <x:c r="G31" s="14" t="str">
        <x:v>Lifestyle</x:v>
      </x:c>
      <x:c r="H31" s="14" t="str"/>
      <x:c r="I31" s="14" t="str">
        <x:v>Detail</x:v>
      </x:c>
      <x:c r="J31" s="14" t="str"/>
      <x:c r="K31" s="14" t="str">
        <x:v>Scale</x:v>
      </x:c>
      <x:c r="L31" s="14" t="str"/>
      <x:c r="M31" s="14" t="str">
        <x:v>Alternate</x:v>
      </x:c>
      <x:c r="N31" s="14" t="n">
        <x:f>IF(E31&lt;&gt;"",1,0)+IF(F31&lt;&gt;"",1,0)+IF(H31&lt;&gt;"",1,0)+IF(J31&lt;&gt;"",1,0)+IF(L31&lt;&gt;"",1,0)</x:f>
        <x:v>1</x:v>
      </x:c>
      <x:c r="O31" s="14" t="str">
        <x:f>IF(E31="","MISSING MAIN",IF(N31=1,"MAIN ONLY","MULTI-PHOTO"))</x:f>
        <x:v>MAIN ONLY</x:v>
      </x:c>
      <x:c r="P31" s="14" t="str">
        <x:v>0057_</x:v>
      </x:c>
      <x:c r="Q31" s="14" t="str">
        <x:v>https://mb1advancedsolutions.github.io/mb1-catalog/index.html?design=0057</x:v>
      </x:c>
      <x:c r="R31" s="14" t="str"/>
    </x:row>
    <x:row r="32">
      <x:c r="A32" s="13" t="str">
        <x:v>MB1-0058</x:v>
      </x:c>
      <x:c r="B32" s="13" t="str">
        <x:v>MB1-0058</x:v>
      </x:c>
      <x:c r="C32" s="14" t="str">
        <x:v>BBQ GRILL 11</x:v>
      </x:c>
      <x:c r="D32" s="14" t="str">
        <x:v>sports and hobbies</x:v>
      </x:c>
      <x:c r="E32" s="14" t="str">
        <x:v>https://res.cloudinary.com/oxygre42/image/upload/f_auto,q_auto,c_pad,b_white,w_1200,h_1200/v1788348799/0058_BBQ_GRILL_11.png</x:v>
      </x:c>
      <x:c r="F32" s="14" t="str"/>
      <x:c r="G32" s="14" t="str">
        <x:v>Lifestyle</x:v>
      </x:c>
      <x:c r="H32" s="14" t="str"/>
      <x:c r="I32" s="14" t="str">
        <x:v>Detail</x:v>
      </x:c>
      <x:c r="J32" s="14" t="str"/>
      <x:c r="K32" s="14" t="str">
        <x:v>Scale</x:v>
      </x:c>
      <x:c r="L32" s="14" t="str"/>
      <x:c r="M32" s="14" t="str">
        <x:v>Alternate</x:v>
      </x:c>
      <x:c r="N32" s="14" t="n">
        <x:f>IF(E32&lt;&gt;"",1,0)+IF(F32&lt;&gt;"",1,0)+IF(H32&lt;&gt;"",1,0)+IF(J32&lt;&gt;"",1,0)+IF(L32&lt;&gt;"",1,0)</x:f>
        <x:v>1</x:v>
      </x:c>
      <x:c r="O32" s="14" t="str">
        <x:f>IF(E32="","MISSING MAIN",IF(N32=1,"MAIN ONLY","MULTI-PHOTO"))</x:f>
        <x:v>MAIN ONLY</x:v>
      </x:c>
      <x:c r="P32" s="14" t="str">
        <x:v>0058_</x:v>
      </x:c>
      <x:c r="Q32" s="14" t="str">
        <x:v>https://mb1advancedsolutions.github.io/mb1-catalog/index.html?design=0058</x:v>
      </x:c>
      <x:c r="R32" s="14" t="str"/>
    </x:row>
    <x:row r="33">
      <x:c r="A33" s="13" t="str">
        <x:v>MB1-0059</x:v>
      </x:c>
      <x:c r="B33" s="13" t="str">
        <x:v>MB1-0059</x:v>
      </x:c>
      <x:c r="C33" s="14" t="str">
        <x:v>BBQ GRILL 12</x:v>
      </x:c>
      <x:c r="D33" s="14" t="str">
        <x:v>sports and hobbies</x:v>
      </x:c>
      <x:c r="E33" s="14" t="str">
        <x:v>https://res.cloudinary.com/oxygre42/image/upload/f_auto,q_auto,c_pad,b_white,w_1200,h_1200/v1788348801/0059_BBQ_GRILL_12.png</x:v>
      </x:c>
      <x:c r="F33" s="14" t="str"/>
      <x:c r="G33" s="14" t="str">
        <x:v>Lifestyle</x:v>
      </x:c>
      <x:c r="H33" s="14" t="str"/>
      <x:c r="I33" s="14" t="str">
        <x:v>Detail</x:v>
      </x:c>
      <x:c r="J33" s="14" t="str"/>
      <x:c r="K33" s="14" t="str">
        <x:v>Scale</x:v>
      </x:c>
      <x:c r="L33" s="14" t="str"/>
      <x:c r="M33" s="14" t="str">
        <x:v>Alternate</x:v>
      </x:c>
      <x:c r="N33" s="14" t="n">
        <x:f>IF(E33&lt;&gt;"",1,0)+IF(F33&lt;&gt;"",1,0)+IF(H33&lt;&gt;"",1,0)+IF(J33&lt;&gt;"",1,0)+IF(L33&lt;&gt;"",1,0)</x:f>
        <x:v>1</x:v>
      </x:c>
      <x:c r="O33" s="14" t="str">
        <x:f>IF(E33="","MISSING MAIN",IF(N33=1,"MAIN ONLY","MULTI-PHOTO"))</x:f>
        <x:v>MAIN ONLY</x:v>
      </x:c>
      <x:c r="P33" s="14" t="str">
        <x:v>0059_</x:v>
      </x:c>
      <x:c r="Q33" s="14" t="str">
        <x:v>https://mb1advancedsolutions.github.io/mb1-catalog/index.html?design=0059</x:v>
      </x:c>
      <x:c r="R33" s="14" t="str"/>
    </x:row>
    <x:row r="34">
      <x:c r="A34" s="13" t="str">
        <x:v>MB1-0060</x:v>
      </x:c>
      <x:c r="B34" s="13" t="str">
        <x:v>MB1-0060</x:v>
      </x:c>
      <x:c r="C34" s="14" t="str">
        <x:v>BBQ GRILL 13</x:v>
      </x:c>
      <x:c r="D34" s="14" t="str">
        <x:v>sports and hobbies</x:v>
      </x:c>
      <x:c r="E34" s="14" t="str">
        <x:v>https://res.cloudinary.com/oxygre42/image/upload/f_auto,q_auto,c_pad,b_white,w_1200,h_1200/v1788348802/0060_BBQ_GRILL_13.png</x:v>
      </x:c>
      <x:c r="F34" s="14" t="str"/>
      <x:c r="G34" s="14" t="str">
        <x:v>Lifestyle</x:v>
      </x:c>
      <x:c r="H34" s="14" t="str"/>
      <x:c r="I34" s="14" t="str">
        <x:v>Detail</x:v>
      </x:c>
      <x:c r="J34" s="14" t="str"/>
      <x:c r="K34" s="14" t="str">
        <x:v>Scale</x:v>
      </x:c>
      <x:c r="L34" s="14" t="str"/>
      <x:c r="M34" s="14" t="str">
        <x:v>Alternate</x:v>
      </x:c>
      <x:c r="N34" s="14" t="n">
        <x:f>IF(E34&lt;&gt;"",1,0)+IF(F34&lt;&gt;"",1,0)+IF(H34&lt;&gt;"",1,0)+IF(J34&lt;&gt;"",1,0)+IF(L34&lt;&gt;"",1,0)</x:f>
        <x:v>1</x:v>
      </x:c>
      <x:c r="O34" s="14" t="str">
        <x:f>IF(E34="","MISSING MAIN",IF(N34=1,"MAIN ONLY","MULTI-PHOTO"))</x:f>
        <x:v>MAIN ONLY</x:v>
      </x:c>
      <x:c r="P34" s="14" t="str">
        <x:v>0060_</x:v>
      </x:c>
      <x:c r="Q34" s="14" t="str">
        <x:v>https://mb1advancedsolutions.github.io/mb1-catalog/index.html?design=0060</x:v>
      </x:c>
      <x:c r="R34" s="14" t="str"/>
    </x:row>
    <x:row r="35">
      <x:c r="A35" s="13" t="str">
        <x:v>MB1-0061</x:v>
      </x:c>
      <x:c r="B35" s="13" t="str">
        <x:v>MB1-0061</x:v>
      </x:c>
      <x:c r="C35" s="14" t="str">
        <x:v>BBQ GRILL 14</x:v>
      </x:c>
      <x:c r="D35" s="14" t="str">
        <x:v>sports and hobbies</x:v>
      </x:c>
      <x:c r="E35" s="14" t="str">
        <x:v>https://res.cloudinary.com/oxygre42/image/upload/f_auto,q_auto,c_pad,b_white,w_1200,h_1200/v1788348804/0061_BBQ_GRILL_14.png</x:v>
      </x:c>
      <x:c r="F35" s="14" t="str"/>
      <x:c r="G35" s="14" t="str">
        <x:v>Lifestyle</x:v>
      </x:c>
      <x:c r="H35" s="14" t="str"/>
      <x:c r="I35" s="14" t="str">
        <x:v>Detail</x:v>
      </x:c>
      <x:c r="J35" s="14" t="str"/>
      <x:c r="K35" s="14" t="str">
        <x:v>Scale</x:v>
      </x:c>
      <x:c r="L35" s="14" t="str"/>
      <x:c r="M35" s="14" t="str">
        <x:v>Alternate</x:v>
      </x:c>
      <x:c r="N35" s="14" t="n">
        <x:f>IF(E35&lt;&gt;"",1,0)+IF(F35&lt;&gt;"",1,0)+IF(H35&lt;&gt;"",1,0)+IF(J35&lt;&gt;"",1,0)+IF(L35&lt;&gt;"",1,0)</x:f>
        <x:v>1</x:v>
      </x:c>
      <x:c r="O35" s="14" t="str">
        <x:f>IF(E35="","MISSING MAIN",IF(N35=1,"MAIN ONLY","MULTI-PHOTO"))</x:f>
        <x:v>MAIN ONLY</x:v>
      </x:c>
      <x:c r="P35" s="14" t="str">
        <x:v>0061_</x:v>
      </x:c>
      <x:c r="Q35" s="14" t="str">
        <x:v>https://mb1advancedsolutions.github.io/mb1-catalog/index.html?design=0061</x:v>
      </x:c>
      <x:c r="R35" s="14" t="str"/>
    </x:row>
    <x:row r="36">
      <x:c r="A36" s="13" t="str">
        <x:v>MB1-0062</x:v>
      </x:c>
      <x:c r="B36" s="13" t="str">
        <x:v>MB1-0062</x:v>
      </x:c>
      <x:c r="C36" s="14" t="str">
        <x:v>BBQ GRILL 2</x:v>
      </x:c>
      <x:c r="D36" s="14" t="str">
        <x:v>sports and hobbies</x:v>
      </x:c>
      <x:c r="E36" s="14" t="str">
        <x:v>https://res.cloudinary.com/oxygre42/image/upload/f_auto,q_auto,c_pad,b_white,w_1200,h_1200/v1788348806/0062_BBQ_GRILL_2.png</x:v>
      </x:c>
      <x:c r="F36" s="14" t="str"/>
      <x:c r="G36" s="14" t="str">
        <x:v>Lifestyle</x:v>
      </x:c>
      <x:c r="H36" s="14" t="str"/>
      <x:c r="I36" s="14" t="str">
        <x:v>Detail</x:v>
      </x:c>
      <x:c r="J36" s="14" t="str"/>
      <x:c r="K36" s="14" t="str">
        <x:v>Scale</x:v>
      </x:c>
      <x:c r="L36" s="14" t="str"/>
      <x:c r="M36" s="14" t="str">
        <x:v>Alternate</x:v>
      </x:c>
      <x:c r="N36" s="14" t="n">
        <x:f>IF(E36&lt;&gt;"",1,0)+IF(F36&lt;&gt;"",1,0)+IF(H36&lt;&gt;"",1,0)+IF(J36&lt;&gt;"",1,0)+IF(L36&lt;&gt;"",1,0)</x:f>
        <x:v>1</x:v>
      </x:c>
      <x:c r="O36" s="14" t="str">
        <x:f>IF(E36="","MISSING MAIN",IF(N36=1,"MAIN ONLY","MULTI-PHOTO"))</x:f>
        <x:v>MAIN ONLY</x:v>
      </x:c>
      <x:c r="P36" s="14" t="str">
        <x:v>0062_</x:v>
      </x:c>
      <x:c r="Q36" s="14" t="str">
        <x:v>https://mb1advancedsolutions.github.io/mb1-catalog/index.html?design=0062</x:v>
      </x:c>
      <x:c r="R36" s="14" t="str"/>
    </x:row>
    <x:row r="37">
      <x:c r="A37" s="13" t="str">
        <x:v>MB1-0063</x:v>
      </x:c>
      <x:c r="B37" s="13" t="str">
        <x:v>MB1-0063</x:v>
      </x:c>
      <x:c r="C37" s="14" t="str">
        <x:v>BBQ GRILL 3</x:v>
      </x:c>
      <x:c r="D37" s="14" t="str">
        <x:v>sports and hobbies</x:v>
      </x:c>
      <x:c r="E37" s="14" t="str">
        <x:v>https://res.cloudinary.com/oxygre42/image/upload/f_auto,q_auto,c_pad,b_white,w_1200,h_1200/v1788348808/0063_BBQ_GRILL_3.png</x:v>
      </x:c>
      <x:c r="F37" s="14" t="str"/>
      <x:c r="G37" s="14" t="str">
        <x:v>Lifestyle</x:v>
      </x:c>
      <x:c r="H37" s="14" t="str"/>
      <x:c r="I37" s="14" t="str">
        <x:v>Detail</x:v>
      </x:c>
      <x:c r="J37" s="14" t="str"/>
      <x:c r="K37" s="14" t="str">
        <x:v>Scale</x:v>
      </x:c>
      <x:c r="L37" s="14" t="str"/>
      <x:c r="M37" s="14" t="str">
        <x:v>Alternate</x:v>
      </x:c>
      <x:c r="N37" s="14" t="n">
        <x:f>IF(E37&lt;&gt;"",1,0)+IF(F37&lt;&gt;"",1,0)+IF(H37&lt;&gt;"",1,0)+IF(J37&lt;&gt;"",1,0)+IF(L37&lt;&gt;"",1,0)</x:f>
        <x:v>1</x:v>
      </x:c>
      <x:c r="O37" s="14" t="str">
        <x:f>IF(E37="","MISSING MAIN",IF(N37=1,"MAIN ONLY","MULTI-PHOTO"))</x:f>
        <x:v>MAIN ONLY</x:v>
      </x:c>
      <x:c r="P37" s="14" t="str">
        <x:v>0063_</x:v>
      </x:c>
      <x:c r="Q37" s="14" t="str">
        <x:v>https://mb1advancedsolutions.github.io/mb1-catalog/index.html?design=0063</x:v>
      </x:c>
      <x:c r="R37" s="14" t="str"/>
    </x:row>
    <x:row r="38">
      <x:c r="A38" s="13" t="str">
        <x:v>MB1-0064</x:v>
      </x:c>
      <x:c r="B38" s="13" t="str">
        <x:v>MB1-0064</x:v>
      </x:c>
      <x:c r="C38" s="14" t="str">
        <x:v>BBQ GRILL 4</x:v>
      </x:c>
      <x:c r="D38" s="14" t="str">
        <x:v>sports and hobbies</x:v>
      </x:c>
      <x:c r="E38" s="14" t="str">
        <x:v>https://res.cloudinary.com/oxygre42/image/upload/f_auto,q_auto,c_pad,b_white,w_1200,h_1200/v1788348811/0064_BBQ_GRILL_4.png</x:v>
      </x:c>
      <x:c r="F38" s="14" t="str"/>
      <x:c r="G38" s="14" t="str">
        <x:v>Lifestyle</x:v>
      </x:c>
      <x:c r="H38" s="14" t="str"/>
      <x:c r="I38" s="14" t="str">
        <x:v>Detail</x:v>
      </x:c>
      <x:c r="J38" s="14" t="str"/>
      <x:c r="K38" s="14" t="str">
        <x:v>Scale</x:v>
      </x:c>
      <x:c r="L38" s="14" t="str"/>
      <x:c r="M38" s="14" t="str">
        <x:v>Alternate</x:v>
      </x:c>
      <x:c r="N38" s="14" t="n">
        <x:f>IF(E38&lt;&gt;"",1,0)+IF(F38&lt;&gt;"",1,0)+IF(H38&lt;&gt;"",1,0)+IF(J38&lt;&gt;"",1,0)+IF(L38&lt;&gt;"",1,0)</x:f>
        <x:v>1</x:v>
      </x:c>
      <x:c r="O38" s="14" t="str">
        <x:f>IF(E38="","MISSING MAIN",IF(N38=1,"MAIN ONLY","MULTI-PHOTO"))</x:f>
        <x:v>MAIN ONLY</x:v>
      </x:c>
      <x:c r="P38" s="14" t="str">
        <x:v>0064_</x:v>
      </x:c>
      <x:c r="Q38" s="14" t="str">
        <x:v>https://mb1advancedsolutions.github.io/mb1-catalog/index.html?design=0064</x:v>
      </x:c>
      <x:c r="R38" s="14" t="str"/>
    </x:row>
    <x:row r="39">
      <x:c r="A39" s="13" t="str">
        <x:v>MB1-0065</x:v>
      </x:c>
      <x:c r="B39" s="13" t="str">
        <x:v>MB1-0065</x:v>
      </x:c>
      <x:c r="C39" s="14" t="str">
        <x:v>BBQ GRILL 5</x:v>
      </x:c>
      <x:c r="D39" s="14" t="str">
        <x:v>sports and hobbies</x:v>
      </x:c>
      <x:c r="E39" s="14" t="str">
        <x:v>https://res.cloudinary.com/oxygre42/image/upload/f_auto,q_auto,c_pad,b_white,w_1200,h_1200/v1788348812/0065_BBQ_GRILL_5.png</x:v>
      </x:c>
      <x:c r="F39" s="14" t="str"/>
      <x:c r="G39" s="14" t="str">
        <x:v>Lifestyle</x:v>
      </x:c>
      <x:c r="H39" s="14" t="str"/>
      <x:c r="I39" s="14" t="str">
        <x:v>Detail</x:v>
      </x:c>
      <x:c r="J39" s="14" t="str"/>
      <x:c r="K39" s="14" t="str">
        <x:v>Scale</x:v>
      </x:c>
      <x:c r="L39" s="14" t="str"/>
      <x:c r="M39" s="14" t="str">
        <x:v>Alternate</x:v>
      </x:c>
      <x:c r="N39" s="14" t="n">
        <x:f>IF(E39&lt;&gt;"",1,0)+IF(F39&lt;&gt;"",1,0)+IF(H39&lt;&gt;"",1,0)+IF(J39&lt;&gt;"",1,0)+IF(L39&lt;&gt;"",1,0)</x:f>
        <x:v>1</x:v>
      </x:c>
      <x:c r="O39" s="14" t="str">
        <x:f>IF(E39="","MISSING MAIN",IF(N39=1,"MAIN ONLY","MULTI-PHOTO"))</x:f>
        <x:v>MAIN ONLY</x:v>
      </x:c>
      <x:c r="P39" s="14" t="str">
        <x:v>0065_</x:v>
      </x:c>
      <x:c r="Q39" s="14" t="str">
        <x:v>https://mb1advancedsolutions.github.io/mb1-catalog/index.html?design=0065</x:v>
      </x:c>
      <x:c r="R39" s="14" t="str"/>
    </x:row>
    <x:row r="40">
      <x:c r="A40" s="13" t="str">
        <x:v>MB1-0066</x:v>
      </x:c>
      <x:c r="B40" s="13" t="str">
        <x:v>MB1-0066</x:v>
      </x:c>
      <x:c r="C40" s="14" t="str">
        <x:v>BBQ GRILL 6</x:v>
      </x:c>
      <x:c r="D40" s="14" t="str">
        <x:v>sports and hobbies</x:v>
      </x:c>
      <x:c r="E40" s="14" t="str">
        <x:v>https://res.cloudinary.com/oxygre42/image/upload/f_auto,q_auto,c_pad,b_white,w_1200,h_1200/v1788348814/0066_BBQ_GRILL_6.png</x:v>
      </x:c>
      <x:c r="F40" s="14" t="str"/>
      <x:c r="G40" s="14" t="str">
        <x:v>Lifestyle</x:v>
      </x:c>
      <x:c r="H40" s="14" t="str"/>
      <x:c r="I40" s="14" t="str">
        <x:v>Detail</x:v>
      </x:c>
      <x:c r="J40" s="14" t="str"/>
      <x:c r="K40" s="14" t="str">
        <x:v>Scale</x:v>
      </x:c>
      <x:c r="L40" s="14" t="str"/>
      <x:c r="M40" s="14" t="str">
        <x:v>Alternate</x:v>
      </x:c>
      <x:c r="N40" s="14" t="n">
        <x:f>IF(E40&lt;&gt;"",1,0)+IF(F40&lt;&gt;"",1,0)+IF(H40&lt;&gt;"",1,0)+IF(J40&lt;&gt;"",1,0)+IF(L40&lt;&gt;"",1,0)</x:f>
        <x:v>1</x:v>
      </x:c>
      <x:c r="O40" s="14" t="str">
        <x:f>IF(E40="","MISSING MAIN",IF(N40=1,"MAIN ONLY","MULTI-PHOTO"))</x:f>
        <x:v>MAIN ONLY</x:v>
      </x:c>
      <x:c r="P40" s="14" t="str">
        <x:v>0066_</x:v>
      </x:c>
      <x:c r="Q40" s="14" t="str">
        <x:v>https://mb1advancedsolutions.github.io/mb1-catalog/index.html?design=0066</x:v>
      </x:c>
      <x:c r="R40" s="14" t="str"/>
    </x:row>
    <x:row r="41">
      <x:c r="A41" s="13" t="str">
        <x:v>MB1-0067</x:v>
      </x:c>
      <x:c r="B41" s="13" t="str">
        <x:v>MB1-0067</x:v>
      </x:c>
      <x:c r="C41" s="14" t="str">
        <x:v>BBQ GRILL 7</x:v>
      </x:c>
      <x:c r="D41" s="14" t="str">
        <x:v>sports and hobbies</x:v>
      </x:c>
      <x:c r="E41" s="14" t="str">
        <x:v>https://res.cloudinary.com/oxygre42/image/upload/f_auto,q_auto,c_pad,b_white,w_1200,h_1200/v1788348816/0067_BBQ_GRILL_7.png</x:v>
      </x:c>
      <x:c r="F41" s="14" t="str"/>
      <x:c r="G41" s="14" t="str">
        <x:v>Lifestyle</x:v>
      </x:c>
      <x:c r="H41" s="14" t="str"/>
      <x:c r="I41" s="14" t="str">
        <x:v>Detail</x:v>
      </x:c>
      <x:c r="J41" s="14" t="str"/>
      <x:c r="K41" s="14" t="str">
        <x:v>Scale</x:v>
      </x:c>
      <x:c r="L41" s="14" t="str"/>
      <x:c r="M41" s="14" t="str">
        <x:v>Alternate</x:v>
      </x:c>
      <x:c r="N41" s="14" t="n">
        <x:f>IF(E41&lt;&gt;"",1,0)+IF(F41&lt;&gt;"",1,0)+IF(H41&lt;&gt;"",1,0)+IF(J41&lt;&gt;"",1,0)+IF(L41&lt;&gt;"",1,0)</x:f>
        <x:v>1</x:v>
      </x:c>
      <x:c r="O41" s="14" t="str">
        <x:f>IF(E41="","MISSING MAIN",IF(N41=1,"MAIN ONLY","MULTI-PHOTO"))</x:f>
        <x:v>MAIN ONLY</x:v>
      </x:c>
      <x:c r="P41" s="14" t="str">
        <x:v>0067_</x:v>
      </x:c>
      <x:c r="Q41" s="14" t="str">
        <x:v>https://mb1advancedsolutions.github.io/mb1-catalog/index.html?design=0067</x:v>
      </x:c>
      <x:c r="R41" s="14" t="str"/>
    </x:row>
    <x:row r="42">
      <x:c r="A42" s="13" t="str">
        <x:v>MB1-0068</x:v>
      </x:c>
      <x:c r="B42" s="13" t="str">
        <x:v>MB1-0068</x:v>
      </x:c>
      <x:c r="C42" s="14" t="str">
        <x:v>BBQ GRILL 8</x:v>
      </x:c>
      <x:c r="D42" s="14" t="str">
        <x:v>sports and hobbies</x:v>
      </x:c>
      <x:c r="E42" s="14" t="str">
        <x:v>https://res.cloudinary.com/oxygre42/image/upload/f_auto,q_auto,c_pad,b_white,w_1200,h_1200/v1788348818/0068_BBQ_GRILL_8.png</x:v>
      </x:c>
      <x:c r="F42" s="14" t="str"/>
      <x:c r="G42" s="14" t="str">
        <x:v>Lifestyle</x:v>
      </x:c>
      <x:c r="H42" s="14" t="str"/>
      <x:c r="I42" s="14" t="str">
        <x:v>Detail</x:v>
      </x:c>
      <x:c r="J42" s="14" t="str"/>
      <x:c r="K42" s="14" t="str">
        <x:v>Scale</x:v>
      </x:c>
      <x:c r="L42" s="14" t="str"/>
      <x:c r="M42" s="14" t="str">
        <x:v>Alternate</x:v>
      </x:c>
      <x:c r="N42" s="14" t="n">
        <x:f>IF(E42&lt;&gt;"",1,0)+IF(F42&lt;&gt;"",1,0)+IF(H42&lt;&gt;"",1,0)+IF(J42&lt;&gt;"",1,0)+IF(L42&lt;&gt;"",1,0)</x:f>
        <x:v>1</x:v>
      </x:c>
      <x:c r="O42" s="14" t="str">
        <x:f>IF(E42="","MISSING MAIN",IF(N42=1,"MAIN ONLY","MULTI-PHOTO"))</x:f>
        <x:v>MAIN ONLY</x:v>
      </x:c>
      <x:c r="P42" s="14" t="str">
        <x:v>0068_</x:v>
      </x:c>
      <x:c r="Q42" s="14" t="str">
        <x:v>https://mb1advancedsolutions.github.io/mb1-catalog/index.html?design=0068</x:v>
      </x:c>
      <x:c r="R42" s="14" t="str"/>
    </x:row>
    <x:row r="43">
      <x:c r="A43" s="13" t="str">
        <x:v>MB1-0069</x:v>
      </x:c>
      <x:c r="B43" s="13" t="str">
        <x:v>MB1-0069</x:v>
      </x:c>
      <x:c r="C43" s="14" t="str">
        <x:v>BBQ GRILL 9</x:v>
      </x:c>
      <x:c r="D43" s="14" t="str">
        <x:v>sports and hobbies</x:v>
      </x:c>
      <x:c r="E43" s="14" t="str">
        <x:v>https://res.cloudinary.com/oxygre42/image/upload/f_auto,q_auto,c_pad,b_white,w_1200,h_1200/v1788348819/0069_BBQ_GRILL_9.png</x:v>
      </x:c>
      <x:c r="F43" s="14" t="str"/>
      <x:c r="G43" s="14" t="str">
        <x:v>Lifestyle</x:v>
      </x:c>
      <x:c r="H43" s="14" t="str"/>
      <x:c r="I43" s="14" t="str">
        <x:v>Detail</x:v>
      </x:c>
      <x:c r="J43" s="14" t="str"/>
      <x:c r="K43" s="14" t="str">
        <x:v>Scale</x:v>
      </x:c>
      <x:c r="L43" s="14" t="str"/>
      <x:c r="M43" s="14" t="str">
        <x:v>Alternate</x:v>
      </x:c>
      <x:c r="N43" s="14" t="n">
        <x:f>IF(E43&lt;&gt;"",1,0)+IF(F43&lt;&gt;"",1,0)+IF(H43&lt;&gt;"",1,0)+IF(J43&lt;&gt;"",1,0)+IF(L43&lt;&gt;"",1,0)</x:f>
        <x:v>1</x:v>
      </x:c>
      <x:c r="O43" s="14" t="str">
        <x:f>IF(E43="","MISSING MAIN",IF(N43=1,"MAIN ONLY","MULTI-PHOTO"))</x:f>
        <x:v>MAIN ONLY</x:v>
      </x:c>
      <x:c r="P43" s="14" t="str">
        <x:v>0069_</x:v>
      </x:c>
      <x:c r="Q43" s="14" t="str">
        <x:v>https://mb1advancedsolutions.github.io/mb1-catalog/index.html?design=0069</x:v>
      </x:c>
      <x:c r="R43" s="14" t="str"/>
    </x:row>
    <x:row r="44">
      <x:c r="A44" s="13" t="str">
        <x:v>MB1-0070</x:v>
      </x:c>
      <x:c r="B44" s="13" t="str">
        <x:v>MB1-0070</x:v>
      </x:c>
      <x:c r="C44" s="14" t="str">
        <x:v>Bee Honeycomb 1</x:v>
      </x:c>
      <x:c r="D44" s="14" t="str">
        <x:v>wildlife and outdoors</x:v>
      </x:c>
      <x:c r="E44" s="14" t="str">
        <x:v>https://res.cloudinary.com/oxygre42/image/upload/f_auto,q_auto,c_pad,b_white,w_1200,h_1200/v1788348821/0070_Bee_Honeycomb_1.png</x:v>
      </x:c>
      <x:c r="F44" s="14" t="str"/>
      <x:c r="G44" s="14" t="str">
        <x:v>Lifestyle</x:v>
      </x:c>
      <x:c r="H44" s="14" t="str"/>
      <x:c r="I44" s="14" t="str">
        <x:v>Detail</x:v>
      </x:c>
      <x:c r="J44" s="14" t="str"/>
      <x:c r="K44" s="14" t="str">
        <x:v>Scale</x:v>
      </x:c>
      <x:c r="L44" s="14" t="str"/>
      <x:c r="M44" s="14" t="str">
        <x:v>Alternate</x:v>
      </x:c>
      <x:c r="N44" s="14" t="n">
        <x:f>IF(E44&lt;&gt;"",1,0)+IF(F44&lt;&gt;"",1,0)+IF(H44&lt;&gt;"",1,0)+IF(J44&lt;&gt;"",1,0)+IF(L44&lt;&gt;"",1,0)</x:f>
        <x:v>1</x:v>
      </x:c>
      <x:c r="O44" s="14" t="str">
        <x:f>IF(E44="","MISSING MAIN",IF(N44=1,"MAIN ONLY","MULTI-PHOTO"))</x:f>
        <x:v>MAIN ONLY</x:v>
      </x:c>
      <x:c r="P44" s="14" t="str">
        <x:v>0070_</x:v>
      </x:c>
      <x:c r="Q44" s="14" t="str">
        <x:v>https://mb1advancedsolutions.github.io/mb1-catalog/index.html?design=0070</x:v>
      </x:c>
      <x:c r="R44" s="14" t="str"/>
    </x:row>
    <x:row r="45">
      <x:c r="A45" s="13" t="str">
        <x:v>MB1-0071</x:v>
      </x:c>
      <x:c r="B45" s="13" t="str">
        <x:v>MB1-0071</x:v>
      </x:c>
      <x:c r="C45" s="14" t="str">
        <x:v>Bee Honeycomb 2</x:v>
      </x:c>
      <x:c r="D45" s="14" t="str">
        <x:v>wildlife and outdoors</x:v>
      </x:c>
      <x:c r="E45" s="14" t="str">
        <x:v>https://res.cloudinary.com/oxygre42/image/upload/f_auto,q_auto,c_pad,b_white,w_1200,h_1200/v1788348823/0071_Bee_Honeycomb_2.png</x:v>
      </x:c>
      <x:c r="F45" s="14" t="str"/>
      <x:c r="G45" s="14" t="str">
        <x:v>Lifestyle</x:v>
      </x:c>
      <x:c r="H45" s="14" t="str"/>
      <x:c r="I45" s="14" t="str">
        <x:v>Detail</x:v>
      </x:c>
      <x:c r="J45" s="14" t="str"/>
      <x:c r="K45" s="14" t="str">
        <x:v>Scale</x:v>
      </x:c>
      <x:c r="L45" s="14" t="str"/>
      <x:c r="M45" s="14" t="str">
        <x:v>Alternate</x:v>
      </x:c>
      <x:c r="N45" s="14" t="n">
        <x:f>IF(E45&lt;&gt;"",1,0)+IF(F45&lt;&gt;"",1,0)+IF(H45&lt;&gt;"",1,0)+IF(J45&lt;&gt;"",1,0)+IF(L45&lt;&gt;"",1,0)</x:f>
        <x:v>1</x:v>
      </x:c>
      <x:c r="O45" s="14" t="str">
        <x:f>IF(E45="","MISSING MAIN",IF(N45=1,"MAIN ONLY","MULTI-PHOTO"))</x:f>
        <x:v>MAIN ONLY</x:v>
      </x:c>
      <x:c r="P45" s="14" t="str">
        <x:v>0071_</x:v>
      </x:c>
      <x:c r="Q45" s="14" t="str">
        <x:v>https://mb1advancedsolutions.github.io/mb1-catalog/index.html?design=0071</x:v>
      </x:c>
      <x:c r="R45" s="14" t="str"/>
    </x:row>
    <x:row r="46">
      <x:c r="A46" s="13" t="str">
        <x:v>MB1-0072</x:v>
      </x:c>
      <x:c r="B46" s="13" t="str">
        <x:v>MB1-0072</x:v>
      </x:c>
      <x:c r="C46" s="14" t="str">
        <x:v>Bee Honeycomb 3</x:v>
      </x:c>
      <x:c r="D46" s="14" t="str">
        <x:v>wildlife and outdoors</x:v>
      </x:c>
      <x:c r="E46" s="14" t="str">
        <x:v>https://res.cloudinary.com/oxygre42/image/upload/f_auto,q_auto,c_pad,b_white,w_1200,h_1200/v1788348825/0072_Bee_Honeycomb_3.png</x:v>
      </x:c>
      <x:c r="F46" s="14" t="str"/>
      <x:c r="G46" s="14" t="str">
        <x:v>Lifestyle</x:v>
      </x:c>
      <x:c r="H46" s="14" t="str"/>
      <x:c r="I46" s="14" t="str">
        <x:v>Detail</x:v>
      </x:c>
      <x:c r="J46" s="14" t="str"/>
      <x:c r="K46" s="14" t="str">
        <x:v>Scale</x:v>
      </x:c>
      <x:c r="L46" s="14" t="str"/>
      <x:c r="M46" s="14" t="str">
        <x:v>Alternate</x:v>
      </x:c>
      <x:c r="N46" s="14" t="n">
        <x:f>IF(E46&lt;&gt;"",1,0)+IF(F46&lt;&gt;"",1,0)+IF(H46&lt;&gt;"",1,0)+IF(J46&lt;&gt;"",1,0)+IF(L46&lt;&gt;"",1,0)</x:f>
        <x:v>1</x:v>
      </x:c>
      <x:c r="O46" s="14" t="str">
        <x:f>IF(E46="","MISSING MAIN",IF(N46=1,"MAIN ONLY","MULTI-PHOTO"))</x:f>
        <x:v>MAIN ONLY</x:v>
      </x:c>
      <x:c r="P46" s="14" t="str">
        <x:v>0072_</x:v>
      </x:c>
      <x:c r="Q46" s="14" t="str">
        <x:v>https://mb1advancedsolutions.github.io/mb1-catalog/index.html?design=0072</x:v>
      </x:c>
      <x:c r="R46" s="14" t="str"/>
    </x:row>
    <x:row r="47">
      <x:c r="A47" s="13" t="str">
        <x:v>MB1-0073</x:v>
      </x:c>
      <x:c r="B47" s="13" t="str">
        <x:v>MB1-0073</x:v>
      </x:c>
      <x:c r="C47" s="14" t="str">
        <x:v>Bee Honeycomb 4</x:v>
      </x:c>
      <x:c r="D47" s="14" t="str">
        <x:v>wildlife and outdoors</x:v>
      </x:c>
      <x:c r="E47" s="14" t="str">
        <x:v>https://res.cloudinary.com/oxygre42/image/upload/f_auto,q_auto,c_pad,b_white,w_1200,h_1200/v1788348827/0073_Bee_Honeycomb_4.png</x:v>
      </x:c>
      <x:c r="F47" s="14" t="str"/>
      <x:c r="G47" s="14" t="str">
        <x:v>Lifestyle</x:v>
      </x:c>
      <x:c r="H47" s="14" t="str"/>
      <x:c r="I47" s="14" t="str">
        <x:v>Detail</x:v>
      </x:c>
      <x:c r="J47" s="14" t="str"/>
      <x:c r="K47" s="14" t="str">
        <x:v>Scale</x:v>
      </x:c>
      <x:c r="L47" s="14" t="str"/>
      <x:c r="M47" s="14" t="str">
        <x:v>Alternate</x:v>
      </x:c>
      <x:c r="N47" s="14" t="n">
        <x:f>IF(E47&lt;&gt;"",1,0)+IF(F47&lt;&gt;"",1,0)+IF(H47&lt;&gt;"",1,0)+IF(J47&lt;&gt;"",1,0)+IF(L47&lt;&gt;"",1,0)</x:f>
        <x:v>1</x:v>
      </x:c>
      <x:c r="O47" s="14" t="str">
        <x:f>IF(E47="","MISSING MAIN",IF(N47=1,"MAIN ONLY","MULTI-PHOTO"))</x:f>
        <x:v>MAIN ONLY</x:v>
      </x:c>
      <x:c r="P47" s="14" t="str">
        <x:v>0073_</x:v>
      </x:c>
      <x:c r="Q47" s="14" t="str">
        <x:v>https://mb1advancedsolutions.github.io/mb1-catalog/index.html?design=0073</x:v>
      </x:c>
      <x:c r="R47" s="14" t="str"/>
    </x:row>
    <x:row r="48">
      <x:c r="A48" s="13" t="str">
        <x:v>MB1-0074</x:v>
      </x:c>
      <x:c r="B48" s="13" t="str">
        <x:v>MB1-0074</x:v>
      </x:c>
      <x:c r="C48" s="14" t="str">
        <x:v>Bee Honeycomb 5</x:v>
      </x:c>
      <x:c r="D48" s="14" t="str">
        <x:v>wildlife and outdoors</x:v>
      </x:c>
      <x:c r="E48" s="14" t="str">
        <x:v>https://res.cloudinary.com/oxygre42/image/upload/f_auto,q_auto,c_pad,b_white,w_1200,h_1200/v1788348829/0074_Bee_Honeycomb_5.png</x:v>
      </x:c>
      <x:c r="F48" s="14" t="str"/>
      <x:c r="G48" s="14" t="str">
        <x:v>Lifestyle</x:v>
      </x:c>
      <x:c r="H48" s="14" t="str"/>
      <x:c r="I48" s="14" t="str">
        <x:v>Detail</x:v>
      </x:c>
      <x:c r="J48" s="14" t="str"/>
      <x:c r="K48" s="14" t="str">
        <x:v>Scale</x:v>
      </x:c>
      <x:c r="L48" s="14" t="str"/>
      <x:c r="M48" s="14" t="str">
        <x:v>Alternate</x:v>
      </x:c>
      <x:c r="N48" s="14" t="n">
        <x:f>IF(E48&lt;&gt;"",1,0)+IF(F48&lt;&gt;"",1,0)+IF(H48&lt;&gt;"",1,0)+IF(J48&lt;&gt;"",1,0)+IF(L48&lt;&gt;"",1,0)</x:f>
        <x:v>1</x:v>
      </x:c>
      <x:c r="O48" s="14" t="str">
        <x:f>IF(E48="","MISSING MAIN",IF(N48=1,"MAIN ONLY","MULTI-PHOTO"))</x:f>
        <x:v>MAIN ONLY</x:v>
      </x:c>
      <x:c r="P48" s="14" t="str">
        <x:v>0074_</x:v>
      </x:c>
      <x:c r="Q48" s="14" t="str">
        <x:v>https://mb1advancedsolutions.github.io/mb1-catalog/index.html?design=0074</x:v>
      </x:c>
      <x:c r="R48" s="14" t="str"/>
    </x:row>
    <x:row r="49">
      <x:c r="A49" s="13" t="str">
        <x:v>MB1-0075</x:v>
      </x:c>
      <x:c r="B49" s="13" t="str">
        <x:v>MB1-0075</x:v>
      </x:c>
      <x:c r="C49" s="14" t="str">
        <x:v>Bee Honeycomb 6</x:v>
      </x:c>
      <x:c r="D49" s="14" t="str">
        <x:v>wildlife and outdoors</x:v>
      </x:c>
      <x:c r="E49" s="14" t="str">
        <x:v>https://res.cloudinary.com/oxygre42/image/upload/f_auto,q_auto,c_pad,b_white,w_1200,h_1200/v1788348831/0075_Bee_Honeycomb_6.png</x:v>
      </x:c>
      <x:c r="F49" s="14" t="str"/>
      <x:c r="G49" s="14" t="str">
        <x:v>Lifestyle</x:v>
      </x:c>
      <x:c r="H49" s="14" t="str"/>
      <x:c r="I49" s="14" t="str">
        <x:v>Detail</x:v>
      </x:c>
      <x:c r="J49" s="14" t="str"/>
      <x:c r="K49" s="14" t="str">
        <x:v>Scale</x:v>
      </x:c>
      <x:c r="L49" s="14" t="str"/>
      <x:c r="M49" s="14" t="str">
        <x:v>Alternate</x:v>
      </x:c>
      <x:c r="N49" s="14" t="n">
        <x:f>IF(E49&lt;&gt;"",1,0)+IF(F49&lt;&gt;"",1,0)+IF(H49&lt;&gt;"",1,0)+IF(J49&lt;&gt;"",1,0)+IF(L49&lt;&gt;"",1,0)</x:f>
        <x:v>1</x:v>
      </x:c>
      <x:c r="O49" s="14" t="str">
        <x:f>IF(E49="","MISSING MAIN",IF(N49=1,"MAIN ONLY","MULTI-PHOTO"))</x:f>
        <x:v>MAIN ONLY</x:v>
      </x:c>
      <x:c r="P49" s="14" t="str">
        <x:v>0075_</x:v>
      </x:c>
      <x:c r="Q49" s="14" t="str">
        <x:v>https://mb1advancedsolutions.github.io/mb1-catalog/index.html?design=0075</x:v>
      </x:c>
      <x:c r="R49" s="14" t="str"/>
    </x:row>
    <x:row r="50">
      <x:c r="A50" s="13" t="str">
        <x:v>MB1-0076</x:v>
      </x:c>
      <x:c r="B50" s="13" t="str">
        <x:v>MB1-0076</x:v>
      </x:c>
      <x:c r="C50" s="14" t="str">
        <x:v>Bees and Honeycomb 01</x:v>
      </x:c>
      <x:c r="D50" s="14" t="str">
        <x:v>wildlife and outdoors</x:v>
      </x:c>
      <x:c r="E50" s="14" t="str">
        <x:v>https://res.cloudinary.com/oxygre42/image/upload/f_auto,q_auto,c_pad,b_white,w_1200,h_1200/v1788348833/0076_Bees_and_Honeycomb_01.png</x:v>
      </x:c>
      <x:c r="F50" s="14" t="str"/>
      <x:c r="G50" s="14" t="str">
        <x:v>Lifestyle</x:v>
      </x:c>
      <x:c r="H50" s="14" t="str"/>
      <x:c r="I50" s="14" t="str">
        <x:v>Detail</x:v>
      </x:c>
      <x:c r="J50" s="14" t="str"/>
      <x:c r="K50" s="14" t="str">
        <x:v>Scale</x:v>
      </x:c>
      <x:c r="L50" s="14" t="str"/>
      <x:c r="M50" s="14" t="str">
        <x:v>Alternate</x:v>
      </x:c>
      <x:c r="N50" s="14" t="n">
        <x:f>IF(E50&lt;&gt;"",1,0)+IF(F50&lt;&gt;"",1,0)+IF(H50&lt;&gt;"",1,0)+IF(J50&lt;&gt;"",1,0)+IF(L50&lt;&gt;"",1,0)</x:f>
        <x:v>1</x:v>
      </x:c>
      <x:c r="O50" s="14" t="str">
        <x:f>IF(E50="","MISSING MAIN",IF(N50=1,"MAIN ONLY","MULTI-PHOTO"))</x:f>
        <x:v>MAIN ONLY</x:v>
      </x:c>
      <x:c r="P50" s="14" t="str">
        <x:v>0076_</x:v>
      </x:c>
      <x:c r="Q50" s="14" t="str">
        <x:v>https://mb1advancedsolutions.github.io/mb1-catalog/index.html?design=0076</x:v>
      </x:c>
      <x:c r="R50" s="14" t="str"/>
    </x:row>
    <x:row r="51">
      <x:c r="A51" s="13" t="str">
        <x:v>MB1-0077</x:v>
      </x:c>
      <x:c r="B51" s="13" t="str">
        <x:v>MB1-0077</x:v>
      </x:c>
      <x:c r="C51" s="14" t="str">
        <x:v>Bees and Honeycomb 02</x:v>
      </x:c>
      <x:c r="D51" s="14" t="str">
        <x:v>wildlife and outdoors</x:v>
      </x:c>
      <x:c r="E51" s="14" t="str">
        <x:v>https://res.cloudinary.com/oxygre42/image/upload/f_auto,q_auto,c_pad,b_white,w_1200,h_1200/v1788348835/0077_Bees_and_Honeycomb_02.png</x:v>
      </x:c>
      <x:c r="F51" s="14" t="str"/>
      <x:c r="G51" s="14" t="str">
        <x:v>Lifestyle</x:v>
      </x:c>
      <x:c r="H51" s="14" t="str"/>
      <x:c r="I51" s="14" t="str">
        <x:v>Detail</x:v>
      </x:c>
      <x:c r="J51" s="14" t="str"/>
      <x:c r="K51" s="14" t="str">
        <x:v>Scale</x:v>
      </x:c>
      <x:c r="L51" s="14" t="str"/>
      <x:c r="M51" s="14" t="str">
        <x:v>Alternate</x:v>
      </x:c>
      <x:c r="N51" s="14" t="n">
        <x:f>IF(E51&lt;&gt;"",1,0)+IF(F51&lt;&gt;"",1,0)+IF(H51&lt;&gt;"",1,0)+IF(J51&lt;&gt;"",1,0)+IF(L51&lt;&gt;"",1,0)</x:f>
        <x:v>1</x:v>
      </x:c>
      <x:c r="O51" s="14" t="str">
        <x:f>IF(E51="","MISSING MAIN",IF(N51=1,"MAIN ONLY","MULTI-PHOTO"))</x:f>
        <x:v>MAIN ONLY</x:v>
      </x:c>
      <x:c r="P51" s="14" t="str">
        <x:v>0077_</x:v>
      </x:c>
      <x:c r="Q51" s="14" t="str">
        <x:v>https://mb1advancedsolutions.github.io/mb1-catalog/index.html?design=0077</x:v>
      </x:c>
      <x:c r="R51" s="14" t="str"/>
    </x:row>
    <x:row r="52">
      <x:c r="A52" s="13" t="str">
        <x:v>MB1-0078</x:v>
      </x:c>
      <x:c r="B52" s="13" t="str">
        <x:v>MB1-0078</x:v>
      </x:c>
      <x:c r="C52" s="14" t="str">
        <x:v>Bees and Honeycomb 03</x:v>
      </x:c>
      <x:c r="D52" s="14" t="str">
        <x:v>wildlife and outdoors</x:v>
      </x:c>
      <x:c r="E52" s="14" t="str">
        <x:v>https://res.cloudinary.com/oxygre42/image/upload/f_auto,q_auto,c_pad,b_white,w_1200,h_1200/v1788348837/0078_Bees_and_Honeycomb_03.png</x:v>
      </x:c>
      <x:c r="F52" s="14" t="str"/>
      <x:c r="G52" s="14" t="str">
        <x:v>Lifestyle</x:v>
      </x:c>
      <x:c r="H52" s="14" t="str"/>
      <x:c r="I52" s="14" t="str">
        <x:v>Detail</x:v>
      </x:c>
      <x:c r="J52" s="14" t="str"/>
      <x:c r="K52" s="14" t="str">
        <x:v>Scale</x:v>
      </x:c>
      <x:c r="L52" s="14" t="str"/>
      <x:c r="M52" s="14" t="str">
        <x:v>Alternate</x:v>
      </x:c>
      <x:c r="N52" s="14" t="n">
        <x:f>IF(E52&lt;&gt;"",1,0)+IF(F52&lt;&gt;"",1,0)+IF(H52&lt;&gt;"",1,0)+IF(J52&lt;&gt;"",1,0)+IF(L52&lt;&gt;"",1,0)</x:f>
        <x:v>1</x:v>
      </x:c>
      <x:c r="O52" s="14" t="str">
        <x:f>IF(E52="","MISSING MAIN",IF(N52=1,"MAIN ONLY","MULTI-PHOTO"))</x:f>
        <x:v>MAIN ONLY</x:v>
      </x:c>
      <x:c r="P52" s="14" t="str">
        <x:v>0078_</x:v>
      </x:c>
      <x:c r="Q52" s="14" t="str">
        <x:v>https://mb1advancedsolutions.github.io/mb1-catalog/index.html?design=0078</x:v>
      </x:c>
      <x:c r="R52" s="14" t="str"/>
    </x:row>
    <x:row r="53">
      <x:c r="A53" s="13" t="str">
        <x:v>MB1-0079</x:v>
      </x:c>
      <x:c r="B53" s="13" t="str">
        <x:v>MB1-0079</x:v>
      </x:c>
      <x:c r="C53" s="14" t="str">
        <x:v>Bees and Honeycomb 04</x:v>
      </x:c>
      <x:c r="D53" s="14" t="str">
        <x:v>wildlife and outdoors</x:v>
      </x:c>
      <x:c r="E53" s="14" t="str">
        <x:v>https://res.cloudinary.com/oxygre42/image/upload/f_auto,q_auto,c_pad,b_white,w_1200,h_1200/v1788348838/0079_Bees_and_Honeycomb_04.png</x:v>
      </x:c>
      <x:c r="F53" s="14" t="str"/>
      <x:c r="G53" s="14" t="str">
        <x:v>Lifestyle</x:v>
      </x:c>
      <x:c r="H53" s="14" t="str"/>
      <x:c r="I53" s="14" t="str">
        <x:v>Detail</x:v>
      </x:c>
      <x:c r="J53" s="14" t="str"/>
      <x:c r="K53" s="14" t="str">
        <x:v>Scale</x:v>
      </x:c>
      <x:c r="L53" s="14" t="str"/>
      <x:c r="M53" s="14" t="str">
        <x:v>Alternate</x:v>
      </x:c>
      <x:c r="N53" s="14" t="n">
        <x:f>IF(E53&lt;&gt;"",1,0)+IF(F53&lt;&gt;"",1,0)+IF(H53&lt;&gt;"",1,0)+IF(J53&lt;&gt;"",1,0)+IF(L53&lt;&gt;"",1,0)</x:f>
        <x:v>1</x:v>
      </x:c>
      <x:c r="O53" s="14" t="str">
        <x:f>IF(E53="","MISSING MAIN",IF(N53=1,"MAIN ONLY","MULTI-PHOTO"))</x:f>
        <x:v>MAIN ONLY</x:v>
      </x:c>
      <x:c r="P53" s="14" t="str">
        <x:v>0079_</x:v>
      </x:c>
      <x:c r="Q53" s="14" t="str">
        <x:v>https://mb1advancedsolutions.github.io/mb1-catalog/index.html?design=0079</x:v>
      </x:c>
      <x:c r="R53" s="14" t="str"/>
    </x:row>
    <x:row r="54">
      <x:c r="A54" s="13" t="str">
        <x:v>MB1-0080</x:v>
      </x:c>
      <x:c r="B54" s="13" t="str">
        <x:v>MB1-0080</x:v>
      </x:c>
      <x:c r="C54" s="14" t="str">
        <x:v>Bees and Honeycomb 05</x:v>
      </x:c>
      <x:c r="D54" s="14" t="str">
        <x:v>wildlife and outdoors</x:v>
      </x:c>
      <x:c r="E54" s="14" t="str">
        <x:v>https://res.cloudinary.com/oxygre42/image/upload/f_auto,q_auto,c_pad,b_white,w_1200,h_1200/v1788348840/0080_Bees_and_Honeycomb_05.png</x:v>
      </x:c>
      <x:c r="F54" s="14" t="str"/>
      <x:c r="G54" s="14" t="str">
        <x:v>Lifestyle</x:v>
      </x:c>
      <x:c r="H54" s="14" t="str"/>
      <x:c r="I54" s="14" t="str">
        <x:v>Detail</x:v>
      </x:c>
      <x:c r="J54" s="14" t="str"/>
      <x:c r="K54" s="14" t="str">
        <x:v>Scale</x:v>
      </x:c>
      <x:c r="L54" s="14" t="str"/>
      <x:c r="M54" s="14" t="str">
        <x:v>Alternate</x:v>
      </x:c>
      <x:c r="N54" s="14" t="n">
        <x:f>IF(E54&lt;&gt;"",1,0)+IF(F54&lt;&gt;"",1,0)+IF(H54&lt;&gt;"",1,0)+IF(J54&lt;&gt;"",1,0)+IF(L54&lt;&gt;"",1,0)</x:f>
        <x:v>1</x:v>
      </x:c>
      <x:c r="O54" s="14" t="str">
        <x:f>IF(E54="","MISSING MAIN",IF(N54=1,"MAIN ONLY","MULTI-PHOTO"))</x:f>
        <x:v>MAIN ONLY</x:v>
      </x:c>
      <x:c r="P54" s="14" t="str">
        <x:v>0080_</x:v>
      </x:c>
      <x:c r="Q54" s="14" t="str">
        <x:v>https://mb1advancedsolutions.github.io/mb1-catalog/index.html?design=0080</x:v>
      </x:c>
      <x:c r="R54" s="14" t="str"/>
    </x:row>
    <x:row r="55">
      <x:c r="A55" s="13" t="str">
        <x:v>MB1-0081</x:v>
      </x:c>
      <x:c r="B55" s="13" t="str">
        <x:v>MB1-0081</x:v>
      </x:c>
      <x:c r="C55" s="14" t="str">
        <x:v>Bees and Honeycomb 06</x:v>
      </x:c>
      <x:c r="D55" s="14" t="str">
        <x:v>wildlife and outdoors</x:v>
      </x:c>
      <x:c r="E55" s="14" t="str">
        <x:v>https://res.cloudinary.com/oxygre42/image/upload/f_auto,q_auto,c_pad,b_white,w_1200,h_1200/v1788348842/0081_Bees_and_Honeycomb_06.png</x:v>
      </x:c>
      <x:c r="F55" s="14" t="str"/>
      <x:c r="G55" s="14" t="str">
        <x:v>Lifestyle</x:v>
      </x:c>
      <x:c r="H55" s="14" t="str"/>
      <x:c r="I55" s="14" t="str">
        <x:v>Detail</x:v>
      </x:c>
      <x:c r="J55" s="14" t="str"/>
      <x:c r="K55" s="14" t="str">
        <x:v>Scale</x:v>
      </x:c>
      <x:c r="L55" s="14" t="str"/>
      <x:c r="M55" s="14" t="str">
        <x:v>Alternate</x:v>
      </x:c>
      <x:c r="N55" s="14" t="n">
        <x:f>IF(E55&lt;&gt;"",1,0)+IF(F55&lt;&gt;"",1,0)+IF(H55&lt;&gt;"",1,0)+IF(J55&lt;&gt;"",1,0)+IF(L55&lt;&gt;"",1,0)</x:f>
        <x:v>1</x:v>
      </x:c>
      <x:c r="O55" s="14" t="str">
        <x:f>IF(E55="","MISSING MAIN",IF(N55=1,"MAIN ONLY","MULTI-PHOTO"))</x:f>
        <x:v>MAIN ONLY</x:v>
      </x:c>
      <x:c r="P55" s="14" t="str">
        <x:v>0081_</x:v>
      </x:c>
      <x:c r="Q55" s="14" t="str">
        <x:v>https://mb1advancedsolutions.github.io/mb1-catalog/index.html?design=0081</x:v>
      </x:c>
      <x:c r="R55" s="14" t="str"/>
    </x:row>
    <x:row r="56">
      <x:c r="A56" s="13" t="str">
        <x:v>MB1-0082</x:v>
      </x:c>
      <x:c r="B56" s="13" t="str">
        <x:v>MB1-0082</x:v>
      </x:c>
      <x:c r="C56" s="14" t="str">
        <x:v>Bees and Honeycomb 07</x:v>
      </x:c>
      <x:c r="D56" s="14" t="str">
        <x:v>wildlife and outdoors</x:v>
      </x:c>
      <x:c r="E56" s="14" t="str">
        <x:v>https://res.cloudinary.com/oxygre42/image/upload/f_auto,q_auto,c_pad,b_white,w_1200,h_1200/v1788348844/0082_Bees_and_Honeycomb_07.png</x:v>
      </x:c>
      <x:c r="F56" s="14" t="str"/>
      <x:c r="G56" s="14" t="str">
        <x:v>Lifestyle</x:v>
      </x:c>
      <x:c r="H56" s="14" t="str"/>
      <x:c r="I56" s="14" t="str">
        <x:v>Detail</x:v>
      </x:c>
      <x:c r="J56" s="14" t="str"/>
      <x:c r="K56" s="14" t="str">
        <x:v>Scale</x:v>
      </x:c>
      <x:c r="L56" s="14" t="str"/>
      <x:c r="M56" s="14" t="str">
        <x:v>Alternate</x:v>
      </x:c>
      <x:c r="N56" s="14" t="n">
        <x:f>IF(E56&lt;&gt;"",1,0)+IF(F56&lt;&gt;"",1,0)+IF(H56&lt;&gt;"",1,0)+IF(J56&lt;&gt;"",1,0)+IF(L56&lt;&gt;"",1,0)</x:f>
        <x:v>1</x:v>
      </x:c>
      <x:c r="O56" s="14" t="str">
        <x:f>IF(E56="","MISSING MAIN",IF(N56=1,"MAIN ONLY","MULTI-PHOTO"))</x:f>
        <x:v>MAIN ONLY</x:v>
      </x:c>
      <x:c r="P56" s="14" t="str">
        <x:v>0082_</x:v>
      </x:c>
      <x:c r="Q56" s="14" t="str">
        <x:v>https://mb1advancedsolutions.github.io/mb1-catalog/index.html?design=0082</x:v>
      </x:c>
      <x:c r="R56" s="14" t="str"/>
    </x:row>
    <x:row r="57">
      <x:c r="A57" s="13" t="str">
        <x:v>MB1-0083</x:v>
      </x:c>
      <x:c r="B57" s="13" t="str">
        <x:v>MB1-0083</x:v>
      </x:c>
      <x:c r="C57" s="14" t="str">
        <x:v>Bees and Honeycomb 08</x:v>
      </x:c>
      <x:c r="D57" s="14" t="str">
        <x:v>wildlife and outdoors</x:v>
      </x:c>
      <x:c r="E57" s="14" t="str">
        <x:v>https://res.cloudinary.com/oxygre42/image/upload/f_auto,q_auto,c_pad,b_white,w_1200,h_1200/v1788348846/0083_Bees_and_Honeycomb_08.png</x:v>
      </x:c>
      <x:c r="F57" s="14" t="str"/>
      <x:c r="G57" s="14" t="str">
        <x:v>Lifestyle</x:v>
      </x:c>
      <x:c r="H57" s="14" t="str"/>
      <x:c r="I57" s="14" t="str">
        <x:v>Detail</x:v>
      </x:c>
      <x:c r="J57" s="14" t="str"/>
      <x:c r="K57" s="14" t="str">
        <x:v>Scale</x:v>
      </x:c>
      <x:c r="L57" s="14" t="str"/>
      <x:c r="M57" s="14" t="str">
        <x:v>Alternate</x:v>
      </x:c>
      <x:c r="N57" s="14" t="n">
        <x:f>IF(E57&lt;&gt;"",1,0)+IF(F57&lt;&gt;"",1,0)+IF(H57&lt;&gt;"",1,0)+IF(J57&lt;&gt;"",1,0)+IF(L57&lt;&gt;"",1,0)</x:f>
        <x:v>1</x:v>
      </x:c>
      <x:c r="O57" s="14" t="str">
        <x:f>IF(E57="","MISSING MAIN",IF(N57=1,"MAIN ONLY","MULTI-PHOTO"))</x:f>
        <x:v>MAIN ONLY</x:v>
      </x:c>
      <x:c r="P57" s="14" t="str">
        <x:v>0083_</x:v>
      </x:c>
      <x:c r="Q57" s="14" t="str">
        <x:v>https://mb1advancedsolutions.github.io/mb1-catalog/index.html?design=0083</x:v>
      </x:c>
      <x:c r="R57" s="14" t="str"/>
    </x:row>
    <x:row r="58">
      <x:c r="A58" s="13" t="str">
        <x:v>MB1-0084</x:v>
      </x:c>
      <x:c r="B58" s="13" t="str">
        <x:v>MB1-0084</x:v>
      </x:c>
      <x:c r="C58" s="14" t="str">
        <x:v>Bees and Honeycomb 09</x:v>
      </x:c>
      <x:c r="D58" s="14" t="str">
        <x:v>wildlife and outdoors</x:v>
      </x:c>
      <x:c r="E58" s="14" t="str">
        <x:v>https://res.cloudinary.com/oxygre42/image/upload/f_auto,q_auto,c_pad,b_white,w_1200,h_1200/v1788348848/0084_Bees_and_Honeycomb_09.png</x:v>
      </x:c>
      <x:c r="F58" s="14" t="str"/>
      <x:c r="G58" s="14" t="str">
        <x:v>Lifestyle</x:v>
      </x:c>
      <x:c r="H58" s="14" t="str"/>
      <x:c r="I58" s="14" t="str">
        <x:v>Detail</x:v>
      </x:c>
      <x:c r="J58" s="14" t="str"/>
      <x:c r="K58" s="14" t="str">
        <x:v>Scale</x:v>
      </x:c>
      <x:c r="L58" s="14" t="str"/>
      <x:c r="M58" s="14" t="str">
        <x:v>Alternate</x:v>
      </x:c>
      <x:c r="N58" s="14" t="n">
        <x:f>IF(E58&lt;&gt;"",1,0)+IF(F58&lt;&gt;"",1,0)+IF(H58&lt;&gt;"",1,0)+IF(J58&lt;&gt;"",1,0)+IF(L58&lt;&gt;"",1,0)</x:f>
        <x:v>1</x:v>
      </x:c>
      <x:c r="O58" s="14" t="str">
        <x:f>IF(E58="","MISSING MAIN",IF(N58=1,"MAIN ONLY","MULTI-PHOTO"))</x:f>
        <x:v>MAIN ONLY</x:v>
      </x:c>
      <x:c r="P58" s="14" t="str">
        <x:v>0084_</x:v>
      </x:c>
      <x:c r="Q58" s="14" t="str">
        <x:v>https://mb1advancedsolutions.github.io/mb1-catalog/index.html?design=0084</x:v>
      </x:c>
      <x:c r="R58" s="14" t="str"/>
    </x:row>
    <x:row r="59">
      <x:c r="A59" s="13" t="str">
        <x:v>MB1-0085</x:v>
      </x:c>
      <x:c r="B59" s="13" t="str">
        <x:v>MB1-0085</x:v>
      </x:c>
      <x:c r="C59" s="14" t="str">
        <x:v>Bees and Honeycomb 10</x:v>
      </x:c>
      <x:c r="D59" s="14" t="str">
        <x:v>wildlife and outdoors</x:v>
      </x:c>
      <x:c r="E59" s="14" t="str">
        <x:v>https://res.cloudinary.com/oxygre42/image/upload/f_auto,q_auto,c_pad,b_white,w_1200,h_1200/v1788348850/0085_Bees_and_Honeycomb_10.png</x:v>
      </x:c>
      <x:c r="F59" s="14" t="str"/>
      <x:c r="G59" s="14" t="str">
        <x:v>Lifestyle</x:v>
      </x:c>
      <x:c r="H59" s="14" t="str"/>
      <x:c r="I59" s="14" t="str">
        <x:v>Detail</x:v>
      </x:c>
      <x:c r="J59" s="14" t="str"/>
      <x:c r="K59" s="14" t="str">
        <x:v>Scale</x:v>
      </x:c>
      <x:c r="L59" s="14" t="str"/>
      <x:c r="M59" s="14" t="str">
        <x:v>Alternate</x:v>
      </x:c>
      <x:c r="N59" s="14" t="n">
        <x:f>IF(E59&lt;&gt;"",1,0)+IF(F59&lt;&gt;"",1,0)+IF(H59&lt;&gt;"",1,0)+IF(J59&lt;&gt;"",1,0)+IF(L59&lt;&gt;"",1,0)</x:f>
        <x:v>1</x:v>
      </x:c>
      <x:c r="O59" s="14" t="str">
        <x:f>IF(E59="","MISSING MAIN",IF(N59=1,"MAIN ONLY","MULTI-PHOTO"))</x:f>
        <x:v>MAIN ONLY</x:v>
      </x:c>
      <x:c r="P59" s="14" t="str">
        <x:v>0085_</x:v>
      </x:c>
      <x:c r="Q59" s="14" t="str">
        <x:v>https://mb1advancedsolutions.github.io/mb1-catalog/index.html?design=0085</x:v>
      </x:c>
      <x:c r="R59" s="14" t="str"/>
    </x:row>
    <x:row r="60">
      <x:c r="A60" s="13" t="str">
        <x:v>MB1-0086</x:v>
      </x:c>
      <x:c r="B60" s="13" t="str">
        <x:v>MB1-0086</x:v>
      </x:c>
      <x:c r="C60" s="14" t="str">
        <x:v>Bees and Honeycomb 11</x:v>
      </x:c>
      <x:c r="D60" s="14" t="str">
        <x:v>wildlife and outdoors</x:v>
      </x:c>
      <x:c r="E60" s="14" t="str">
        <x:v>https://res.cloudinary.com/oxygre42/image/upload/f_auto,q_auto,c_pad,b_white,w_1200,h_1200/v1788348852/0086_Bees_and_Honeycomb_11.png</x:v>
      </x:c>
      <x:c r="F60" s="14" t="str"/>
      <x:c r="G60" s="14" t="str">
        <x:v>Lifestyle</x:v>
      </x:c>
      <x:c r="H60" s="14" t="str"/>
      <x:c r="I60" s="14" t="str">
        <x:v>Detail</x:v>
      </x:c>
      <x:c r="J60" s="14" t="str"/>
      <x:c r="K60" s="14" t="str">
        <x:v>Scale</x:v>
      </x:c>
      <x:c r="L60" s="14" t="str"/>
      <x:c r="M60" s="14" t="str">
        <x:v>Alternate</x:v>
      </x:c>
      <x:c r="N60" s="14" t="n">
        <x:f>IF(E60&lt;&gt;"",1,0)+IF(F60&lt;&gt;"",1,0)+IF(H60&lt;&gt;"",1,0)+IF(J60&lt;&gt;"",1,0)+IF(L60&lt;&gt;"",1,0)</x:f>
        <x:v>1</x:v>
      </x:c>
      <x:c r="O60" s="14" t="str">
        <x:f>IF(E60="","MISSING MAIN",IF(N60=1,"MAIN ONLY","MULTI-PHOTO"))</x:f>
        <x:v>MAIN ONLY</x:v>
      </x:c>
      <x:c r="P60" s="14" t="str">
        <x:v>0086_</x:v>
      </x:c>
      <x:c r="Q60" s="14" t="str">
        <x:v>https://mb1advancedsolutions.github.io/mb1-catalog/index.html?design=0086</x:v>
      </x:c>
      <x:c r="R60" s="14" t="str"/>
    </x:row>
    <x:row r="61">
      <x:c r="A61" s="13" t="str">
        <x:v>MB1-0087</x:v>
      </x:c>
      <x:c r="B61" s="13" t="str">
        <x:v>MB1-0087</x:v>
      </x:c>
      <x:c r="C61" s="14" t="str">
        <x:v>Bees and Honeycomb 12</x:v>
      </x:c>
      <x:c r="D61" s="14" t="str">
        <x:v>wildlife and outdoors</x:v>
      </x:c>
      <x:c r="E61" s="14" t="str">
        <x:v>https://res.cloudinary.com/oxygre42/image/upload/f_auto,q_auto,c_pad,b_white,w_1200,h_1200/v1788348854/0087_Bees_and_Honeycomb_12.png</x:v>
      </x:c>
      <x:c r="F61" s="14" t="str"/>
      <x:c r="G61" s="14" t="str">
        <x:v>Lifestyle</x:v>
      </x:c>
      <x:c r="H61" s="14" t="str"/>
      <x:c r="I61" s="14" t="str">
        <x:v>Detail</x:v>
      </x:c>
      <x:c r="J61" s="14" t="str"/>
      <x:c r="K61" s="14" t="str">
        <x:v>Scale</x:v>
      </x:c>
      <x:c r="L61" s="14" t="str"/>
      <x:c r="M61" s="14" t="str">
        <x:v>Alternate</x:v>
      </x:c>
      <x:c r="N61" s="14" t="n">
        <x:f>IF(E61&lt;&gt;"",1,0)+IF(F61&lt;&gt;"",1,0)+IF(H61&lt;&gt;"",1,0)+IF(J61&lt;&gt;"",1,0)+IF(L61&lt;&gt;"",1,0)</x:f>
        <x:v>1</x:v>
      </x:c>
      <x:c r="O61" s="14" t="str">
        <x:f>IF(E61="","MISSING MAIN",IF(N61=1,"MAIN ONLY","MULTI-PHOTO"))</x:f>
        <x:v>MAIN ONLY</x:v>
      </x:c>
      <x:c r="P61" s="14" t="str">
        <x:v>0087_</x:v>
      </x:c>
      <x:c r="Q61" s="14" t="str">
        <x:v>https://mb1advancedsolutions.github.io/mb1-catalog/index.html?design=0087</x:v>
      </x:c>
      <x:c r="R61" s="14" t="str"/>
    </x:row>
    <x:row r="62">
      <x:c r="A62" s="13" t="str">
        <x:v>MB1-0088</x:v>
      </x:c>
      <x:c r="B62" s="13" t="str">
        <x:v>MB1-0088</x:v>
      </x:c>
      <x:c r="C62" s="14" t="str">
        <x:v>Bees and Honeycomb 13</x:v>
      </x:c>
      <x:c r="D62" s="14" t="str">
        <x:v>wildlife and outdoors</x:v>
      </x:c>
      <x:c r="E62" s="14" t="str">
        <x:v>https://res.cloudinary.com/oxygre42/image/upload/f_auto,q_auto,c_pad,b_white,w_1200,h_1200/v1788348855/0088_Bees_and_Honeycomb_13.png</x:v>
      </x:c>
      <x:c r="F62" s="14" t="str"/>
      <x:c r="G62" s="14" t="str">
        <x:v>Lifestyle</x:v>
      </x:c>
      <x:c r="H62" s="14" t="str"/>
      <x:c r="I62" s="14" t="str">
        <x:v>Detail</x:v>
      </x:c>
      <x:c r="J62" s="14" t="str"/>
      <x:c r="K62" s="14" t="str">
        <x:v>Scale</x:v>
      </x:c>
      <x:c r="L62" s="14" t="str"/>
      <x:c r="M62" s="14" t="str">
        <x:v>Alternate</x:v>
      </x:c>
      <x:c r="N62" s="14" t="n">
        <x:f>IF(E62&lt;&gt;"",1,0)+IF(F62&lt;&gt;"",1,0)+IF(H62&lt;&gt;"",1,0)+IF(J62&lt;&gt;"",1,0)+IF(L62&lt;&gt;"",1,0)</x:f>
        <x:v>1</x:v>
      </x:c>
      <x:c r="O62" s="14" t="str">
        <x:f>IF(E62="","MISSING MAIN",IF(N62=1,"MAIN ONLY","MULTI-PHOTO"))</x:f>
        <x:v>MAIN ONLY</x:v>
      </x:c>
      <x:c r="P62" s="14" t="str">
        <x:v>0088_</x:v>
      </x:c>
      <x:c r="Q62" s="14" t="str">
        <x:v>https://mb1advancedsolutions.github.io/mb1-catalog/index.html?design=0088</x:v>
      </x:c>
      <x:c r="R62" s="14" t="str"/>
    </x:row>
    <x:row r="63">
      <x:c r="A63" s="13" t="str">
        <x:v>MB1-0089</x:v>
      </x:c>
      <x:c r="B63" s="13" t="str">
        <x:v>MB1-0089</x:v>
      </x:c>
      <x:c r="C63" s="14" t="str">
        <x:v>Bees and Honeycomb 14</x:v>
      </x:c>
      <x:c r="D63" s="14" t="str">
        <x:v>wildlife and outdoors</x:v>
      </x:c>
      <x:c r="E63" s="14" t="str">
        <x:v>https://res.cloudinary.com/oxygre42/image/upload/f_auto,q_auto,c_pad,b_white,w_1200,h_1200/v1788348857/0089_Bees_and_Honeycomb_14.png</x:v>
      </x:c>
      <x:c r="F63" s="14" t="str"/>
      <x:c r="G63" s="14" t="str">
        <x:v>Lifestyle</x:v>
      </x:c>
      <x:c r="H63" s="14" t="str"/>
      <x:c r="I63" s="14" t="str">
        <x:v>Detail</x:v>
      </x:c>
      <x:c r="J63" s="14" t="str"/>
      <x:c r="K63" s="14" t="str">
        <x:v>Scale</x:v>
      </x:c>
      <x:c r="L63" s="14" t="str"/>
      <x:c r="M63" s="14" t="str">
        <x:v>Alternate</x:v>
      </x:c>
      <x:c r="N63" s="14" t="n">
        <x:f>IF(E63&lt;&gt;"",1,0)+IF(F63&lt;&gt;"",1,0)+IF(H63&lt;&gt;"",1,0)+IF(J63&lt;&gt;"",1,0)+IF(L63&lt;&gt;"",1,0)</x:f>
        <x:v>1</x:v>
      </x:c>
      <x:c r="O63" s="14" t="str">
        <x:f>IF(E63="","MISSING MAIN",IF(N63=1,"MAIN ONLY","MULTI-PHOTO"))</x:f>
        <x:v>MAIN ONLY</x:v>
      </x:c>
      <x:c r="P63" s="14" t="str">
        <x:v>0089_</x:v>
      </x:c>
      <x:c r="Q63" s="14" t="str">
        <x:v>https://mb1advancedsolutions.github.io/mb1-catalog/index.html?design=0089</x:v>
      </x:c>
      <x:c r="R63" s="14" t="str"/>
    </x:row>
    <x:row r="64">
      <x:c r="A64" s="13" t="str">
        <x:v>MB1-0090</x:v>
      </x:c>
      <x:c r="B64" s="13" t="str">
        <x:v>MB1-0090</x:v>
      </x:c>
      <x:c r="C64" s="14" t="str">
        <x:v>Bees and Honeycomb 15</x:v>
      </x:c>
      <x:c r="D64" s="14" t="str">
        <x:v>wildlife and outdoors</x:v>
      </x:c>
      <x:c r="E64" s="14" t="str">
        <x:v>https://res.cloudinary.com/oxygre42/image/upload/f_auto,q_auto,c_pad,b_white,w_1200,h_1200/v1788348859/0090_Bees_and_Honeycomb_15.png</x:v>
      </x:c>
      <x:c r="F64" s="14" t="str"/>
      <x:c r="G64" s="14" t="str">
        <x:v>Lifestyle</x:v>
      </x:c>
      <x:c r="H64" s="14" t="str"/>
      <x:c r="I64" s="14" t="str">
        <x:v>Detail</x:v>
      </x:c>
      <x:c r="J64" s="14" t="str"/>
      <x:c r="K64" s="14" t="str">
        <x:v>Scale</x:v>
      </x:c>
      <x:c r="L64" s="14" t="str"/>
      <x:c r="M64" s="14" t="str">
        <x:v>Alternate</x:v>
      </x:c>
      <x:c r="N64" s="14" t="n">
        <x:f>IF(E64&lt;&gt;"",1,0)+IF(F64&lt;&gt;"",1,0)+IF(H64&lt;&gt;"",1,0)+IF(J64&lt;&gt;"",1,0)+IF(L64&lt;&gt;"",1,0)</x:f>
        <x:v>1</x:v>
      </x:c>
      <x:c r="O64" s="14" t="str">
        <x:f>IF(E64="","MISSING MAIN",IF(N64=1,"MAIN ONLY","MULTI-PHOTO"))</x:f>
        <x:v>MAIN ONLY</x:v>
      </x:c>
      <x:c r="P64" s="14" t="str">
        <x:v>0090_</x:v>
      </x:c>
      <x:c r="Q64" s="14" t="str">
        <x:v>https://mb1advancedsolutions.github.io/mb1-catalog/index.html?design=0090</x:v>
      </x:c>
      <x:c r="R64" s="14" t="str"/>
    </x:row>
    <x:row r="65">
      <x:c r="A65" s="13" t="str">
        <x:v>MB1-0091</x:v>
      </x:c>
      <x:c r="B65" s="13" t="str">
        <x:v>MB1-0091</x:v>
      </x:c>
      <x:c r="C65" s="14" t="str">
        <x:v>Bees and Honeycomb 16</x:v>
      </x:c>
      <x:c r="D65" s="14" t="str">
        <x:v>wildlife and outdoors</x:v>
      </x:c>
      <x:c r="E65" s="14" t="str">
        <x:v>https://res.cloudinary.com/oxygre42/image/upload/f_auto,q_auto,c_pad,b_white,w_1200,h_1200/v1788348861/0091_Bees_and_Honeycomb_16.png</x:v>
      </x:c>
      <x:c r="F65" s="14" t="str"/>
      <x:c r="G65" s="14" t="str">
        <x:v>Lifestyle</x:v>
      </x:c>
      <x:c r="H65" s="14" t="str"/>
      <x:c r="I65" s="14" t="str">
        <x:v>Detail</x:v>
      </x:c>
      <x:c r="J65" s="14" t="str"/>
      <x:c r="K65" s="14" t="str">
        <x:v>Scale</x:v>
      </x:c>
      <x:c r="L65" s="14" t="str"/>
      <x:c r="M65" s="14" t="str">
        <x:v>Alternate</x:v>
      </x:c>
      <x:c r="N65" s="14" t="n">
        <x:f>IF(E65&lt;&gt;"",1,0)+IF(F65&lt;&gt;"",1,0)+IF(H65&lt;&gt;"",1,0)+IF(J65&lt;&gt;"",1,0)+IF(L65&lt;&gt;"",1,0)</x:f>
        <x:v>1</x:v>
      </x:c>
      <x:c r="O65" s="14" t="str">
        <x:f>IF(E65="","MISSING MAIN",IF(N65=1,"MAIN ONLY","MULTI-PHOTO"))</x:f>
        <x:v>MAIN ONLY</x:v>
      </x:c>
      <x:c r="P65" s="14" t="str">
        <x:v>0091_</x:v>
      </x:c>
      <x:c r="Q65" s="14" t="str">
        <x:v>https://mb1advancedsolutions.github.io/mb1-catalog/index.html?design=0091</x:v>
      </x:c>
      <x:c r="R65" s="14" t="str"/>
    </x:row>
    <x:row r="66">
      <x:c r="A66" s="13" t="str">
        <x:v>MB1-0092</x:v>
      </x:c>
      <x:c r="B66" s="13" t="str">
        <x:v>MB1-0092</x:v>
      </x:c>
      <x:c r="C66" s="14" t="str">
        <x:v>Bees and Honeycomb 17</x:v>
      </x:c>
      <x:c r="D66" s="14" t="str">
        <x:v>wildlife and outdoors</x:v>
      </x:c>
      <x:c r="E66" s="14" t="str">
        <x:v>https://res.cloudinary.com/oxygre42/image/upload/f_auto,q_auto,c_pad,b_white,w_1200,h_1200/v1788348863/0092_Bees_and_Honeycomb_17.png</x:v>
      </x:c>
      <x:c r="F66" s="14" t="str"/>
      <x:c r="G66" s="14" t="str">
        <x:v>Lifestyle</x:v>
      </x:c>
      <x:c r="H66" s="14" t="str"/>
      <x:c r="I66" s="14" t="str">
        <x:v>Detail</x:v>
      </x:c>
      <x:c r="J66" s="14" t="str"/>
      <x:c r="K66" s="14" t="str">
        <x:v>Scale</x:v>
      </x:c>
      <x:c r="L66" s="14" t="str"/>
      <x:c r="M66" s="14" t="str">
        <x:v>Alternate</x:v>
      </x:c>
      <x:c r="N66" s="14" t="n">
        <x:f>IF(E66&lt;&gt;"",1,0)+IF(F66&lt;&gt;"",1,0)+IF(H66&lt;&gt;"",1,0)+IF(J66&lt;&gt;"",1,0)+IF(L66&lt;&gt;"",1,0)</x:f>
        <x:v>1</x:v>
      </x:c>
      <x:c r="O66" s="14" t="str">
        <x:f>IF(E66="","MISSING MAIN",IF(N66=1,"MAIN ONLY","MULTI-PHOTO"))</x:f>
        <x:v>MAIN ONLY</x:v>
      </x:c>
      <x:c r="P66" s="14" t="str">
        <x:v>0092_</x:v>
      </x:c>
      <x:c r="Q66" s="14" t="str">
        <x:v>https://mb1advancedsolutions.github.io/mb1-catalog/index.html?design=0092</x:v>
      </x:c>
      <x:c r="R66" s="14" t="str"/>
    </x:row>
    <x:row r="67">
      <x:c r="A67" s="13" t="str">
        <x:v>MB1-0093</x:v>
      </x:c>
      <x:c r="B67" s="13" t="str">
        <x:v>MB1-0093</x:v>
      </x:c>
      <x:c r="C67" s="14" t="str">
        <x:v>Bees and Honeycomb 18</x:v>
      </x:c>
      <x:c r="D67" s="14" t="str">
        <x:v>wildlife and outdoors</x:v>
      </x:c>
      <x:c r="E67" s="14" t="str">
        <x:v>https://res.cloudinary.com/oxygre42/image/upload/f_auto,q_auto,c_pad,b_white,w_1200,h_1200/v1788348865/0093_Bees_and_Honeycomb_18.png</x:v>
      </x:c>
      <x:c r="F67" s="14" t="str"/>
      <x:c r="G67" s="14" t="str">
        <x:v>Lifestyle</x:v>
      </x:c>
      <x:c r="H67" s="14" t="str"/>
      <x:c r="I67" s="14" t="str">
        <x:v>Detail</x:v>
      </x:c>
      <x:c r="J67" s="14" t="str"/>
      <x:c r="K67" s="14" t="str">
        <x:v>Scale</x:v>
      </x:c>
      <x:c r="L67" s="14" t="str"/>
      <x:c r="M67" s="14" t="str">
        <x:v>Alternate</x:v>
      </x:c>
      <x:c r="N67" s="14" t="n">
        <x:f>IF(E67&lt;&gt;"",1,0)+IF(F67&lt;&gt;"",1,0)+IF(H67&lt;&gt;"",1,0)+IF(J67&lt;&gt;"",1,0)+IF(L67&lt;&gt;"",1,0)</x:f>
        <x:v>1</x:v>
      </x:c>
      <x:c r="O67" s="14" t="str">
        <x:f>IF(E67="","MISSING MAIN",IF(N67=1,"MAIN ONLY","MULTI-PHOTO"))</x:f>
        <x:v>MAIN ONLY</x:v>
      </x:c>
      <x:c r="P67" s="14" t="str">
        <x:v>0093_</x:v>
      </x:c>
      <x:c r="Q67" s="14" t="str">
        <x:v>https://mb1advancedsolutions.github.io/mb1-catalog/index.html?design=0093</x:v>
      </x:c>
      <x:c r="R67" s="14" t="str"/>
    </x:row>
    <x:row r="68">
      <x:c r="A68" s="13" t="str">
        <x:v>MB1-0094</x:v>
      </x:c>
      <x:c r="B68" s="13" t="str">
        <x:v>MB1-0094</x:v>
      </x:c>
      <x:c r="C68" s="14" t="str">
        <x:v>Bees and Honeycomb 19</x:v>
      </x:c>
      <x:c r="D68" s="14" t="str">
        <x:v>wildlife and outdoors</x:v>
      </x:c>
      <x:c r="E68" s="14" t="str">
        <x:v>https://res.cloudinary.com/oxygre42/image/upload/f_auto,q_auto,c_pad,b_white,w_1200,h_1200/v1788348867/0094_Bees_and_Honeycomb_19.png</x:v>
      </x:c>
      <x:c r="F68" s="14" t="str"/>
      <x:c r="G68" s="14" t="str">
        <x:v>Lifestyle</x:v>
      </x:c>
      <x:c r="H68" s="14" t="str"/>
      <x:c r="I68" s="14" t="str">
        <x:v>Detail</x:v>
      </x:c>
      <x:c r="J68" s="14" t="str"/>
      <x:c r="K68" s="14" t="str">
        <x:v>Scale</x:v>
      </x:c>
      <x:c r="L68" s="14" t="str"/>
      <x:c r="M68" s="14" t="str">
        <x:v>Alternate</x:v>
      </x:c>
      <x:c r="N68" s="14" t="n">
        <x:f>IF(E68&lt;&gt;"",1,0)+IF(F68&lt;&gt;"",1,0)+IF(H68&lt;&gt;"",1,0)+IF(J68&lt;&gt;"",1,0)+IF(L68&lt;&gt;"",1,0)</x:f>
        <x:v>1</x:v>
      </x:c>
      <x:c r="O68" s="14" t="str">
        <x:f>IF(E68="","MISSING MAIN",IF(N68=1,"MAIN ONLY","MULTI-PHOTO"))</x:f>
        <x:v>MAIN ONLY</x:v>
      </x:c>
      <x:c r="P68" s="14" t="str">
        <x:v>0094_</x:v>
      </x:c>
      <x:c r="Q68" s="14" t="str">
        <x:v>https://mb1advancedsolutions.github.io/mb1-catalog/index.html?design=0094</x:v>
      </x:c>
      <x:c r="R68" s="14" t="str"/>
    </x:row>
    <x:row r="69">
      <x:c r="A69" s="13" t="str">
        <x:v>MB1-0095</x:v>
      </x:c>
      <x:c r="B69" s="13" t="str">
        <x:v>MB1-0095</x:v>
      </x:c>
      <x:c r="C69" s="14" t="str">
        <x:v>Bees and Honeycomb 20</x:v>
      </x:c>
      <x:c r="D69" s="14" t="str">
        <x:v>wildlife and outdoors</x:v>
      </x:c>
      <x:c r="E69" s="14" t="str">
        <x:v>https://res.cloudinary.com/oxygre42/image/upload/f_auto,q_auto,c_pad,b_white,w_1200,h_1200/v1788348869/0095_Bees_and_Honeycomb_20.png</x:v>
      </x:c>
      <x:c r="F69" s="14" t="str"/>
      <x:c r="G69" s="14" t="str">
        <x:v>Lifestyle</x:v>
      </x:c>
      <x:c r="H69" s="14" t="str"/>
      <x:c r="I69" s="14" t="str">
        <x:v>Detail</x:v>
      </x:c>
      <x:c r="J69" s="14" t="str"/>
      <x:c r="K69" s="14" t="str">
        <x:v>Scale</x:v>
      </x:c>
      <x:c r="L69" s="14" t="str"/>
      <x:c r="M69" s="14" t="str">
        <x:v>Alternate</x:v>
      </x:c>
      <x:c r="N69" s="14" t="n">
        <x:f>IF(E69&lt;&gt;"",1,0)+IF(F69&lt;&gt;"",1,0)+IF(H69&lt;&gt;"",1,0)+IF(J69&lt;&gt;"",1,0)+IF(L69&lt;&gt;"",1,0)</x:f>
        <x:v>1</x:v>
      </x:c>
      <x:c r="O69" s="14" t="str">
        <x:f>IF(E69="","MISSING MAIN",IF(N69=1,"MAIN ONLY","MULTI-PHOTO"))</x:f>
        <x:v>MAIN ONLY</x:v>
      </x:c>
      <x:c r="P69" s="14" t="str">
        <x:v>0095_</x:v>
      </x:c>
      <x:c r="Q69" s="14" t="str">
        <x:v>https://mb1advancedsolutions.github.io/mb1-catalog/index.html?design=0095</x:v>
      </x:c>
      <x:c r="R69" s="14" t="str"/>
    </x:row>
    <x:row r="70">
      <x:c r="A70" s="13" t="str">
        <x:v>MB1-0096</x:v>
      </x:c>
      <x:c r="B70" s="13" t="str">
        <x:v>MB1-0096</x:v>
      </x:c>
      <x:c r="C70" s="14" t="str">
        <x:v>Bees and Honeycomb 21</x:v>
      </x:c>
      <x:c r="D70" s="14" t="str">
        <x:v>wildlife and outdoors</x:v>
      </x:c>
      <x:c r="E70" s="14" t="str">
        <x:v>https://res.cloudinary.com/oxygre42/image/upload/f_auto,q_auto,c_pad,b_white,w_1200,h_1200/v1788348871/0096_Bees_and_Honeycomb_21.png</x:v>
      </x:c>
      <x:c r="F70" s="14" t="str"/>
      <x:c r="G70" s="14" t="str">
        <x:v>Lifestyle</x:v>
      </x:c>
      <x:c r="H70" s="14" t="str"/>
      <x:c r="I70" s="14" t="str">
        <x:v>Detail</x:v>
      </x:c>
      <x:c r="J70" s="14" t="str"/>
      <x:c r="K70" s="14" t="str">
        <x:v>Scale</x:v>
      </x:c>
      <x:c r="L70" s="14" t="str"/>
      <x:c r="M70" s="14" t="str">
        <x:v>Alternate</x:v>
      </x:c>
      <x:c r="N70" s="14" t="n">
        <x:f>IF(E70&lt;&gt;"",1,0)+IF(F70&lt;&gt;"",1,0)+IF(H70&lt;&gt;"",1,0)+IF(J70&lt;&gt;"",1,0)+IF(L70&lt;&gt;"",1,0)</x:f>
        <x:v>1</x:v>
      </x:c>
      <x:c r="O70" s="14" t="str">
        <x:f>IF(E70="","MISSING MAIN",IF(N70=1,"MAIN ONLY","MULTI-PHOTO"))</x:f>
        <x:v>MAIN ONLY</x:v>
      </x:c>
      <x:c r="P70" s="14" t="str">
        <x:v>0096_</x:v>
      </x:c>
      <x:c r="Q70" s="14" t="str">
        <x:v>https://mb1advancedsolutions.github.io/mb1-catalog/index.html?design=0096</x:v>
      </x:c>
      <x:c r="R70" s="14" t="str"/>
    </x:row>
    <x:row r="71">
      <x:c r="A71" s="13" t="str">
        <x:v>MB1-0097</x:v>
      </x:c>
      <x:c r="B71" s="13" t="str">
        <x:v>MB1-0097</x:v>
      </x:c>
      <x:c r="C71" s="14" t="str">
        <x:v>Bees and Honeycomb 22</x:v>
      </x:c>
      <x:c r="D71" s="14" t="str">
        <x:v>wildlife and outdoors</x:v>
      </x:c>
      <x:c r="E71" s="14" t="str">
        <x:v>https://res.cloudinary.com/oxygre42/image/upload/f_auto,q_auto,c_pad,b_white,w_1200,h_1200/v1788348872/0097_Bees_and_Honeycomb_22.png</x:v>
      </x:c>
      <x:c r="F71" s="14" t="str"/>
      <x:c r="G71" s="14" t="str">
        <x:v>Lifestyle</x:v>
      </x:c>
      <x:c r="H71" s="14" t="str"/>
      <x:c r="I71" s="14" t="str">
        <x:v>Detail</x:v>
      </x:c>
      <x:c r="J71" s="14" t="str"/>
      <x:c r="K71" s="14" t="str">
        <x:v>Scale</x:v>
      </x:c>
      <x:c r="L71" s="14" t="str"/>
      <x:c r="M71" s="14" t="str">
        <x:v>Alternate</x:v>
      </x:c>
      <x:c r="N71" s="14" t="n">
        <x:f>IF(E71&lt;&gt;"",1,0)+IF(F71&lt;&gt;"",1,0)+IF(H71&lt;&gt;"",1,0)+IF(J71&lt;&gt;"",1,0)+IF(L71&lt;&gt;"",1,0)</x:f>
        <x:v>1</x:v>
      </x:c>
      <x:c r="O71" s="14" t="str">
        <x:f>IF(E71="","MISSING MAIN",IF(N71=1,"MAIN ONLY","MULTI-PHOTO"))</x:f>
        <x:v>MAIN ONLY</x:v>
      </x:c>
      <x:c r="P71" s="14" t="str">
        <x:v>0097_</x:v>
      </x:c>
      <x:c r="Q71" s="14" t="str">
        <x:v>https://mb1advancedsolutions.github.io/mb1-catalog/index.html?design=0097</x:v>
      </x:c>
      <x:c r="R71" s="14" t="str"/>
    </x:row>
    <x:row r="72">
      <x:c r="A72" s="13" t="str">
        <x:v>MB1-0098</x:v>
      </x:c>
      <x:c r="B72" s="13" t="str">
        <x:v>MB1-0098</x:v>
      </x:c>
      <x:c r="C72" s="14" t="str">
        <x:v>Bees and Honeycomb 23</x:v>
      </x:c>
      <x:c r="D72" s="14" t="str">
        <x:v>wildlife and outdoors</x:v>
      </x:c>
      <x:c r="E72" s="14" t="str">
        <x:v>https://res.cloudinary.com/oxygre42/image/upload/f_auto,q_auto,c_pad,b_white,w_1200,h_1200/v1788348874/0098_Bees_and_Honeycomb_23.png</x:v>
      </x:c>
      <x:c r="F72" s="14" t="str"/>
      <x:c r="G72" s="14" t="str">
        <x:v>Lifestyle</x:v>
      </x:c>
      <x:c r="H72" s="14" t="str"/>
      <x:c r="I72" s="14" t="str">
        <x:v>Detail</x:v>
      </x:c>
      <x:c r="J72" s="14" t="str"/>
      <x:c r="K72" s="14" t="str">
        <x:v>Scale</x:v>
      </x:c>
      <x:c r="L72" s="14" t="str"/>
      <x:c r="M72" s="14" t="str">
        <x:v>Alternate</x:v>
      </x:c>
      <x:c r="N72" s="14" t="n">
        <x:f>IF(E72&lt;&gt;"",1,0)+IF(F72&lt;&gt;"",1,0)+IF(H72&lt;&gt;"",1,0)+IF(J72&lt;&gt;"",1,0)+IF(L72&lt;&gt;"",1,0)</x:f>
        <x:v>1</x:v>
      </x:c>
      <x:c r="O72" s="14" t="str">
        <x:f>IF(E72="","MISSING MAIN",IF(N72=1,"MAIN ONLY","MULTI-PHOTO"))</x:f>
        <x:v>MAIN ONLY</x:v>
      </x:c>
      <x:c r="P72" s="14" t="str">
        <x:v>0098_</x:v>
      </x:c>
      <x:c r="Q72" s="14" t="str">
        <x:v>https://mb1advancedsolutions.github.io/mb1-catalog/index.html?design=0098</x:v>
      </x:c>
      <x:c r="R72" s="14" t="str"/>
    </x:row>
    <x:row r="73">
      <x:c r="A73" s="13" t="str">
        <x:v>MB1-0099</x:v>
      </x:c>
      <x:c r="B73" s="13" t="str">
        <x:v>MB1-0099</x:v>
      </x:c>
      <x:c r="C73" s="14" t="str">
        <x:v>Bees and Honeycomb 24</x:v>
      </x:c>
      <x:c r="D73" s="14" t="str">
        <x:v>wildlife and outdoors</x:v>
      </x:c>
      <x:c r="E73" s="14" t="str">
        <x:v>https://res.cloudinary.com/oxygre42/image/upload/f_auto,q_auto,c_pad,b_white,w_1200,h_1200/v1788348876/0099_Bees_and_Honeycomb_24.png</x:v>
      </x:c>
      <x:c r="F73" s="14" t="str"/>
      <x:c r="G73" s="14" t="str">
        <x:v>Lifestyle</x:v>
      </x:c>
      <x:c r="H73" s="14" t="str"/>
      <x:c r="I73" s="14" t="str">
        <x:v>Detail</x:v>
      </x:c>
      <x:c r="J73" s="14" t="str"/>
      <x:c r="K73" s="14" t="str">
        <x:v>Scale</x:v>
      </x:c>
      <x:c r="L73" s="14" t="str"/>
      <x:c r="M73" s="14" t="str">
        <x:v>Alternate</x:v>
      </x:c>
      <x:c r="N73" s="14" t="n">
        <x:f>IF(E73&lt;&gt;"",1,0)+IF(F73&lt;&gt;"",1,0)+IF(H73&lt;&gt;"",1,0)+IF(J73&lt;&gt;"",1,0)+IF(L73&lt;&gt;"",1,0)</x:f>
        <x:v>1</x:v>
      </x:c>
      <x:c r="O73" s="14" t="str">
        <x:f>IF(E73="","MISSING MAIN",IF(N73=1,"MAIN ONLY","MULTI-PHOTO"))</x:f>
        <x:v>MAIN ONLY</x:v>
      </x:c>
      <x:c r="P73" s="14" t="str">
        <x:v>0099_</x:v>
      </x:c>
      <x:c r="Q73" s="14" t="str">
        <x:v>https://mb1advancedsolutions.github.io/mb1-catalog/index.html?design=0099</x:v>
      </x:c>
      <x:c r="R73" s="14" t="str"/>
    </x:row>
    <x:row r="74">
      <x:c r="A74" s="13" t="str">
        <x:v>MB1-0100</x:v>
      </x:c>
      <x:c r="B74" s="13" t="str">
        <x:v>MB1-0100</x:v>
      </x:c>
      <x:c r="C74" s="14" t="str">
        <x:v>Bees and Honeycomb 25</x:v>
      </x:c>
      <x:c r="D74" s="14" t="str">
        <x:v>wildlife and outdoors</x:v>
      </x:c>
      <x:c r="E74" s="14" t="str">
        <x:v>https://res.cloudinary.com/oxygre42/image/upload/f_auto,q_auto,c_pad,b_white,w_1200,h_1200/v1788348878/0100_Bees_and_Honeycomb_25.png</x:v>
      </x:c>
      <x:c r="F74" s="14" t="str"/>
      <x:c r="G74" s="14" t="str">
        <x:v>Lifestyle</x:v>
      </x:c>
      <x:c r="H74" s="14" t="str"/>
      <x:c r="I74" s="14" t="str">
        <x:v>Detail</x:v>
      </x:c>
      <x:c r="J74" s="14" t="str"/>
      <x:c r="K74" s="14" t="str">
        <x:v>Scale</x:v>
      </x:c>
      <x:c r="L74" s="14" t="str"/>
      <x:c r="M74" s="14" t="str">
        <x:v>Alternate</x:v>
      </x:c>
      <x:c r="N74" s="14" t="n">
        <x:f>IF(E74&lt;&gt;"",1,0)+IF(F74&lt;&gt;"",1,0)+IF(H74&lt;&gt;"",1,0)+IF(J74&lt;&gt;"",1,0)+IF(L74&lt;&gt;"",1,0)</x:f>
        <x:v>1</x:v>
      </x:c>
      <x:c r="O74" s="14" t="str">
        <x:f>IF(E74="","MISSING MAIN",IF(N74=1,"MAIN ONLY","MULTI-PHOTO"))</x:f>
        <x:v>MAIN ONLY</x:v>
      </x:c>
      <x:c r="P74" s="14" t="str">
        <x:v>0100_</x:v>
      </x:c>
      <x:c r="Q74" s="14" t="str">
        <x:v>https://mb1advancedsolutions.github.io/mb1-catalog/index.html?design=0100</x:v>
      </x:c>
      <x:c r="R74" s="14" t="str"/>
    </x:row>
    <x:row r="75">
      <x:c r="A75" s="13" t="str">
        <x:v>MB1-0101</x:v>
      </x:c>
      <x:c r="B75" s="13" t="str">
        <x:v>MB1-0101</x:v>
      </x:c>
      <x:c r="C75" s="14" t="str">
        <x:v>Bees and Honeycomb 26</x:v>
      </x:c>
      <x:c r="D75" s="14" t="str">
        <x:v>wildlife and outdoors</x:v>
      </x:c>
      <x:c r="E75" s="14" t="str">
        <x:v>https://res.cloudinary.com/oxygre42/image/upload/f_auto,q_auto,c_pad,b_white,w_1200,h_1200/v1788348880/0101_Bees_and_Honeycomb_26.png</x:v>
      </x:c>
      <x:c r="F75" s="14" t="str"/>
      <x:c r="G75" s="14" t="str">
        <x:v>Lifestyle</x:v>
      </x:c>
      <x:c r="H75" s="14" t="str"/>
      <x:c r="I75" s="14" t="str">
        <x:v>Detail</x:v>
      </x:c>
      <x:c r="J75" s="14" t="str"/>
      <x:c r="K75" s="14" t="str">
        <x:v>Scale</x:v>
      </x:c>
      <x:c r="L75" s="14" t="str"/>
      <x:c r="M75" s="14" t="str">
        <x:v>Alternate</x:v>
      </x:c>
      <x:c r="N75" s="14" t="n">
        <x:f>IF(E75&lt;&gt;"",1,0)+IF(F75&lt;&gt;"",1,0)+IF(H75&lt;&gt;"",1,0)+IF(J75&lt;&gt;"",1,0)+IF(L75&lt;&gt;"",1,0)</x:f>
        <x:v>1</x:v>
      </x:c>
      <x:c r="O75" s="14" t="str">
        <x:f>IF(E75="","MISSING MAIN",IF(N75=1,"MAIN ONLY","MULTI-PHOTO"))</x:f>
        <x:v>MAIN ONLY</x:v>
      </x:c>
      <x:c r="P75" s="14" t="str">
        <x:v>0101_</x:v>
      </x:c>
      <x:c r="Q75" s="14" t="str">
        <x:v>https://mb1advancedsolutions.github.io/mb1-catalog/index.html?design=0101</x:v>
      </x:c>
      <x:c r="R75" s="14" t="str"/>
    </x:row>
    <x:row r="76">
      <x:c r="A76" s="13" t="str">
        <x:v>MB1-0102</x:v>
      </x:c>
      <x:c r="B76" s="13" t="str">
        <x:v>MB1-0102</x:v>
      </x:c>
      <x:c r="C76" s="14" t="str">
        <x:v>Bees and Honeycomb 27</x:v>
      </x:c>
      <x:c r="D76" s="14" t="str">
        <x:v>wildlife and outdoors</x:v>
      </x:c>
      <x:c r="E76" s="14" t="str">
        <x:v>https://res.cloudinary.com/oxygre42/image/upload/f_auto,q_auto,c_pad,b_white,w_1200,h_1200/v1788348882/0102_Bees_and_Honeycomb_27.png</x:v>
      </x:c>
      <x:c r="F76" s="14" t="str"/>
      <x:c r="G76" s="14" t="str">
        <x:v>Lifestyle</x:v>
      </x:c>
      <x:c r="H76" s="14" t="str"/>
      <x:c r="I76" s="14" t="str">
        <x:v>Detail</x:v>
      </x:c>
      <x:c r="J76" s="14" t="str"/>
      <x:c r="K76" s="14" t="str">
        <x:v>Scale</x:v>
      </x:c>
      <x:c r="L76" s="14" t="str"/>
      <x:c r="M76" s="14" t="str">
        <x:v>Alternate</x:v>
      </x:c>
      <x:c r="N76" s="14" t="n">
        <x:f>IF(E76&lt;&gt;"",1,0)+IF(F76&lt;&gt;"",1,0)+IF(H76&lt;&gt;"",1,0)+IF(J76&lt;&gt;"",1,0)+IF(L76&lt;&gt;"",1,0)</x:f>
        <x:v>1</x:v>
      </x:c>
      <x:c r="O76" s="14" t="str">
        <x:f>IF(E76="","MISSING MAIN",IF(N76=1,"MAIN ONLY","MULTI-PHOTO"))</x:f>
        <x:v>MAIN ONLY</x:v>
      </x:c>
      <x:c r="P76" s="14" t="str">
        <x:v>0102_</x:v>
      </x:c>
      <x:c r="Q76" s="14" t="str">
        <x:v>https://mb1advancedsolutions.github.io/mb1-catalog/index.html?design=0102</x:v>
      </x:c>
      <x:c r="R76" s="14" t="str"/>
    </x:row>
    <x:row r="77">
      <x:c r="A77" s="13" t="str">
        <x:v>MB1-0103</x:v>
      </x:c>
      <x:c r="B77" s="13" t="str">
        <x:v>MB1-0103</x:v>
      </x:c>
      <x:c r="C77" s="14" t="str">
        <x:v>Bees and Honeycomb 28</x:v>
      </x:c>
      <x:c r="D77" s="14" t="str">
        <x:v>wildlife and outdoors</x:v>
      </x:c>
      <x:c r="E77" s="14" t="str">
        <x:v>https://res.cloudinary.com/oxygre42/image/upload/f_auto,q_auto,c_pad,b_white,w_1200,h_1200/v1788348884/0103_Bees_and_Honeycomb_28.png</x:v>
      </x:c>
      <x:c r="F77" s="14" t="str"/>
      <x:c r="G77" s="14" t="str">
        <x:v>Lifestyle</x:v>
      </x:c>
      <x:c r="H77" s="14" t="str"/>
      <x:c r="I77" s="14" t="str">
        <x:v>Detail</x:v>
      </x:c>
      <x:c r="J77" s="14" t="str"/>
      <x:c r="K77" s="14" t="str">
        <x:v>Scale</x:v>
      </x:c>
      <x:c r="L77" s="14" t="str"/>
      <x:c r="M77" s="14" t="str">
        <x:v>Alternate</x:v>
      </x:c>
      <x:c r="N77" s="14" t="n">
        <x:f>IF(E77&lt;&gt;"",1,0)+IF(F77&lt;&gt;"",1,0)+IF(H77&lt;&gt;"",1,0)+IF(J77&lt;&gt;"",1,0)+IF(L77&lt;&gt;"",1,0)</x:f>
        <x:v>1</x:v>
      </x:c>
      <x:c r="O77" s="14" t="str">
        <x:f>IF(E77="","MISSING MAIN",IF(N77=1,"MAIN ONLY","MULTI-PHOTO"))</x:f>
        <x:v>MAIN ONLY</x:v>
      </x:c>
      <x:c r="P77" s="14" t="str">
        <x:v>0103_</x:v>
      </x:c>
      <x:c r="Q77" s="14" t="str">
        <x:v>https://mb1advancedsolutions.github.io/mb1-catalog/index.html?design=0103</x:v>
      </x:c>
      <x:c r="R77" s="14" t="str"/>
    </x:row>
    <x:row r="78">
      <x:c r="A78" s="13" t="str">
        <x:v>MB1-0104</x:v>
      </x:c>
      <x:c r="B78" s="13" t="str">
        <x:v>MB1-0104</x:v>
      </x:c>
      <x:c r="C78" s="14" t="str">
        <x:v>Bees and Honeycomb 29</x:v>
      </x:c>
      <x:c r="D78" s="14" t="str">
        <x:v>wildlife and outdoors</x:v>
      </x:c>
      <x:c r="E78" s="14" t="str">
        <x:v>https://res.cloudinary.com/oxygre42/image/upload/f_auto,q_auto,c_pad,b_white,w_1200,h_1200/v1788348885/0104_Bees_and_Honeycomb_29.png</x:v>
      </x:c>
      <x:c r="F78" s="14" t="str"/>
      <x:c r="G78" s="14" t="str">
        <x:v>Lifestyle</x:v>
      </x:c>
      <x:c r="H78" s="14" t="str"/>
      <x:c r="I78" s="14" t="str">
        <x:v>Detail</x:v>
      </x:c>
      <x:c r="J78" s="14" t="str"/>
      <x:c r="K78" s="14" t="str">
        <x:v>Scale</x:v>
      </x:c>
      <x:c r="L78" s="14" t="str"/>
      <x:c r="M78" s="14" t="str">
        <x:v>Alternate</x:v>
      </x:c>
      <x:c r="N78" s="14" t="n">
        <x:f>IF(E78&lt;&gt;"",1,0)+IF(F78&lt;&gt;"",1,0)+IF(H78&lt;&gt;"",1,0)+IF(J78&lt;&gt;"",1,0)+IF(L78&lt;&gt;"",1,0)</x:f>
        <x:v>1</x:v>
      </x:c>
      <x:c r="O78" s="14" t="str">
        <x:f>IF(E78="","MISSING MAIN",IF(N78=1,"MAIN ONLY","MULTI-PHOTO"))</x:f>
        <x:v>MAIN ONLY</x:v>
      </x:c>
      <x:c r="P78" s="14" t="str">
        <x:v>0104_</x:v>
      </x:c>
      <x:c r="Q78" s="14" t="str">
        <x:v>https://mb1advancedsolutions.github.io/mb1-catalog/index.html?design=0104</x:v>
      </x:c>
      <x:c r="R78" s="14" t="str"/>
    </x:row>
    <x:row r="79">
      <x:c r="A79" s="13" t="str">
        <x:v>MB1-0105</x:v>
      </x:c>
      <x:c r="B79" s="13" t="str">
        <x:v>MB1-0105</x:v>
      </x:c>
      <x:c r="C79" s="14" t="str">
        <x:v>Bees and Honeycomb 30</x:v>
      </x:c>
      <x:c r="D79" s="14" t="str">
        <x:v>wildlife and outdoors</x:v>
      </x:c>
      <x:c r="E79" s="14" t="str">
        <x:v>https://res.cloudinary.com/oxygre42/image/upload/f_auto,q_auto,c_pad,b_white,w_1200,h_1200/v1788348887/0105_Bees_and_Honeycomb_30.png</x:v>
      </x:c>
      <x:c r="F79" s="14" t="str"/>
      <x:c r="G79" s="14" t="str">
        <x:v>Lifestyle</x:v>
      </x:c>
      <x:c r="H79" s="14" t="str"/>
      <x:c r="I79" s="14" t="str">
        <x:v>Detail</x:v>
      </x:c>
      <x:c r="J79" s="14" t="str"/>
      <x:c r="K79" s="14" t="str">
        <x:v>Scale</x:v>
      </x:c>
      <x:c r="L79" s="14" t="str"/>
      <x:c r="M79" s="14" t="str">
        <x:v>Alternate</x:v>
      </x:c>
      <x:c r="N79" s="14" t="n">
        <x:f>IF(E79&lt;&gt;"",1,0)+IF(F79&lt;&gt;"",1,0)+IF(H79&lt;&gt;"",1,0)+IF(J79&lt;&gt;"",1,0)+IF(L79&lt;&gt;"",1,0)</x:f>
        <x:v>1</x:v>
      </x:c>
      <x:c r="O79" s="14" t="str">
        <x:f>IF(E79="","MISSING MAIN",IF(N79=1,"MAIN ONLY","MULTI-PHOTO"))</x:f>
        <x:v>MAIN ONLY</x:v>
      </x:c>
      <x:c r="P79" s="14" t="str">
        <x:v>0105_</x:v>
      </x:c>
      <x:c r="Q79" s="14" t="str">
        <x:v>https://mb1advancedsolutions.github.io/mb1-catalog/index.html?design=0105</x:v>
      </x:c>
      <x:c r="R79" s="14" t="str"/>
    </x:row>
    <x:row r="80">
      <x:c r="A80" s="13" t="str">
        <x:v>MB1-0106</x:v>
      </x:c>
      <x:c r="B80" s="13" t="str">
        <x:v>MB1-0106</x:v>
      </x:c>
      <x:c r="C80" s="14" t="str">
        <x:v>CAR FRONT END 1</x:v>
      </x:c>
      <x:c r="D80" s="14" t="str">
        <x:v>garage and workshop</x:v>
      </x:c>
      <x:c r="E80" s="14" t="str">
        <x:v>https://res.cloudinary.com/oxygre42/image/upload/f_auto,q_auto,c_pad,b_white,w_1200,h_1200/v1788348889/0106_CAR_FRONT_END_1.png</x:v>
      </x:c>
      <x:c r="F80" s="14" t="str"/>
      <x:c r="G80" s="14" t="str">
        <x:v>Lifestyle</x:v>
      </x:c>
      <x:c r="H80" s="14" t="str"/>
      <x:c r="I80" s="14" t="str">
        <x:v>Detail</x:v>
      </x:c>
      <x:c r="J80" s="14" t="str"/>
      <x:c r="K80" s="14" t="str">
        <x:v>Scale</x:v>
      </x:c>
      <x:c r="L80" s="14" t="str"/>
      <x:c r="M80" s="14" t="str">
        <x:v>Alternate</x:v>
      </x:c>
      <x:c r="N80" s="14" t="n">
        <x:f>IF(E80&lt;&gt;"",1,0)+IF(F80&lt;&gt;"",1,0)+IF(H80&lt;&gt;"",1,0)+IF(J80&lt;&gt;"",1,0)+IF(L80&lt;&gt;"",1,0)</x:f>
        <x:v>1</x:v>
      </x:c>
      <x:c r="O80" s="14" t="str">
        <x:f>IF(E80="","MISSING MAIN",IF(N80=1,"MAIN ONLY","MULTI-PHOTO"))</x:f>
        <x:v>MAIN ONLY</x:v>
      </x:c>
      <x:c r="P80" s="14" t="str">
        <x:v>0106_</x:v>
      </x:c>
      <x:c r="Q80" s="14" t="str">
        <x:v>https://mb1advancedsolutions.github.io/mb1-catalog/index.html?design=0106</x:v>
      </x:c>
      <x:c r="R80" s="14" t="str"/>
    </x:row>
    <x:row r="81">
      <x:c r="A81" s="13" t="str">
        <x:v>MB1-0107</x:v>
      </x:c>
      <x:c r="B81" s="13" t="str">
        <x:v>MB1-0107</x:v>
      </x:c>
      <x:c r="C81" s="14" t="str">
        <x:v>CAR FRONT END 10</x:v>
      </x:c>
      <x:c r="D81" s="14" t="str">
        <x:v>garage and workshop</x:v>
      </x:c>
      <x:c r="E81" s="14" t="str">
        <x:v>https://res.cloudinary.com/oxygre42/image/upload/f_auto,q_auto,c_pad,b_white,w_1200,h_1200/v1788348891/0107_CAR_FRONT_END_10.png</x:v>
      </x:c>
      <x:c r="F81" s="14" t="str"/>
      <x:c r="G81" s="14" t="str">
        <x:v>Lifestyle</x:v>
      </x:c>
      <x:c r="H81" s="14" t="str"/>
      <x:c r="I81" s="14" t="str">
        <x:v>Detail</x:v>
      </x:c>
      <x:c r="J81" s="14" t="str"/>
      <x:c r="K81" s="14" t="str">
        <x:v>Scale</x:v>
      </x:c>
      <x:c r="L81" s="14" t="str"/>
      <x:c r="M81" s="14" t="str">
        <x:v>Alternate</x:v>
      </x:c>
      <x:c r="N81" s="14" t="n">
        <x:f>IF(E81&lt;&gt;"",1,0)+IF(F81&lt;&gt;"",1,0)+IF(H81&lt;&gt;"",1,0)+IF(J81&lt;&gt;"",1,0)+IF(L81&lt;&gt;"",1,0)</x:f>
        <x:v>1</x:v>
      </x:c>
      <x:c r="O81" s="14" t="str">
        <x:f>IF(E81="","MISSING MAIN",IF(N81=1,"MAIN ONLY","MULTI-PHOTO"))</x:f>
        <x:v>MAIN ONLY</x:v>
      </x:c>
      <x:c r="P81" s="14" t="str">
        <x:v>0107_</x:v>
      </x:c>
      <x:c r="Q81" s="14" t="str">
        <x:v>https://mb1advancedsolutions.github.io/mb1-catalog/index.html?design=0107</x:v>
      </x:c>
      <x:c r="R81" s="14" t="str"/>
    </x:row>
    <x:row r="82">
      <x:c r="A82" s="13" t="str">
        <x:v>MB1-0108</x:v>
      </x:c>
      <x:c r="B82" s="13" t="str">
        <x:v>MB1-0108</x:v>
      </x:c>
      <x:c r="C82" s="14" t="str">
        <x:v>CAR FRONT END 11</x:v>
      </x:c>
      <x:c r="D82" s="14" t="str">
        <x:v>garage and workshop</x:v>
      </x:c>
      <x:c r="E82" s="14" t="str">
        <x:v>https://res.cloudinary.com/oxygre42/image/upload/f_auto,q_auto,c_pad,b_white,w_1200,h_1200/v1788348893/0108_CAR_FRONT_END_11.png</x:v>
      </x:c>
      <x:c r="F82" s="14" t="str"/>
      <x:c r="G82" s="14" t="str">
        <x:v>Lifestyle</x:v>
      </x:c>
      <x:c r="H82" s="14" t="str"/>
      <x:c r="I82" s="14" t="str">
        <x:v>Detail</x:v>
      </x:c>
      <x:c r="J82" s="14" t="str"/>
      <x:c r="K82" s="14" t="str">
        <x:v>Scale</x:v>
      </x:c>
      <x:c r="L82" s="14" t="str"/>
      <x:c r="M82" s="14" t="str">
        <x:v>Alternate</x:v>
      </x:c>
      <x:c r="N82" s="14" t="n">
        <x:f>IF(E82&lt;&gt;"",1,0)+IF(F82&lt;&gt;"",1,0)+IF(H82&lt;&gt;"",1,0)+IF(J82&lt;&gt;"",1,0)+IF(L82&lt;&gt;"",1,0)</x:f>
        <x:v>1</x:v>
      </x:c>
      <x:c r="O82" s="14" t="str">
        <x:f>IF(E82="","MISSING MAIN",IF(N82=1,"MAIN ONLY","MULTI-PHOTO"))</x:f>
        <x:v>MAIN ONLY</x:v>
      </x:c>
      <x:c r="P82" s="14" t="str">
        <x:v>0108_</x:v>
      </x:c>
      <x:c r="Q82" s="14" t="str">
        <x:v>https://mb1advancedsolutions.github.io/mb1-catalog/index.html?design=0108</x:v>
      </x:c>
      <x:c r="R82" s="14" t="str"/>
    </x:row>
    <x:row r="83">
      <x:c r="A83" s="13" t="str">
        <x:v>MB1-0109</x:v>
      </x:c>
      <x:c r="B83" s="13" t="str">
        <x:v>MB1-0109</x:v>
      </x:c>
      <x:c r="C83" s="14" t="str">
        <x:v>CAR FRONT END 12</x:v>
      </x:c>
      <x:c r="D83" s="14" t="str">
        <x:v>garage and workshop</x:v>
      </x:c>
      <x:c r="E83" s="14" t="str">
        <x:v>https://res.cloudinary.com/oxygre42/image/upload/f_auto,q_auto,c_pad,b_white,w_1200,h_1200/v1788348895/0109_CAR_FRONT_END_12.png</x:v>
      </x:c>
      <x:c r="F83" s="14" t="str"/>
      <x:c r="G83" s="14" t="str">
        <x:v>Lifestyle</x:v>
      </x:c>
      <x:c r="H83" s="14" t="str"/>
      <x:c r="I83" s="14" t="str">
        <x:v>Detail</x:v>
      </x:c>
      <x:c r="J83" s="14" t="str"/>
      <x:c r="K83" s="14" t="str">
        <x:v>Scale</x:v>
      </x:c>
      <x:c r="L83" s="14" t="str"/>
      <x:c r="M83" s="14" t="str">
        <x:v>Alternate</x:v>
      </x:c>
      <x:c r="N83" s="14" t="n">
        <x:f>IF(E83&lt;&gt;"",1,0)+IF(F83&lt;&gt;"",1,0)+IF(H83&lt;&gt;"",1,0)+IF(J83&lt;&gt;"",1,0)+IF(L83&lt;&gt;"",1,0)</x:f>
        <x:v>1</x:v>
      </x:c>
      <x:c r="O83" s="14" t="str">
        <x:f>IF(E83="","MISSING MAIN",IF(N83=1,"MAIN ONLY","MULTI-PHOTO"))</x:f>
        <x:v>MAIN ONLY</x:v>
      </x:c>
      <x:c r="P83" s="14" t="str">
        <x:v>0109_</x:v>
      </x:c>
      <x:c r="Q83" s="14" t="str">
        <x:v>https://mb1advancedsolutions.github.io/mb1-catalog/index.html?design=0109</x:v>
      </x:c>
      <x:c r="R83" s="14" t="str"/>
    </x:row>
    <x:row r="84">
      <x:c r="A84" s="13" t="str">
        <x:v>MB1-0110</x:v>
      </x:c>
      <x:c r="B84" s="13" t="str">
        <x:v>MB1-0110</x:v>
      </x:c>
      <x:c r="C84" s="14" t="str">
        <x:v>CAR FRONT END 13</x:v>
      </x:c>
      <x:c r="D84" s="14" t="str">
        <x:v>garage and workshop</x:v>
      </x:c>
      <x:c r="E84" s="14" t="str">
        <x:v>https://res.cloudinary.com/oxygre42/image/upload/f_auto,q_auto,c_pad,b_white,w_1200,h_1200/v1788348897/0110_CAR_FRONT_END_13.png</x:v>
      </x:c>
      <x:c r="F84" s="14" t="str"/>
      <x:c r="G84" s="14" t="str">
        <x:v>Lifestyle</x:v>
      </x:c>
      <x:c r="H84" s="14" t="str"/>
      <x:c r="I84" s="14" t="str">
        <x:v>Detail</x:v>
      </x:c>
      <x:c r="J84" s="14" t="str"/>
      <x:c r="K84" s="14" t="str">
        <x:v>Scale</x:v>
      </x:c>
      <x:c r="L84" s="14" t="str"/>
      <x:c r="M84" s="14" t="str">
        <x:v>Alternate</x:v>
      </x:c>
      <x:c r="N84" s="14" t="n">
        <x:f>IF(E84&lt;&gt;"",1,0)+IF(F84&lt;&gt;"",1,0)+IF(H84&lt;&gt;"",1,0)+IF(J84&lt;&gt;"",1,0)+IF(L84&lt;&gt;"",1,0)</x:f>
        <x:v>1</x:v>
      </x:c>
      <x:c r="O84" s="14" t="str">
        <x:f>IF(E84="","MISSING MAIN",IF(N84=1,"MAIN ONLY","MULTI-PHOTO"))</x:f>
        <x:v>MAIN ONLY</x:v>
      </x:c>
      <x:c r="P84" s="14" t="str">
        <x:v>0110_</x:v>
      </x:c>
      <x:c r="Q84" s="14" t="str">
        <x:v>https://mb1advancedsolutions.github.io/mb1-catalog/index.html?design=0110</x:v>
      </x:c>
      <x:c r="R84" s="14" t="str"/>
    </x:row>
    <x:row r="85">
      <x:c r="A85" s="13" t="str">
        <x:v>MB1-0111</x:v>
      </x:c>
      <x:c r="B85" s="13" t="str">
        <x:v>MB1-0111</x:v>
      </x:c>
      <x:c r="C85" s="14" t="str">
        <x:v>CAR FRONT END 14</x:v>
      </x:c>
      <x:c r="D85" s="14" t="str">
        <x:v>garage and workshop</x:v>
      </x:c>
      <x:c r="E85" s="14" t="str">
        <x:v>https://res.cloudinary.com/oxygre42/image/upload/f_auto,q_auto,c_pad,b_white,w_1200,h_1200/v1788348899/0111_CAR_FRONT_END_14.png</x:v>
      </x:c>
      <x:c r="F85" s="14" t="str"/>
      <x:c r="G85" s="14" t="str">
        <x:v>Lifestyle</x:v>
      </x:c>
      <x:c r="H85" s="14" t="str"/>
      <x:c r="I85" s="14" t="str">
        <x:v>Detail</x:v>
      </x:c>
      <x:c r="J85" s="14" t="str"/>
      <x:c r="K85" s="14" t="str">
        <x:v>Scale</x:v>
      </x:c>
      <x:c r="L85" s="14" t="str"/>
      <x:c r="M85" s="14" t="str">
        <x:v>Alternate</x:v>
      </x:c>
      <x:c r="N85" s="14" t="n">
        <x:f>IF(E85&lt;&gt;"",1,0)+IF(F85&lt;&gt;"",1,0)+IF(H85&lt;&gt;"",1,0)+IF(J85&lt;&gt;"",1,0)+IF(L85&lt;&gt;"",1,0)</x:f>
        <x:v>1</x:v>
      </x:c>
      <x:c r="O85" s="14" t="str">
        <x:f>IF(E85="","MISSING MAIN",IF(N85=1,"MAIN ONLY","MULTI-PHOTO"))</x:f>
        <x:v>MAIN ONLY</x:v>
      </x:c>
      <x:c r="P85" s="14" t="str">
        <x:v>0111_</x:v>
      </x:c>
      <x:c r="Q85" s="14" t="str">
        <x:v>https://mb1advancedsolutions.github.io/mb1-catalog/index.html?design=0111</x:v>
      </x:c>
      <x:c r="R85" s="14" t="str"/>
    </x:row>
    <x:row r="86">
      <x:c r="A86" s="13" t="str">
        <x:v>MB1-0112</x:v>
      </x:c>
      <x:c r="B86" s="13" t="str">
        <x:v>MB1-0112</x:v>
      </x:c>
      <x:c r="C86" s="14" t="str">
        <x:v>CAR FRONT END 15</x:v>
      </x:c>
      <x:c r="D86" s="14" t="str">
        <x:v>garage and workshop</x:v>
      </x:c>
      <x:c r="E86" s="14" t="str">
        <x:v>https://res.cloudinary.com/oxygre42/image/upload/f_auto,q_auto,c_pad,b_white,w_1200,h_1200/v1788348901/0112_CAR_FRONT_END_15.png</x:v>
      </x:c>
      <x:c r="F86" s="14" t="str"/>
      <x:c r="G86" s="14" t="str">
        <x:v>Lifestyle</x:v>
      </x:c>
      <x:c r="H86" s="14" t="str"/>
      <x:c r="I86" s="14" t="str">
        <x:v>Detail</x:v>
      </x:c>
      <x:c r="J86" s="14" t="str"/>
      <x:c r="K86" s="14" t="str">
        <x:v>Scale</x:v>
      </x:c>
      <x:c r="L86" s="14" t="str"/>
      <x:c r="M86" s="14" t="str">
        <x:v>Alternate</x:v>
      </x:c>
      <x:c r="N86" s="14" t="n">
        <x:f>IF(E86&lt;&gt;"",1,0)+IF(F86&lt;&gt;"",1,0)+IF(H86&lt;&gt;"",1,0)+IF(J86&lt;&gt;"",1,0)+IF(L86&lt;&gt;"",1,0)</x:f>
        <x:v>1</x:v>
      </x:c>
      <x:c r="O86" s="14" t="str">
        <x:f>IF(E86="","MISSING MAIN",IF(N86=1,"MAIN ONLY","MULTI-PHOTO"))</x:f>
        <x:v>MAIN ONLY</x:v>
      </x:c>
      <x:c r="P86" s="14" t="str">
        <x:v>0112_</x:v>
      </x:c>
      <x:c r="Q86" s="14" t="str">
        <x:v>https://mb1advancedsolutions.github.io/mb1-catalog/index.html?design=0112</x:v>
      </x:c>
      <x:c r="R86" s="14" t="str"/>
    </x:row>
    <x:row r="87">
      <x:c r="A87" s="13" t="str">
        <x:v>MB1-0113</x:v>
      </x:c>
      <x:c r="B87" s="13" t="str">
        <x:v>MB1-0113</x:v>
      </x:c>
      <x:c r="C87" s="14" t="str">
        <x:v>CAR FRONT END 16</x:v>
      </x:c>
      <x:c r="D87" s="14" t="str">
        <x:v>garage and workshop</x:v>
      </x:c>
      <x:c r="E87" s="14" t="str">
        <x:v>https://res.cloudinary.com/oxygre42/image/upload/f_auto,q_auto,c_pad,b_white,w_1200,h_1200/v1788348903/0113_CAR_FRONT_END_16.png</x:v>
      </x:c>
      <x:c r="F87" s="14" t="str"/>
      <x:c r="G87" s="14" t="str">
        <x:v>Lifestyle</x:v>
      </x:c>
      <x:c r="H87" s="14" t="str"/>
      <x:c r="I87" s="14" t="str">
        <x:v>Detail</x:v>
      </x:c>
      <x:c r="J87" s="14" t="str"/>
      <x:c r="K87" s="14" t="str">
        <x:v>Scale</x:v>
      </x:c>
      <x:c r="L87" s="14" t="str"/>
      <x:c r="M87" s="14" t="str">
        <x:v>Alternate</x:v>
      </x:c>
      <x:c r="N87" s="14" t="n">
        <x:f>IF(E87&lt;&gt;"",1,0)+IF(F87&lt;&gt;"",1,0)+IF(H87&lt;&gt;"",1,0)+IF(J87&lt;&gt;"",1,0)+IF(L87&lt;&gt;"",1,0)</x:f>
        <x:v>1</x:v>
      </x:c>
      <x:c r="O87" s="14" t="str">
        <x:f>IF(E87="","MISSING MAIN",IF(N87=1,"MAIN ONLY","MULTI-PHOTO"))</x:f>
        <x:v>MAIN ONLY</x:v>
      </x:c>
      <x:c r="P87" s="14" t="str">
        <x:v>0113_</x:v>
      </x:c>
      <x:c r="Q87" s="14" t="str">
        <x:v>https://mb1advancedsolutions.github.io/mb1-catalog/index.html?design=0113</x:v>
      </x:c>
      <x:c r="R87" s="14" t="str"/>
    </x:row>
    <x:row r="88">
      <x:c r="A88" s="13" t="str">
        <x:v>MB1-0114</x:v>
      </x:c>
      <x:c r="B88" s="13" t="str">
        <x:v>MB1-0114</x:v>
      </x:c>
      <x:c r="C88" s="14" t="str">
        <x:v>CAR FRONT END 2</x:v>
      </x:c>
      <x:c r="D88" s="14" t="str">
        <x:v>garage and workshop</x:v>
      </x:c>
      <x:c r="E88" s="14" t="str">
        <x:v>https://res.cloudinary.com/oxygre42/image/upload/f_auto,q_auto,c_pad,b_white,w_1200,h_1200/v1788348904/0114_CAR_FRONT_END_2.png</x:v>
      </x:c>
      <x:c r="F88" s="14" t="str"/>
      <x:c r="G88" s="14" t="str">
        <x:v>Lifestyle</x:v>
      </x:c>
      <x:c r="H88" s="14" t="str"/>
      <x:c r="I88" s="14" t="str">
        <x:v>Detail</x:v>
      </x:c>
      <x:c r="J88" s="14" t="str"/>
      <x:c r="K88" s="14" t="str">
        <x:v>Scale</x:v>
      </x:c>
      <x:c r="L88" s="14" t="str"/>
      <x:c r="M88" s="14" t="str">
        <x:v>Alternate</x:v>
      </x:c>
      <x:c r="N88" s="14" t="n">
        <x:f>IF(E88&lt;&gt;"",1,0)+IF(F88&lt;&gt;"",1,0)+IF(H88&lt;&gt;"",1,0)+IF(J88&lt;&gt;"",1,0)+IF(L88&lt;&gt;"",1,0)</x:f>
        <x:v>1</x:v>
      </x:c>
      <x:c r="O88" s="14" t="str">
        <x:f>IF(E88="","MISSING MAIN",IF(N88=1,"MAIN ONLY","MULTI-PHOTO"))</x:f>
        <x:v>MAIN ONLY</x:v>
      </x:c>
      <x:c r="P88" s="14" t="str">
        <x:v>0114_</x:v>
      </x:c>
      <x:c r="Q88" s="14" t="str">
        <x:v>https://mb1advancedsolutions.github.io/mb1-catalog/index.html?design=0114</x:v>
      </x:c>
      <x:c r="R88" s="14" t="str"/>
    </x:row>
    <x:row r="89">
      <x:c r="A89" s="13" t="str">
        <x:v>MB1-0115</x:v>
      </x:c>
      <x:c r="B89" s="13" t="str">
        <x:v>MB1-0115</x:v>
      </x:c>
      <x:c r="C89" s="14" t="str">
        <x:v>CAR FRONT END 3</x:v>
      </x:c>
      <x:c r="D89" s="14" t="str">
        <x:v>garage and workshop</x:v>
      </x:c>
      <x:c r="E89" s="14" t="str">
        <x:v>https://res.cloudinary.com/oxygre42/image/upload/f_auto,q_auto,c_pad,b_white,w_1200,h_1200/v1788348906/0115_CAR_FRONT_END_3.png</x:v>
      </x:c>
      <x:c r="F89" s="14" t="str"/>
      <x:c r="G89" s="14" t="str">
        <x:v>Lifestyle</x:v>
      </x:c>
      <x:c r="H89" s="14" t="str"/>
      <x:c r="I89" s="14" t="str">
        <x:v>Detail</x:v>
      </x:c>
      <x:c r="J89" s="14" t="str"/>
      <x:c r="K89" s="14" t="str">
        <x:v>Scale</x:v>
      </x:c>
      <x:c r="L89" s="14" t="str"/>
      <x:c r="M89" s="14" t="str">
        <x:v>Alternate</x:v>
      </x:c>
      <x:c r="N89" s="14" t="n">
        <x:f>IF(E89&lt;&gt;"",1,0)+IF(F89&lt;&gt;"",1,0)+IF(H89&lt;&gt;"",1,0)+IF(J89&lt;&gt;"",1,0)+IF(L89&lt;&gt;"",1,0)</x:f>
        <x:v>1</x:v>
      </x:c>
      <x:c r="O89" s="14" t="str">
        <x:f>IF(E89="","MISSING MAIN",IF(N89=1,"MAIN ONLY","MULTI-PHOTO"))</x:f>
        <x:v>MAIN ONLY</x:v>
      </x:c>
      <x:c r="P89" s="14" t="str">
        <x:v>0115_</x:v>
      </x:c>
      <x:c r="Q89" s="14" t="str">
        <x:v>https://mb1advancedsolutions.github.io/mb1-catalog/index.html?design=0115</x:v>
      </x:c>
      <x:c r="R89" s="14" t="str"/>
    </x:row>
    <x:row r="90">
      <x:c r="A90" s="13" t="str">
        <x:v>MB1-0116</x:v>
      </x:c>
      <x:c r="B90" s="13" t="str">
        <x:v>MB1-0116</x:v>
      </x:c>
      <x:c r="C90" s="14" t="str">
        <x:v>CAR FRONT END 4</x:v>
      </x:c>
      <x:c r="D90" s="14" t="str">
        <x:v>garage and workshop</x:v>
      </x:c>
      <x:c r="E90" s="14" t="str">
        <x:v>https://res.cloudinary.com/oxygre42/image/upload/f_auto,q_auto,c_pad,b_white,w_1200,h_1200/v1788348908/0116_CAR_FRONT_END_4.png</x:v>
      </x:c>
      <x:c r="F90" s="14" t="str"/>
      <x:c r="G90" s="14" t="str">
        <x:v>Lifestyle</x:v>
      </x:c>
      <x:c r="H90" s="14" t="str"/>
      <x:c r="I90" s="14" t="str">
        <x:v>Detail</x:v>
      </x:c>
      <x:c r="J90" s="14" t="str"/>
      <x:c r="K90" s="14" t="str">
        <x:v>Scale</x:v>
      </x:c>
      <x:c r="L90" s="14" t="str"/>
      <x:c r="M90" s="14" t="str">
        <x:v>Alternate</x:v>
      </x:c>
      <x:c r="N90" s="14" t="n">
        <x:f>IF(E90&lt;&gt;"",1,0)+IF(F90&lt;&gt;"",1,0)+IF(H90&lt;&gt;"",1,0)+IF(J90&lt;&gt;"",1,0)+IF(L90&lt;&gt;"",1,0)</x:f>
        <x:v>1</x:v>
      </x:c>
      <x:c r="O90" s="14" t="str">
        <x:f>IF(E90="","MISSING MAIN",IF(N90=1,"MAIN ONLY","MULTI-PHOTO"))</x:f>
        <x:v>MAIN ONLY</x:v>
      </x:c>
      <x:c r="P90" s="14" t="str">
        <x:v>0116_</x:v>
      </x:c>
      <x:c r="Q90" s="14" t="str">
        <x:v>https://mb1advancedsolutions.github.io/mb1-catalog/index.html?design=0116</x:v>
      </x:c>
      <x:c r="R90" s="14" t="str"/>
    </x:row>
    <x:row r="91">
      <x:c r="A91" s="13" t="str">
        <x:v>MB1-0117</x:v>
      </x:c>
      <x:c r="B91" s="13" t="str">
        <x:v>MB1-0117</x:v>
      </x:c>
      <x:c r="C91" s="14" t="str">
        <x:v>CAR FRONT END 5</x:v>
      </x:c>
      <x:c r="D91" s="14" t="str">
        <x:v>garage and workshop</x:v>
      </x:c>
      <x:c r="E91" s="14" t="str">
        <x:v>https://res.cloudinary.com/oxygre42/image/upload/f_auto,q_auto,c_pad,b_white,w_1200,h_1200/v1788348910/0117_CAR_FRONT_END_5.png</x:v>
      </x:c>
      <x:c r="F91" s="14" t="str"/>
      <x:c r="G91" s="14" t="str">
        <x:v>Lifestyle</x:v>
      </x:c>
      <x:c r="H91" s="14" t="str"/>
      <x:c r="I91" s="14" t="str">
        <x:v>Detail</x:v>
      </x:c>
      <x:c r="J91" s="14" t="str"/>
      <x:c r="K91" s="14" t="str">
        <x:v>Scale</x:v>
      </x:c>
      <x:c r="L91" s="14" t="str"/>
      <x:c r="M91" s="14" t="str">
        <x:v>Alternate</x:v>
      </x:c>
      <x:c r="N91" s="14" t="n">
        <x:f>IF(E91&lt;&gt;"",1,0)+IF(F91&lt;&gt;"",1,0)+IF(H91&lt;&gt;"",1,0)+IF(J91&lt;&gt;"",1,0)+IF(L91&lt;&gt;"",1,0)</x:f>
        <x:v>1</x:v>
      </x:c>
      <x:c r="O91" s="14" t="str">
        <x:f>IF(E91="","MISSING MAIN",IF(N91=1,"MAIN ONLY","MULTI-PHOTO"))</x:f>
        <x:v>MAIN ONLY</x:v>
      </x:c>
      <x:c r="P91" s="14" t="str">
        <x:v>0117_</x:v>
      </x:c>
      <x:c r="Q91" s="14" t="str">
        <x:v>https://mb1advancedsolutions.github.io/mb1-catalog/index.html?design=0117</x:v>
      </x:c>
      <x:c r="R91" s="14" t="str"/>
    </x:row>
    <x:row r="92">
      <x:c r="A92" s="13" t="str">
        <x:v>MB1-0118</x:v>
      </x:c>
      <x:c r="B92" s="13" t="str">
        <x:v>MB1-0118</x:v>
      </x:c>
      <x:c r="C92" s="14" t="str">
        <x:v>CAR FRONT END 6</x:v>
      </x:c>
      <x:c r="D92" s="14" t="str">
        <x:v>garage and workshop</x:v>
      </x:c>
      <x:c r="E92" s="14" t="str">
        <x:v>https://res.cloudinary.com/oxygre42/image/upload/f_auto,q_auto,c_pad,b_white,w_1200,h_1200/v1788348912/0118_CAR_FRONT_END_6.png</x:v>
      </x:c>
      <x:c r="F92" s="14" t="str"/>
      <x:c r="G92" s="14" t="str">
        <x:v>Lifestyle</x:v>
      </x:c>
      <x:c r="H92" s="14" t="str"/>
      <x:c r="I92" s="14" t="str">
        <x:v>Detail</x:v>
      </x:c>
      <x:c r="J92" s="14" t="str"/>
      <x:c r="K92" s="14" t="str">
        <x:v>Scale</x:v>
      </x:c>
      <x:c r="L92" s="14" t="str"/>
      <x:c r="M92" s="14" t="str">
        <x:v>Alternate</x:v>
      </x:c>
      <x:c r="N92" s="14" t="n">
        <x:f>IF(E92&lt;&gt;"",1,0)+IF(F92&lt;&gt;"",1,0)+IF(H92&lt;&gt;"",1,0)+IF(J92&lt;&gt;"",1,0)+IF(L92&lt;&gt;"",1,0)</x:f>
        <x:v>1</x:v>
      </x:c>
      <x:c r="O92" s="14" t="str">
        <x:f>IF(E92="","MISSING MAIN",IF(N92=1,"MAIN ONLY","MULTI-PHOTO"))</x:f>
        <x:v>MAIN ONLY</x:v>
      </x:c>
      <x:c r="P92" s="14" t="str">
        <x:v>0118_</x:v>
      </x:c>
      <x:c r="Q92" s="14" t="str">
        <x:v>https://mb1advancedsolutions.github.io/mb1-catalog/index.html?design=0118</x:v>
      </x:c>
      <x:c r="R92" s="14" t="str"/>
    </x:row>
    <x:row r="93">
      <x:c r="A93" s="13" t="str">
        <x:v>MB1-0119</x:v>
      </x:c>
      <x:c r="B93" s="13" t="str">
        <x:v>MB1-0119</x:v>
      </x:c>
      <x:c r="C93" s="14" t="str">
        <x:v>CAR FRONT END 7</x:v>
      </x:c>
      <x:c r="D93" s="14" t="str">
        <x:v>garage and workshop</x:v>
      </x:c>
      <x:c r="E93" s="14" t="str">
        <x:v>https://res.cloudinary.com/oxygre42/image/upload/f_auto,q_auto,c_pad,b_white,w_1200,h_1200/v1788348914/0119_CAR_FRONT_END_7.png</x:v>
      </x:c>
      <x:c r="F93" s="14" t="str"/>
      <x:c r="G93" s="14" t="str">
        <x:v>Lifestyle</x:v>
      </x:c>
      <x:c r="H93" s="14" t="str"/>
      <x:c r="I93" s="14" t="str">
        <x:v>Detail</x:v>
      </x:c>
      <x:c r="J93" s="14" t="str"/>
      <x:c r="K93" s="14" t="str">
        <x:v>Scale</x:v>
      </x:c>
      <x:c r="L93" s="14" t="str"/>
      <x:c r="M93" s="14" t="str">
        <x:v>Alternate</x:v>
      </x:c>
      <x:c r="N93" s="14" t="n">
        <x:f>IF(E93&lt;&gt;"",1,0)+IF(F93&lt;&gt;"",1,0)+IF(H93&lt;&gt;"",1,0)+IF(J93&lt;&gt;"",1,0)+IF(L93&lt;&gt;"",1,0)</x:f>
        <x:v>1</x:v>
      </x:c>
      <x:c r="O93" s="14" t="str">
        <x:f>IF(E93="","MISSING MAIN",IF(N93=1,"MAIN ONLY","MULTI-PHOTO"))</x:f>
        <x:v>MAIN ONLY</x:v>
      </x:c>
      <x:c r="P93" s="14" t="str">
        <x:v>0119_</x:v>
      </x:c>
      <x:c r="Q93" s="14" t="str">
        <x:v>https://mb1advancedsolutions.github.io/mb1-catalog/index.html?design=0119</x:v>
      </x:c>
      <x:c r="R93" s="14" t="str"/>
    </x:row>
    <x:row r="94">
      <x:c r="A94" s="13" t="str">
        <x:v>MB1-0120</x:v>
      </x:c>
      <x:c r="B94" s="13" t="str">
        <x:v>MB1-0120</x:v>
      </x:c>
      <x:c r="C94" s="14" t="str">
        <x:v>CAR FRONT END 8</x:v>
      </x:c>
      <x:c r="D94" s="14" t="str">
        <x:v>garage and workshop</x:v>
      </x:c>
      <x:c r="E94" s="14" t="str">
        <x:v>https://res.cloudinary.com/oxygre42/image/upload/f_auto,q_auto,c_pad,b_white,w_1200,h_1200/v1788348916/0120_CAR_FRONT_END_8.png</x:v>
      </x:c>
      <x:c r="F94" s="14" t="str"/>
      <x:c r="G94" s="14" t="str">
        <x:v>Lifestyle</x:v>
      </x:c>
      <x:c r="H94" s="14" t="str"/>
      <x:c r="I94" s="14" t="str">
        <x:v>Detail</x:v>
      </x:c>
      <x:c r="J94" s="14" t="str"/>
      <x:c r="K94" s="14" t="str">
        <x:v>Scale</x:v>
      </x:c>
      <x:c r="L94" s="14" t="str"/>
      <x:c r="M94" s="14" t="str">
        <x:v>Alternate</x:v>
      </x:c>
      <x:c r="N94" s="14" t="n">
        <x:f>IF(E94&lt;&gt;"",1,0)+IF(F94&lt;&gt;"",1,0)+IF(H94&lt;&gt;"",1,0)+IF(J94&lt;&gt;"",1,0)+IF(L94&lt;&gt;"",1,0)</x:f>
        <x:v>1</x:v>
      </x:c>
      <x:c r="O94" s="14" t="str">
        <x:f>IF(E94="","MISSING MAIN",IF(N94=1,"MAIN ONLY","MULTI-PHOTO"))</x:f>
        <x:v>MAIN ONLY</x:v>
      </x:c>
      <x:c r="P94" s="14" t="str">
        <x:v>0120_</x:v>
      </x:c>
      <x:c r="Q94" s="14" t="str">
        <x:v>https://mb1advancedsolutions.github.io/mb1-catalog/index.html?design=0120</x:v>
      </x:c>
      <x:c r="R94" s="14" t="str"/>
    </x:row>
    <x:row r="95">
      <x:c r="A95" s="13" t="str">
        <x:v>MB1-0121</x:v>
      </x:c>
      <x:c r="B95" s="13" t="str">
        <x:v>MB1-0121</x:v>
      </x:c>
      <x:c r="C95" s="14" t="str">
        <x:v>CAR FRONT END 9</x:v>
      </x:c>
      <x:c r="D95" s="14" t="str">
        <x:v>garage and workshop</x:v>
      </x:c>
      <x:c r="E95" s="14" t="str">
        <x:v>https://res.cloudinary.com/oxygre42/image/upload/f_auto,q_auto,c_pad,b_white,w_1200,h_1200/v1788348918/0121_CAR_FRONT_END_9.png</x:v>
      </x:c>
      <x:c r="F95" s="14" t="str"/>
      <x:c r="G95" s="14" t="str">
        <x:v>Lifestyle</x:v>
      </x:c>
      <x:c r="H95" s="14" t="str"/>
      <x:c r="I95" s="14" t="str">
        <x:v>Detail</x:v>
      </x:c>
      <x:c r="J95" s="14" t="str"/>
      <x:c r="K95" s="14" t="str">
        <x:v>Scale</x:v>
      </x:c>
      <x:c r="L95" s="14" t="str"/>
      <x:c r="M95" s="14" t="str">
        <x:v>Alternate</x:v>
      </x:c>
      <x:c r="N95" s="14" t="n">
        <x:f>IF(E95&lt;&gt;"",1,0)+IF(F95&lt;&gt;"",1,0)+IF(H95&lt;&gt;"",1,0)+IF(J95&lt;&gt;"",1,0)+IF(L95&lt;&gt;"",1,0)</x:f>
        <x:v>1</x:v>
      </x:c>
      <x:c r="O95" s="14" t="str">
        <x:f>IF(E95="","MISSING MAIN",IF(N95=1,"MAIN ONLY","MULTI-PHOTO"))</x:f>
        <x:v>MAIN ONLY</x:v>
      </x:c>
      <x:c r="P95" s="14" t="str">
        <x:v>0121_</x:v>
      </x:c>
      <x:c r="Q95" s="14" t="str">
        <x:v>https://mb1advancedsolutions.github.io/mb1-catalog/index.html?design=0121</x:v>
      </x:c>
      <x:c r="R95" s="14" t="str"/>
    </x:row>
    <x:row r="96">
      <x:c r="A96" s="13" t="str">
        <x:v>MB1-0122</x:v>
      </x:c>
      <x:c r="B96" s="13" t="str">
        <x:v>MB1-0122</x:v>
      </x:c>
      <x:c r="C96" s="14" t="str">
        <x:v>christmas 1</x:v>
      </x:c>
      <x:c r="D96" s="14" t="str">
        <x:v>seasonal and holiday</x:v>
      </x:c>
      <x:c r="E96" s="14" t="str">
        <x:v>https://res.cloudinary.com/oxygre42/image/upload/f_auto,q_auto,c_pad,b_white,w_1200,h_1200/v1788348920/0122_christmas_1.png</x:v>
      </x:c>
      <x:c r="F96" s="14" t="str"/>
      <x:c r="G96" s="14" t="str">
        <x:v>Lifestyle</x:v>
      </x:c>
      <x:c r="H96" s="14" t="str"/>
      <x:c r="I96" s="14" t="str">
        <x:v>Detail</x:v>
      </x:c>
      <x:c r="J96" s="14" t="str"/>
      <x:c r="K96" s="14" t="str">
        <x:v>Scale</x:v>
      </x:c>
      <x:c r="L96" s="14" t="str"/>
      <x:c r="M96" s="14" t="str">
        <x:v>Alternate</x:v>
      </x:c>
      <x:c r="N96" s="14" t="n">
        <x:f>IF(E96&lt;&gt;"",1,0)+IF(F96&lt;&gt;"",1,0)+IF(H96&lt;&gt;"",1,0)+IF(J96&lt;&gt;"",1,0)+IF(L96&lt;&gt;"",1,0)</x:f>
        <x:v>1</x:v>
      </x:c>
      <x:c r="O96" s="14" t="str">
        <x:f>IF(E96="","MISSING MAIN",IF(N96=1,"MAIN ONLY","MULTI-PHOTO"))</x:f>
        <x:v>MAIN ONLY</x:v>
      </x:c>
      <x:c r="P96" s="14" t="str">
        <x:v>0122_</x:v>
      </x:c>
      <x:c r="Q96" s="14" t="str">
        <x:v>https://mb1advancedsolutions.github.io/mb1-catalog/index.html?design=0122</x:v>
      </x:c>
      <x:c r="R96" s="14" t="str"/>
    </x:row>
    <x:row r="97">
      <x:c r="A97" s="13" t="str">
        <x:v>MB1-0123</x:v>
      </x:c>
      <x:c r="B97" s="13" t="str">
        <x:v>MB1-0123</x:v>
      </x:c>
      <x:c r="C97" s="14" t="str">
        <x:v>christmas 10</x:v>
      </x:c>
      <x:c r="D97" s="14" t="str">
        <x:v>seasonal and holiday</x:v>
      </x:c>
      <x:c r="E97" s="14" t="str">
        <x:v>https://res.cloudinary.com/oxygre42/image/upload/f_auto,q_auto,c_pad,b_white,w_1200,h_1200/v1788348922/0123_christmas_10.png</x:v>
      </x:c>
      <x:c r="F97" s="14" t="str"/>
      <x:c r="G97" s="14" t="str">
        <x:v>Lifestyle</x:v>
      </x:c>
      <x:c r="H97" s="14" t="str"/>
      <x:c r="I97" s="14" t="str">
        <x:v>Detail</x:v>
      </x:c>
      <x:c r="J97" s="14" t="str"/>
      <x:c r="K97" s="14" t="str">
        <x:v>Scale</x:v>
      </x:c>
      <x:c r="L97" s="14" t="str"/>
      <x:c r="M97" s="14" t="str">
        <x:v>Alternate</x:v>
      </x:c>
      <x:c r="N97" s="14" t="n">
        <x:f>IF(E97&lt;&gt;"",1,0)+IF(F97&lt;&gt;"",1,0)+IF(H97&lt;&gt;"",1,0)+IF(J97&lt;&gt;"",1,0)+IF(L97&lt;&gt;"",1,0)</x:f>
        <x:v>1</x:v>
      </x:c>
      <x:c r="O97" s="14" t="str">
        <x:f>IF(E97="","MISSING MAIN",IF(N97=1,"MAIN ONLY","MULTI-PHOTO"))</x:f>
        <x:v>MAIN ONLY</x:v>
      </x:c>
      <x:c r="P97" s="14" t="str">
        <x:v>0123_</x:v>
      </x:c>
      <x:c r="Q97" s="14" t="str">
        <x:v>https://mb1advancedsolutions.github.io/mb1-catalog/index.html?design=0123</x:v>
      </x:c>
      <x:c r="R97" s="14" t="str"/>
    </x:row>
    <x:row r="98">
      <x:c r="A98" s="13" t="str">
        <x:v>MB1-0124</x:v>
      </x:c>
      <x:c r="B98" s="13" t="str">
        <x:v>MB1-0124</x:v>
      </x:c>
      <x:c r="C98" s="14" t="str">
        <x:v>christmas 11 </x:v>
      </x:c>
      <x:c r="D98" s="14" t="str">
        <x:v>seasonal and holiday</x:v>
      </x:c>
      <x:c r="E98" s="14" t="str">
        <x:v>https://res.cloudinary.com/oxygre42/image/upload/f_auto,q_auto,c_pad,b_white,w_1200,h_1200/v1788348924/0124_christmas_11.png</x:v>
      </x:c>
      <x:c r="F98" s="14" t="str"/>
      <x:c r="G98" s="14" t="str">
        <x:v>Lifestyle</x:v>
      </x:c>
      <x:c r="H98" s="14" t="str"/>
      <x:c r="I98" s="14" t="str">
        <x:v>Detail</x:v>
      </x:c>
      <x:c r="J98" s="14" t="str"/>
      <x:c r="K98" s="14" t="str">
        <x:v>Scale</x:v>
      </x:c>
      <x:c r="L98" s="14" t="str"/>
      <x:c r="M98" s="14" t="str">
        <x:v>Alternate</x:v>
      </x:c>
      <x:c r="N98" s="14" t="n">
        <x:f>IF(E98&lt;&gt;"",1,0)+IF(F98&lt;&gt;"",1,0)+IF(H98&lt;&gt;"",1,0)+IF(J98&lt;&gt;"",1,0)+IF(L98&lt;&gt;"",1,0)</x:f>
        <x:v>1</x:v>
      </x:c>
      <x:c r="O98" s="14" t="str">
        <x:f>IF(E98="","MISSING MAIN",IF(N98=1,"MAIN ONLY","MULTI-PHOTO"))</x:f>
        <x:v>MAIN ONLY</x:v>
      </x:c>
      <x:c r="P98" s="14" t="str">
        <x:v>0124_</x:v>
      </x:c>
      <x:c r="Q98" s="14" t="str">
        <x:v>https://mb1advancedsolutions.github.io/mb1-catalog/index.html?design=0124</x:v>
      </x:c>
      <x:c r="R98" s="14" t="str"/>
    </x:row>
    <x:row r="99">
      <x:c r="A99" s="13" t="str">
        <x:v>MB1-0125</x:v>
      </x:c>
      <x:c r="B99" s="13" t="str">
        <x:v>MB1-0125</x:v>
      </x:c>
      <x:c r="C99" s="14" t="str">
        <x:v>christmas 12</x:v>
      </x:c>
      <x:c r="D99" s="14" t="str">
        <x:v>seasonal and holiday</x:v>
      </x:c>
      <x:c r="E99" s="14" t="str">
        <x:v>https://res.cloudinary.com/oxygre42/image/upload/f_auto,q_auto,c_pad,b_white,w_1200,h_1200/v1788348925/0125_christmas_12.png</x:v>
      </x:c>
      <x:c r="F99" s="14" t="str"/>
      <x:c r="G99" s="14" t="str">
        <x:v>Lifestyle</x:v>
      </x:c>
      <x:c r="H99" s="14" t="str"/>
      <x:c r="I99" s="14" t="str">
        <x:v>Detail</x:v>
      </x:c>
      <x:c r="J99" s="14" t="str"/>
      <x:c r="K99" s="14" t="str">
        <x:v>Scale</x:v>
      </x:c>
      <x:c r="L99" s="14" t="str"/>
      <x:c r="M99" s="14" t="str">
        <x:v>Alternate</x:v>
      </x:c>
      <x:c r="N99" s="14" t="n">
        <x:f>IF(E99&lt;&gt;"",1,0)+IF(F99&lt;&gt;"",1,0)+IF(H99&lt;&gt;"",1,0)+IF(J99&lt;&gt;"",1,0)+IF(L99&lt;&gt;"",1,0)</x:f>
        <x:v>1</x:v>
      </x:c>
      <x:c r="O99" s="14" t="str">
        <x:f>IF(E99="","MISSING MAIN",IF(N99=1,"MAIN ONLY","MULTI-PHOTO"))</x:f>
        <x:v>MAIN ONLY</x:v>
      </x:c>
      <x:c r="P99" s="14" t="str">
        <x:v>0125_</x:v>
      </x:c>
      <x:c r="Q99" s="14" t="str">
        <x:v>https://mb1advancedsolutions.github.io/mb1-catalog/index.html?design=0125</x:v>
      </x:c>
      <x:c r="R99" s="14" t="str"/>
    </x:row>
    <x:row r="100">
      <x:c r="A100" s="13" t="str">
        <x:v>MB1-0126</x:v>
      </x:c>
      <x:c r="B100" s="13" t="str">
        <x:v>MB1-0126</x:v>
      </x:c>
      <x:c r="C100" s="14" t="str">
        <x:v>christmas 13</x:v>
      </x:c>
      <x:c r="D100" s="14" t="str">
        <x:v>seasonal and holiday</x:v>
      </x:c>
      <x:c r="E100" s="14" t="str">
        <x:v>https://res.cloudinary.com/oxygre42/image/upload/f_auto,q_auto,c_pad,b_white,w_1200,h_1200/v1788348927/0126_christmas_13.png</x:v>
      </x:c>
      <x:c r="F100" s="14" t="str"/>
      <x:c r="G100" s="14" t="str">
        <x:v>Lifestyle</x:v>
      </x:c>
      <x:c r="H100" s="14" t="str"/>
      <x:c r="I100" s="14" t="str">
        <x:v>Detail</x:v>
      </x:c>
      <x:c r="J100" s="14" t="str"/>
      <x:c r="K100" s="14" t="str">
        <x:v>Scale</x:v>
      </x:c>
      <x:c r="L100" s="14" t="str"/>
      <x:c r="M100" s="14" t="str">
        <x:v>Alternate</x:v>
      </x:c>
      <x:c r="N100" s="14" t="n">
        <x:f>IF(E100&lt;&gt;"",1,0)+IF(F100&lt;&gt;"",1,0)+IF(H100&lt;&gt;"",1,0)+IF(J100&lt;&gt;"",1,0)+IF(L100&lt;&gt;"",1,0)</x:f>
        <x:v>1</x:v>
      </x:c>
      <x:c r="O100" s="14" t="str">
        <x:f>IF(E100="","MISSING MAIN",IF(N100=1,"MAIN ONLY","MULTI-PHOTO"))</x:f>
        <x:v>MAIN ONLY</x:v>
      </x:c>
      <x:c r="P100" s="14" t="str">
        <x:v>0126_</x:v>
      </x:c>
      <x:c r="Q100" s="14" t="str">
        <x:v>https://mb1advancedsolutions.github.io/mb1-catalog/index.html?design=0126</x:v>
      </x:c>
      <x:c r="R100" s="14" t="str"/>
    </x:row>
    <x:row r="101">
      <x:c r="A101" s="13" t="str">
        <x:v>MB1-0127</x:v>
      </x:c>
      <x:c r="B101" s="13" t="str">
        <x:v>MB1-0127</x:v>
      </x:c>
      <x:c r="C101" s="14" t="str">
        <x:v>christmas 14</x:v>
      </x:c>
      <x:c r="D101" s="14" t="str">
        <x:v>seasonal and holiday</x:v>
      </x:c>
      <x:c r="E101" s="14" t="str">
        <x:v>https://res.cloudinary.com/oxygre42/image/upload/f_auto,q_auto,c_pad,b_white,w_1200,h_1200/v1788348929/0127_christmas_14.png</x:v>
      </x:c>
      <x:c r="F101" s="14" t="str"/>
      <x:c r="G101" s="14" t="str">
        <x:v>Lifestyle</x:v>
      </x:c>
      <x:c r="H101" s="14" t="str"/>
      <x:c r="I101" s="14" t="str">
        <x:v>Detail</x:v>
      </x:c>
      <x:c r="J101" s="14" t="str"/>
      <x:c r="K101" s="14" t="str">
        <x:v>Scale</x:v>
      </x:c>
      <x:c r="L101" s="14" t="str"/>
      <x:c r="M101" s="14" t="str">
        <x:v>Alternate</x:v>
      </x:c>
      <x:c r="N101" s="14" t="n">
        <x:f>IF(E101&lt;&gt;"",1,0)+IF(F101&lt;&gt;"",1,0)+IF(H101&lt;&gt;"",1,0)+IF(J101&lt;&gt;"",1,0)+IF(L101&lt;&gt;"",1,0)</x:f>
        <x:v>1</x:v>
      </x:c>
      <x:c r="O101" s="14" t="str">
        <x:f>IF(E101="","MISSING MAIN",IF(N101=1,"MAIN ONLY","MULTI-PHOTO"))</x:f>
        <x:v>MAIN ONLY</x:v>
      </x:c>
      <x:c r="P101" s="14" t="str">
        <x:v>0127_</x:v>
      </x:c>
      <x:c r="Q101" s="14" t="str">
        <x:v>https://mb1advancedsolutions.github.io/mb1-catalog/index.html?design=0127</x:v>
      </x:c>
      <x:c r="R101" s="14" t="str"/>
    </x:row>
    <x:row r="102">
      <x:c r="A102" s="13" t="str">
        <x:v>MB1-0128</x:v>
      </x:c>
      <x:c r="B102" s="13" t="str">
        <x:v>MB1-0128</x:v>
      </x:c>
      <x:c r="C102" s="14" t="str">
        <x:v>christmas 15</x:v>
      </x:c>
      <x:c r="D102" s="14" t="str">
        <x:v>seasonal and holiday</x:v>
      </x:c>
      <x:c r="E102" s="14" t="str">
        <x:v>https://res.cloudinary.com/oxygre42/image/upload/f_auto,q_auto,c_pad,b_white,w_1200,h_1200/v1788348931/0128_christmas_15.png</x:v>
      </x:c>
      <x:c r="F102" s="14" t="str"/>
      <x:c r="G102" s="14" t="str">
        <x:v>Lifestyle</x:v>
      </x:c>
      <x:c r="H102" s="14" t="str"/>
      <x:c r="I102" s="14" t="str">
        <x:v>Detail</x:v>
      </x:c>
      <x:c r="J102" s="14" t="str"/>
      <x:c r="K102" s="14" t="str">
        <x:v>Scale</x:v>
      </x:c>
      <x:c r="L102" s="14" t="str"/>
      <x:c r="M102" s="14" t="str">
        <x:v>Alternate</x:v>
      </x:c>
      <x:c r="N102" s="14" t="n">
        <x:f>IF(E102&lt;&gt;"",1,0)+IF(F102&lt;&gt;"",1,0)+IF(H102&lt;&gt;"",1,0)+IF(J102&lt;&gt;"",1,0)+IF(L102&lt;&gt;"",1,0)</x:f>
        <x:v>1</x:v>
      </x:c>
      <x:c r="O102" s="14" t="str">
        <x:f>IF(E102="","MISSING MAIN",IF(N102=1,"MAIN ONLY","MULTI-PHOTO"))</x:f>
        <x:v>MAIN ONLY</x:v>
      </x:c>
      <x:c r="P102" s="14" t="str">
        <x:v>0128_</x:v>
      </x:c>
      <x:c r="Q102" s="14" t="str">
        <x:v>https://mb1advancedsolutions.github.io/mb1-catalog/index.html?design=0128</x:v>
      </x:c>
      <x:c r="R102" s="14" t="str"/>
    </x:row>
    <x:row r="103">
      <x:c r="A103" s="13" t="str">
        <x:v>MB1-0129</x:v>
      </x:c>
      <x:c r="B103" s="13" t="str">
        <x:v>MB1-0129</x:v>
      </x:c>
      <x:c r="C103" s="14" t="str">
        <x:v>christmas 16</x:v>
      </x:c>
      <x:c r="D103" s="14" t="str">
        <x:v>seasonal and holiday</x:v>
      </x:c>
      <x:c r="E103" s="14" t="str">
        <x:v>https://res.cloudinary.com/oxygre42/image/upload/f_auto,q_auto,c_pad,b_white,w_1200,h_1200/v1788348933/0129_christmas_16.png</x:v>
      </x:c>
      <x:c r="F103" s="14" t="str"/>
      <x:c r="G103" s="14" t="str">
        <x:v>Lifestyle</x:v>
      </x:c>
      <x:c r="H103" s="14" t="str"/>
      <x:c r="I103" s="14" t="str">
        <x:v>Detail</x:v>
      </x:c>
      <x:c r="J103" s="14" t="str"/>
      <x:c r="K103" s="14" t="str">
        <x:v>Scale</x:v>
      </x:c>
      <x:c r="L103" s="14" t="str"/>
      <x:c r="M103" s="14" t="str">
        <x:v>Alternate</x:v>
      </x:c>
      <x:c r="N103" s="14" t="n">
        <x:f>IF(E103&lt;&gt;"",1,0)+IF(F103&lt;&gt;"",1,0)+IF(H103&lt;&gt;"",1,0)+IF(J103&lt;&gt;"",1,0)+IF(L103&lt;&gt;"",1,0)</x:f>
        <x:v>1</x:v>
      </x:c>
      <x:c r="O103" s="14" t="str">
        <x:f>IF(E103="","MISSING MAIN",IF(N103=1,"MAIN ONLY","MULTI-PHOTO"))</x:f>
        <x:v>MAIN ONLY</x:v>
      </x:c>
      <x:c r="P103" s="14" t="str">
        <x:v>0129_</x:v>
      </x:c>
      <x:c r="Q103" s="14" t="str">
        <x:v>https://mb1advancedsolutions.github.io/mb1-catalog/index.html?design=0129</x:v>
      </x:c>
      <x:c r="R103" s="14" t="str"/>
    </x:row>
    <x:row r="104">
      <x:c r="A104" s="13" t="str">
        <x:v>MB1-0130</x:v>
      </x:c>
      <x:c r="B104" s="13" t="str">
        <x:v>MB1-0130</x:v>
      </x:c>
      <x:c r="C104" s="14" t="str">
        <x:v>christmas 17</x:v>
      </x:c>
      <x:c r="D104" s="14" t="str">
        <x:v>seasonal and holiday</x:v>
      </x:c>
      <x:c r="E104" s="14" t="str">
        <x:v>https://res.cloudinary.com/oxygre42/image/upload/f_auto,q_auto,c_pad,b_white,w_1200,h_1200/v1788348935/0130_christmas_17.png</x:v>
      </x:c>
      <x:c r="F104" s="14" t="str"/>
      <x:c r="G104" s="14" t="str">
        <x:v>Lifestyle</x:v>
      </x:c>
      <x:c r="H104" s="14" t="str"/>
      <x:c r="I104" s="14" t="str">
        <x:v>Detail</x:v>
      </x:c>
      <x:c r="J104" s="14" t="str"/>
      <x:c r="K104" s="14" t="str">
        <x:v>Scale</x:v>
      </x:c>
      <x:c r="L104" s="14" t="str"/>
      <x:c r="M104" s="14" t="str">
        <x:v>Alternate</x:v>
      </x:c>
      <x:c r="N104" s="14" t="n">
        <x:f>IF(E104&lt;&gt;"",1,0)+IF(F104&lt;&gt;"",1,0)+IF(H104&lt;&gt;"",1,0)+IF(J104&lt;&gt;"",1,0)+IF(L104&lt;&gt;"",1,0)</x:f>
        <x:v>1</x:v>
      </x:c>
      <x:c r="O104" s="14" t="str">
        <x:f>IF(E104="","MISSING MAIN",IF(N104=1,"MAIN ONLY","MULTI-PHOTO"))</x:f>
        <x:v>MAIN ONLY</x:v>
      </x:c>
      <x:c r="P104" s="14" t="str">
        <x:v>0130_</x:v>
      </x:c>
      <x:c r="Q104" s="14" t="str">
        <x:v>https://mb1advancedsolutions.github.io/mb1-catalog/index.html?design=0130</x:v>
      </x:c>
      <x:c r="R104" s="14" t="str"/>
    </x:row>
    <x:row r="105">
      <x:c r="A105" s="13" t="str">
        <x:v>MB1-0131</x:v>
      </x:c>
      <x:c r="B105" s="13" t="str">
        <x:v>MB1-0131</x:v>
      </x:c>
      <x:c r="C105" s="14" t="str">
        <x:v>christmas 18</x:v>
      </x:c>
      <x:c r="D105" s="14" t="str">
        <x:v>seasonal and holiday</x:v>
      </x:c>
      <x:c r="E105" s="14" t="str">
        <x:v>https://res.cloudinary.com/oxygre42/image/upload/f_auto,q_auto,c_pad,b_white,w_1200,h_1200/v1788348937/0131_christmas_18.png</x:v>
      </x:c>
      <x:c r="F105" s="14" t="str"/>
      <x:c r="G105" s="14" t="str">
        <x:v>Lifestyle</x:v>
      </x:c>
      <x:c r="H105" s="14" t="str"/>
      <x:c r="I105" s="14" t="str">
        <x:v>Detail</x:v>
      </x:c>
      <x:c r="J105" s="14" t="str"/>
      <x:c r="K105" s="14" t="str">
        <x:v>Scale</x:v>
      </x:c>
      <x:c r="L105" s="14" t="str"/>
      <x:c r="M105" s="14" t="str">
        <x:v>Alternate</x:v>
      </x:c>
      <x:c r="N105" s="14" t="n">
        <x:f>IF(E105&lt;&gt;"",1,0)+IF(F105&lt;&gt;"",1,0)+IF(H105&lt;&gt;"",1,0)+IF(J105&lt;&gt;"",1,0)+IF(L105&lt;&gt;"",1,0)</x:f>
        <x:v>1</x:v>
      </x:c>
      <x:c r="O105" s="14" t="str">
        <x:f>IF(E105="","MISSING MAIN",IF(N105=1,"MAIN ONLY","MULTI-PHOTO"))</x:f>
        <x:v>MAIN ONLY</x:v>
      </x:c>
      <x:c r="P105" s="14" t="str">
        <x:v>0131_</x:v>
      </x:c>
      <x:c r="Q105" s="14" t="str">
        <x:v>https://mb1advancedsolutions.github.io/mb1-catalog/index.html?design=0131</x:v>
      </x:c>
      <x:c r="R105" s="14" t="str"/>
    </x:row>
    <x:row r="106">
      <x:c r="A106" s="13" t="str">
        <x:v>MB1-0132</x:v>
      </x:c>
      <x:c r="B106" s="13" t="str">
        <x:v>MB1-0132</x:v>
      </x:c>
      <x:c r="C106" s="14" t="str">
        <x:v>christmas 19</x:v>
      </x:c>
      <x:c r="D106" s="14" t="str">
        <x:v>seasonal and holiday</x:v>
      </x:c>
      <x:c r="E106" s="14" t="str">
        <x:v>https://res.cloudinary.com/oxygre42/image/upload/f_auto,q_auto,c_pad,b_white,w_1200,h_1200/v1788348939/0132_christmas_19.png</x:v>
      </x:c>
      <x:c r="F106" s="14" t="str"/>
      <x:c r="G106" s="14" t="str">
        <x:v>Lifestyle</x:v>
      </x:c>
      <x:c r="H106" s="14" t="str"/>
      <x:c r="I106" s="14" t="str">
        <x:v>Detail</x:v>
      </x:c>
      <x:c r="J106" s="14" t="str"/>
      <x:c r="K106" s="14" t="str">
        <x:v>Scale</x:v>
      </x:c>
      <x:c r="L106" s="14" t="str"/>
      <x:c r="M106" s="14" t="str">
        <x:v>Alternate</x:v>
      </x:c>
      <x:c r="N106" s="14" t="n">
        <x:f>IF(E106&lt;&gt;"",1,0)+IF(F106&lt;&gt;"",1,0)+IF(H106&lt;&gt;"",1,0)+IF(J106&lt;&gt;"",1,0)+IF(L106&lt;&gt;"",1,0)</x:f>
        <x:v>1</x:v>
      </x:c>
      <x:c r="O106" s="14" t="str">
        <x:f>IF(E106="","MISSING MAIN",IF(N106=1,"MAIN ONLY","MULTI-PHOTO"))</x:f>
        <x:v>MAIN ONLY</x:v>
      </x:c>
      <x:c r="P106" s="14" t="str">
        <x:v>0132_</x:v>
      </x:c>
      <x:c r="Q106" s="14" t="str">
        <x:v>https://mb1advancedsolutions.github.io/mb1-catalog/index.html?design=0132</x:v>
      </x:c>
      <x:c r="R106" s="14" t="str"/>
    </x:row>
    <x:row r="107">
      <x:c r="A107" s="13" t="str">
        <x:v>MB1-0133</x:v>
      </x:c>
      <x:c r="B107" s="13" t="str">
        <x:v>MB1-0133</x:v>
      </x:c>
      <x:c r="C107" s="14" t="str">
        <x:v>christmas 2</x:v>
      </x:c>
      <x:c r="D107" s="14" t="str">
        <x:v>seasonal and holiday</x:v>
      </x:c>
      <x:c r="E107" s="14" t="str">
        <x:v>https://res.cloudinary.com/oxygre42/image/upload/f_auto,q_auto,c_pad,b_white,w_1200,h_1200/v1788348941/0133_christmas_2.png</x:v>
      </x:c>
      <x:c r="F107" s="14" t="str"/>
      <x:c r="G107" s="14" t="str">
        <x:v>Lifestyle</x:v>
      </x:c>
      <x:c r="H107" s="14" t="str"/>
      <x:c r="I107" s="14" t="str">
        <x:v>Detail</x:v>
      </x:c>
      <x:c r="J107" s="14" t="str"/>
      <x:c r="K107" s="14" t="str">
        <x:v>Scale</x:v>
      </x:c>
      <x:c r="L107" s="14" t="str"/>
      <x:c r="M107" s="14" t="str">
        <x:v>Alternate</x:v>
      </x:c>
      <x:c r="N107" s="14" t="n">
        <x:f>IF(E107&lt;&gt;"",1,0)+IF(F107&lt;&gt;"",1,0)+IF(H107&lt;&gt;"",1,0)+IF(J107&lt;&gt;"",1,0)+IF(L107&lt;&gt;"",1,0)</x:f>
        <x:v>1</x:v>
      </x:c>
      <x:c r="O107" s="14" t="str">
        <x:f>IF(E107="","MISSING MAIN",IF(N107=1,"MAIN ONLY","MULTI-PHOTO"))</x:f>
        <x:v>MAIN ONLY</x:v>
      </x:c>
      <x:c r="P107" s="14" t="str">
        <x:v>0133_</x:v>
      </x:c>
      <x:c r="Q107" s="14" t="str">
        <x:v>https://mb1advancedsolutions.github.io/mb1-catalog/index.html?design=0133</x:v>
      </x:c>
      <x:c r="R107" s="14" t="str"/>
    </x:row>
    <x:row r="108">
      <x:c r="A108" s="13" t="str">
        <x:v>MB1-0134</x:v>
      </x:c>
      <x:c r="B108" s="13" t="str">
        <x:v>MB1-0134</x:v>
      </x:c>
      <x:c r="C108" s="14" t="str">
        <x:v>christmas 20</x:v>
      </x:c>
      <x:c r="D108" s="14" t="str">
        <x:v>seasonal and holiday</x:v>
      </x:c>
      <x:c r="E108" s="14" t="str">
        <x:v>https://res.cloudinary.com/oxygre42/image/upload/f_auto,q_auto,c_pad,b_white,w_1200,h_1200/v1788348942/0134_christmas_20.png</x:v>
      </x:c>
      <x:c r="F108" s="14" t="str"/>
      <x:c r="G108" s="14" t="str">
        <x:v>Lifestyle</x:v>
      </x:c>
      <x:c r="H108" s="14" t="str"/>
      <x:c r="I108" s="14" t="str">
        <x:v>Detail</x:v>
      </x:c>
      <x:c r="J108" s="14" t="str"/>
      <x:c r="K108" s="14" t="str">
        <x:v>Scale</x:v>
      </x:c>
      <x:c r="L108" s="14" t="str"/>
      <x:c r="M108" s="14" t="str">
        <x:v>Alternate</x:v>
      </x:c>
      <x:c r="N108" s="14" t="n">
        <x:f>IF(E108&lt;&gt;"",1,0)+IF(F108&lt;&gt;"",1,0)+IF(H108&lt;&gt;"",1,0)+IF(J108&lt;&gt;"",1,0)+IF(L108&lt;&gt;"",1,0)</x:f>
        <x:v>1</x:v>
      </x:c>
      <x:c r="O108" s="14" t="str">
        <x:f>IF(E108="","MISSING MAIN",IF(N108=1,"MAIN ONLY","MULTI-PHOTO"))</x:f>
        <x:v>MAIN ONLY</x:v>
      </x:c>
      <x:c r="P108" s="14" t="str">
        <x:v>0134_</x:v>
      </x:c>
      <x:c r="Q108" s="14" t="str">
        <x:v>https://mb1advancedsolutions.github.io/mb1-catalog/index.html?design=0134</x:v>
      </x:c>
      <x:c r="R108" s="14" t="str"/>
    </x:row>
    <x:row r="109">
      <x:c r="A109" s="13" t="str">
        <x:v>MB1-0135</x:v>
      </x:c>
      <x:c r="B109" s="13" t="str">
        <x:v>MB1-0135</x:v>
      </x:c>
      <x:c r="C109" s="14" t="str">
        <x:v>christmas 21</x:v>
      </x:c>
      <x:c r="D109" s="14" t="str">
        <x:v>seasonal and holiday</x:v>
      </x:c>
      <x:c r="E109" s="14" t="str">
        <x:v>https://res.cloudinary.com/oxygre42/image/upload/f_auto,q_auto,c_pad,b_white,w_1200,h_1200/v1788348944/0135_christmas_21.png</x:v>
      </x:c>
      <x:c r="F109" s="14" t="str"/>
      <x:c r="G109" s="14" t="str">
        <x:v>Lifestyle</x:v>
      </x:c>
      <x:c r="H109" s="14" t="str"/>
      <x:c r="I109" s="14" t="str">
        <x:v>Detail</x:v>
      </x:c>
      <x:c r="J109" s="14" t="str"/>
      <x:c r="K109" s="14" t="str">
        <x:v>Scale</x:v>
      </x:c>
      <x:c r="L109" s="14" t="str"/>
      <x:c r="M109" s="14" t="str">
        <x:v>Alternate</x:v>
      </x:c>
      <x:c r="N109" s="14" t="n">
        <x:f>IF(E109&lt;&gt;"",1,0)+IF(F109&lt;&gt;"",1,0)+IF(H109&lt;&gt;"",1,0)+IF(J109&lt;&gt;"",1,0)+IF(L109&lt;&gt;"",1,0)</x:f>
        <x:v>1</x:v>
      </x:c>
      <x:c r="O109" s="14" t="str">
        <x:f>IF(E109="","MISSING MAIN",IF(N109=1,"MAIN ONLY","MULTI-PHOTO"))</x:f>
        <x:v>MAIN ONLY</x:v>
      </x:c>
      <x:c r="P109" s="14" t="str">
        <x:v>0135_</x:v>
      </x:c>
      <x:c r="Q109" s="14" t="str">
        <x:v>https://mb1advancedsolutions.github.io/mb1-catalog/index.html?design=0135</x:v>
      </x:c>
      <x:c r="R109" s="14" t="str"/>
    </x:row>
    <x:row r="110">
      <x:c r="A110" s="13" t="str">
        <x:v>MB1-0136</x:v>
      </x:c>
      <x:c r="B110" s="13" t="str">
        <x:v>MB1-0136</x:v>
      </x:c>
      <x:c r="C110" s="14" t="str">
        <x:v>christmas 22</x:v>
      </x:c>
      <x:c r="D110" s="14" t="str">
        <x:v>seasonal and holiday</x:v>
      </x:c>
      <x:c r="E110" s="14" t="str">
        <x:v>https://res.cloudinary.com/oxygre42/image/upload/f_auto,q_auto,c_pad,b_white,w_1200,h_1200/v1788348946/0136_christmas_22.png</x:v>
      </x:c>
      <x:c r="F110" s="14" t="str"/>
      <x:c r="G110" s="14" t="str">
        <x:v>Lifestyle</x:v>
      </x:c>
      <x:c r="H110" s="14" t="str"/>
      <x:c r="I110" s="14" t="str">
        <x:v>Detail</x:v>
      </x:c>
      <x:c r="J110" s="14" t="str"/>
      <x:c r="K110" s="14" t="str">
        <x:v>Scale</x:v>
      </x:c>
      <x:c r="L110" s="14" t="str"/>
      <x:c r="M110" s="14" t="str">
        <x:v>Alternate</x:v>
      </x:c>
      <x:c r="N110" s="14" t="n">
        <x:f>IF(E110&lt;&gt;"",1,0)+IF(F110&lt;&gt;"",1,0)+IF(H110&lt;&gt;"",1,0)+IF(J110&lt;&gt;"",1,0)+IF(L110&lt;&gt;"",1,0)</x:f>
        <x:v>1</x:v>
      </x:c>
      <x:c r="O110" s="14" t="str">
        <x:f>IF(E110="","MISSING MAIN",IF(N110=1,"MAIN ONLY","MULTI-PHOTO"))</x:f>
        <x:v>MAIN ONLY</x:v>
      </x:c>
      <x:c r="P110" s="14" t="str">
        <x:v>0136_</x:v>
      </x:c>
      <x:c r="Q110" s="14" t="str">
        <x:v>https://mb1advancedsolutions.github.io/mb1-catalog/index.html?design=0136</x:v>
      </x:c>
      <x:c r="R110" s="14" t="str"/>
    </x:row>
    <x:row r="111">
      <x:c r="A111" s="13" t="str">
        <x:v>MB1-0137</x:v>
      </x:c>
      <x:c r="B111" s="13" t="str">
        <x:v>MB1-0137</x:v>
      </x:c>
      <x:c r="C111" s="14" t="str">
        <x:v>christmas 23</x:v>
      </x:c>
      <x:c r="D111" s="14" t="str">
        <x:v>seasonal and holiday</x:v>
      </x:c>
      <x:c r="E111" s="14" t="str">
        <x:v>https://res.cloudinary.com/oxygre42/image/upload/f_auto,q_auto,c_pad,b_white,w_1200,h_1200/v1788348948/0137_christmas_23.png</x:v>
      </x:c>
      <x:c r="F111" s="14" t="str"/>
      <x:c r="G111" s="14" t="str">
        <x:v>Lifestyle</x:v>
      </x:c>
      <x:c r="H111" s="14" t="str"/>
      <x:c r="I111" s="14" t="str">
        <x:v>Detail</x:v>
      </x:c>
      <x:c r="J111" s="14" t="str"/>
      <x:c r="K111" s="14" t="str">
        <x:v>Scale</x:v>
      </x:c>
      <x:c r="L111" s="14" t="str"/>
      <x:c r="M111" s="14" t="str">
        <x:v>Alternate</x:v>
      </x:c>
      <x:c r="N111" s="14" t="n">
        <x:f>IF(E111&lt;&gt;"",1,0)+IF(F111&lt;&gt;"",1,0)+IF(H111&lt;&gt;"",1,0)+IF(J111&lt;&gt;"",1,0)+IF(L111&lt;&gt;"",1,0)</x:f>
        <x:v>1</x:v>
      </x:c>
      <x:c r="O111" s="14" t="str">
        <x:f>IF(E111="","MISSING MAIN",IF(N111=1,"MAIN ONLY","MULTI-PHOTO"))</x:f>
        <x:v>MAIN ONLY</x:v>
      </x:c>
      <x:c r="P111" s="14" t="str">
        <x:v>0137_</x:v>
      </x:c>
      <x:c r="Q111" s="14" t="str">
        <x:v>https://mb1advancedsolutions.github.io/mb1-catalog/index.html?design=0137</x:v>
      </x:c>
      <x:c r="R111" s="14" t="str"/>
    </x:row>
    <x:row r="112">
      <x:c r="A112" s="13" t="str">
        <x:v>MB1-0138</x:v>
      </x:c>
      <x:c r="B112" s="13" t="str">
        <x:v>MB1-0138</x:v>
      </x:c>
      <x:c r="C112" s="14" t="str">
        <x:v>christmas 24</x:v>
      </x:c>
      <x:c r="D112" s="14" t="str">
        <x:v>seasonal and holiday</x:v>
      </x:c>
      <x:c r="E112" s="14" t="str">
        <x:v>https://res.cloudinary.com/oxygre42/image/upload/f_auto,q_auto,c_pad,b_white,w_1200,h_1200/v1788348950/0138_christmas_24.png</x:v>
      </x:c>
      <x:c r="F112" s="14" t="str"/>
      <x:c r="G112" s="14" t="str">
        <x:v>Lifestyle</x:v>
      </x:c>
      <x:c r="H112" s="14" t="str"/>
      <x:c r="I112" s="14" t="str">
        <x:v>Detail</x:v>
      </x:c>
      <x:c r="J112" s="14" t="str"/>
      <x:c r="K112" s="14" t="str">
        <x:v>Scale</x:v>
      </x:c>
      <x:c r="L112" s="14" t="str"/>
      <x:c r="M112" s="14" t="str">
        <x:v>Alternate</x:v>
      </x:c>
      <x:c r="N112" s="14" t="n">
        <x:f>IF(E112&lt;&gt;"",1,0)+IF(F112&lt;&gt;"",1,0)+IF(H112&lt;&gt;"",1,0)+IF(J112&lt;&gt;"",1,0)+IF(L112&lt;&gt;"",1,0)</x:f>
        <x:v>1</x:v>
      </x:c>
      <x:c r="O112" s="14" t="str">
        <x:f>IF(E112="","MISSING MAIN",IF(N112=1,"MAIN ONLY","MULTI-PHOTO"))</x:f>
        <x:v>MAIN ONLY</x:v>
      </x:c>
      <x:c r="P112" s="14" t="str">
        <x:v>0138_</x:v>
      </x:c>
      <x:c r="Q112" s="14" t="str">
        <x:v>https://mb1advancedsolutions.github.io/mb1-catalog/index.html?design=0138</x:v>
      </x:c>
      <x:c r="R112" s="14" t="str"/>
    </x:row>
    <x:row r="113">
      <x:c r="A113" s="13" t="str">
        <x:v>MB1-0139</x:v>
      </x:c>
      <x:c r="B113" s="13" t="str">
        <x:v>MB1-0139</x:v>
      </x:c>
      <x:c r="C113" s="14" t="str">
        <x:v>christmas 25</x:v>
      </x:c>
      <x:c r="D113" s="14" t="str">
        <x:v>seasonal and holiday</x:v>
      </x:c>
      <x:c r="E113" s="14" t="str">
        <x:v>https://res.cloudinary.com/oxygre42/image/upload/f_auto,q_auto,c_pad,b_white,w_1200,h_1200/v1788348952/0139_christmas_25.png</x:v>
      </x:c>
      <x:c r="F113" s="14" t="str"/>
      <x:c r="G113" s="14" t="str">
        <x:v>Lifestyle</x:v>
      </x:c>
      <x:c r="H113" s="14" t="str"/>
      <x:c r="I113" s="14" t="str">
        <x:v>Detail</x:v>
      </x:c>
      <x:c r="J113" s="14" t="str"/>
      <x:c r="K113" s="14" t="str">
        <x:v>Scale</x:v>
      </x:c>
      <x:c r="L113" s="14" t="str"/>
      <x:c r="M113" s="14" t="str">
        <x:v>Alternate</x:v>
      </x:c>
      <x:c r="N113" s="14" t="n">
        <x:f>IF(E113&lt;&gt;"",1,0)+IF(F113&lt;&gt;"",1,0)+IF(H113&lt;&gt;"",1,0)+IF(J113&lt;&gt;"",1,0)+IF(L113&lt;&gt;"",1,0)</x:f>
        <x:v>1</x:v>
      </x:c>
      <x:c r="O113" s="14" t="str">
        <x:f>IF(E113="","MISSING MAIN",IF(N113=1,"MAIN ONLY","MULTI-PHOTO"))</x:f>
        <x:v>MAIN ONLY</x:v>
      </x:c>
      <x:c r="P113" s="14" t="str">
        <x:v>0139_</x:v>
      </x:c>
      <x:c r="Q113" s="14" t="str">
        <x:v>https://mb1advancedsolutions.github.io/mb1-catalog/index.html?design=0139</x:v>
      </x:c>
      <x:c r="R113" s="14" t="str"/>
    </x:row>
    <x:row r="114">
      <x:c r="A114" s="13" t="str">
        <x:v>MB1-0140</x:v>
      </x:c>
      <x:c r="B114" s="13" t="str">
        <x:v>MB1-0140</x:v>
      </x:c>
      <x:c r="C114" s="14" t="str">
        <x:v>christmas 3</x:v>
      </x:c>
      <x:c r="D114" s="14" t="str">
        <x:v>seasonal and holiday</x:v>
      </x:c>
      <x:c r="E114" s="14" t="str">
        <x:v>https://res.cloudinary.com/oxygre42/image/upload/f_auto,q_auto,c_pad,b_white,w_1200,h_1200/v1788348954/0140_christmas_3.png</x:v>
      </x:c>
      <x:c r="F114" s="14" t="str"/>
      <x:c r="G114" s="14" t="str">
        <x:v>Lifestyle</x:v>
      </x:c>
      <x:c r="H114" s="14" t="str"/>
      <x:c r="I114" s="14" t="str">
        <x:v>Detail</x:v>
      </x:c>
      <x:c r="J114" s="14" t="str"/>
      <x:c r="K114" s="14" t="str">
        <x:v>Scale</x:v>
      </x:c>
      <x:c r="L114" s="14" t="str"/>
      <x:c r="M114" s="14" t="str">
        <x:v>Alternate</x:v>
      </x:c>
      <x:c r="N114" s="14" t="n">
        <x:f>IF(E114&lt;&gt;"",1,0)+IF(F114&lt;&gt;"",1,0)+IF(H114&lt;&gt;"",1,0)+IF(J114&lt;&gt;"",1,0)+IF(L114&lt;&gt;"",1,0)</x:f>
        <x:v>1</x:v>
      </x:c>
      <x:c r="O114" s="14" t="str">
        <x:f>IF(E114="","MISSING MAIN",IF(N114=1,"MAIN ONLY","MULTI-PHOTO"))</x:f>
        <x:v>MAIN ONLY</x:v>
      </x:c>
      <x:c r="P114" s="14" t="str">
        <x:v>0140_</x:v>
      </x:c>
      <x:c r="Q114" s="14" t="str">
        <x:v>https://mb1advancedsolutions.github.io/mb1-catalog/index.html?design=0140</x:v>
      </x:c>
      <x:c r="R114" s="14" t="str"/>
    </x:row>
    <x:row r="115">
      <x:c r="A115" s="13" t="str">
        <x:v>MB1-0141</x:v>
      </x:c>
      <x:c r="B115" s="13" t="str">
        <x:v>MB1-0141</x:v>
      </x:c>
      <x:c r="C115" s="14" t="str">
        <x:v>christmas 4</x:v>
      </x:c>
      <x:c r="D115" s="14" t="str">
        <x:v>seasonal and holiday</x:v>
      </x:c>
      <x:c r="E115" s="14" t="str">
        <x:v>https://res.cloudinary.com/oxygre42/image/upload/f_auto,q_auto,c_pad,b_white,w_1200,h_1200/v1788348956/0141_christmas_4.png</x:v>
      </x:c>
      <x:c r="F115" s="14" t="str"/>
      <x:c r="G115" s="14" t="str">
        <x:v>Lifestyle</x:v>
      </x:c>
      <x:c r="H115" s="14" t="str"/>
      <x:c r="I115" s="14" t="str">
        <x:v>Detail</x:v>
      </x:c>
      <x:c r="J115" s="14" t="str"/>
      <x:c r="K115" s="14" t="str">
        <x:v>Scale</x:v>
      </x:c>
      <x:c r="L115" s="14" t="str"/>
      <x:c r="M115" s="14" t="str">
        <x:v>Alternate</x:v>
      </x:c>
      <x:c r="N115" s="14" t="n">
        <x:f>IF(E115&lt;&gt;"",1,0)+IF(F115&lt;&gt;"",1,0)+IF(H115&lt;&gt;"",1,0)+IF(J115&lt;&gt;"",1,0)+IF(L115&lt;&gt;"",1,0)</x:f>
        <x:v>1</x:v>
      </x:c>
      <x:c r="O115" s="14" t="str">
        <x:f>IF(E115="","MISSING MAIN",IF(N115=1,"MAIN ONLY","MULTI-PHOTO"))</x:f>
        <x:v>MAIN ONLY</x:v>
      </x:c>
      <x:c r="P115" s="14" t="str">
        <x:v>0141_</x:v>
      </x:c>
      <x:c r="Q115" s="14" t="str">
        <x:v>https://mb1advancedsolutions.github.io/mb1-catalog/index.html?design=0141</x:v>
      </x:c>
      <x:c r="R115" s="14" t="str"/>
    </x:row>
    <x:row r="116">
      <x:c r="A116" s="13" t="str">
        <x:v>MB1-0142</x:v>
      </x:c>
      <x:c r="B116" s="13" t="str">
        <x:v>MB1-0142</x:v>
      </x:c>
      <x:c r="C116" s="14" t="str">
        <x:v>christmas 5</x:v>
      </x:c>
      <x:c r="D116" s="14" t="str">
        <x:v>seasonal and holiday</x:v>
      </x:c>
      <x:c r="E116" s="14" t="str">
        <x:v>https://res.cloudinary.com/oxygre42/image/upload/f_auto,q_auto,c_pad,b_white,w_1200,h_1200/v1788348958/0142_christmas_5.png</x:v>
      </x:c>
      <x:c r="F116" s="14" t="str"/>
      <x:c r="G116" s="14" t="str">
        <x:v>Lifestyle</x:v>
      </x:c>
      <x:c r="H116" s="14" t="str"/>
      <x:c r="I116" s="14" t="str">
        <x:v>Detail</x:v>
      </x:c>
      <x:c r="J116" s="14" t="str"/>
      <x:c r="K116" s="14" t="str">
        <x:v>Scale</x:v>
      </x:c>
      <x:c r="L116" s="14" t="str"/>
      <x:c r="M116" s="14" t="str">
        <x:v>Alternate</x:v>
      </x:c>
      <x:c r="N116" s="14" t="n">
        <x:f>IF(E116&lt;&gt;"",1,0)+IF(F116&lt;&gt;"",1,0)+IF(H116&lt;&gt;"",1,0)+IF(J116&lt;&gt;"",1,0)+IF(L116&lt;&gt;"",1,0)</x:f>
        <x:v>1</x:v>
      </x:c>
      <x:c r="O116" s="14" t="str">
        <x:f>IF(E116="","MISSING MAIN",IF(N116=1,"MAIN ONLY","MULTI-PHOTO"))</x:f>
        <x:v>MAIN ONLY</x:v>
      </x:c>
      <x:c r="P116" s="14" t="str">
        <x:v>0142_</x:v>
      </x:c>
      <x:c r="Q116" s="14" t="str">
        <x:v>https://mb1advancedsolutions.github.io/mb1-catalog/index.html?design=0142</x:v>
      </x:c>
      <x:c r="R116" s="14" t="str"/>
    </x:row>
    <x:row r="117">
      <x:c r="A117" s="13" t="str">
        <x:v>MB1-0143</x:v>
      </x:c>
      <x:c r="B117" s="13" t="str">
        <x:v>MB1-0143</x:v>
      </x:c>
      <x:c r="C117" s="14" t="str">
        <x:v>christmas 6</x:v>
      </x:c>
      <x:c r="D117" s="14" t="str">
        <x:v>seasonal and holiday</x:v>
      </x:c>
      <x:c r="E117" s="14" t="str">
        <x:v>https://res.cloudinary.com/oxygre42/image/upload/f_auto,q_auto,c_pad,b_white,w_1200,h_1200/v1788348959/0143_christmas_6.png</x:v>
      </x:c>
      <x:c r="F117" s="14" t="str"/>
      <x:c r="G117" s="14" t="str">
        <x:v>Lifestyle</x:v>
      </x:c>
      <x:c r="H117" s="14" t="str"/>
      <x:c r="I117" s="14" t="str">
        <x:v>Detail</x:v>
      </x:c>
      <x:c r="J117" s="14" t="str"/>
      <x:c r="K117" s="14" t="str">
        <x:v>Scale</x:v>
      </x:c>
      <x:c r="L117" s="14" t="str"/>
      <x:c r="M117" s="14" t="str">
        <x:v>Alternate</x:v>
      </x:c>
      <x:c r="N117" s="14" t="n">
        <x:f>IF(E117&lt;&gt;"",1,0)+IF(F117&lt;&gt;"",1,0)+IF(H117&lt;&gt;"",1,0)+IF(J117&lt;&gt;"",1,0)+IF(L117&lt;&gt;"",1,0)</x:f>
        <x:v>1</x:v>
      </x:c>
      <x:c r="O117" s="14" t="str">
        <x:f>IF(E117="","MISSING MAIN",IF(N117=1,"MAIN ONLY","MULTI-PHOTO"))</x:f>
        <x:v>MAIN ONLY</x:v>
      </x:c>
      <x:c r="P117" s="14" t="str">
        <x:v>0143_</x:v>
      </x:c>
      <x:c r="Q117" s="14" t="str">
        <x:v>https://mb1advancedsolutions.github.io/mb1-catalog/index.html?design=0143</x:v>
      </x:c>
      <x:c r="R117" s="14" t="str"/>
    </x:row>
    <x:row r="118">
      <x:c r="A118" s="13" t="str">
        <x:v>MB1-0144</x:v>
      </x:c>
      <x:c r="B118" s="13" t="str">
        <x:v>MB1-0144</x:v>
      </x:c>
      <x:c r="C118" s="14" t="str">
        <x:v>christmas 7</x:v>
      </x:c>
      <x:c r="D118" s="14" t="str">
        <x:v>seasonal and holiday</x:v>
      </x:c>
      <x:c r="E118" s="14" t="str">
        <x:v>https://res.cloudinary.com/oxygre42/image/upload/f_auto,q_auto,c_pad,b_white,w_1200,h_1200/v1788348961/0144_christmas_7.png</x:v>
      </x:c>
      <x:c r="F118" s="14" t="str"/>
      <x:c r="G118" s="14" t="str">
        <x:v>Lifestyle</x:v>
      </x:c>
      <x:c r="H118" s="14" t="str"/>
      <x:c r="I118" s="14" t="str">
        <x:v>Detail</x:v>
      </x:c>
      <x:c r="J118" s="14" t="str"/>
      <x:c r="K118" s="14" t="str">
        <x:v>Scale</x:v>
      </x:c>
      <x:c r="L118" s="14" t="str"/>
      <x:c r="M118" s="14" t="str">
        <x:v>Alternate</x:v>
      </x:c>
      <x:c r="N118" s="14" t="n">
        <x:f>IF(E118&lt;&gt;"",1,0)+IF(F118&lt;&gt;"",1,0)+IF(H118&lt;&gt;"",1,0)+IF(J118&lt;&gt;"",1,0)+IF(L118&lt;&gt;"",1,0)</x:f>
        <x:v>1</x:v>
      </x:c>
      <x:c r="O118" s="14" t="str">
        <x:f>IF(E118="","MISSING MAIN",IF(N118=1,"MAIN ONLY","MULTI-PHOTO"))</x:f>
        <x:v>MAIN ONLY</x:v>
      </x:c>
      <x:c r="P118" s="14" t="str">
        <x:v>0144_</x:v>
      </x:c>
      <x:c r="Q118" s="14" t="str">
        <x:v>https://mb1advancedsolutions.github.io/mb1-catalog/index.html?design=0144</x:v>
      </x:c>
      <x:c r="R118" s="14" t="str"/>
    </x:row>
    <x:row r="119">
      <x:c r="A119" s="13" t="str">
        <x:v>MB1-0145</x:v>
      </x:c>
      <x:c r="B119" s="13" t="str">
        <x:v>MB1-0145</x:v>
      </x:c>
      <x:c r="C119" s="14" t="str">
        <x:v>christmas 8</x:v>
      </x:c>
      <x:c r="D119" s="14" t="str">
        <x:v>seasonal and holiday</x:v>
      </x:c>
      <x:c r="E119" s="14" t="str">
        <x:v>https://res.cloudinary.com/oxygre42/image/upload/f_auto,q_auto,c_pad,b_white,w_1200,h_1200/v1788348963/0145_christmas_8.png</x:v>
      </x:c>
      <x:c r="F119" s="14" t="str"/>
      <x:c r="G119" s="14" t="str">
        <x:v>Lifestyle</x:v>
      </x:c>
      <x:c r="H119" s="14" t="str"/>
      <x:c r="I119" s="14" t="str">
        <x:v>Detail</x:v>
      </x:c>
      <x:c r="J119" s="14" t="str"/>
      <x:c r="K119" s="14" t="str">
        <x:v>Scale</x:v>
      </x:c>
      <x:c r="L119" s="14" t="str"/>
      <x:c r="M119" s="14" t="str">
        <x:v>Alternate</x:v>
      </x:c>
      <x:c r="N119" s="14" t="n">
        <x:f>IF(E119&lt;&gt;"",1,0)+IF(F119&lt;&gt;"",1,0)+IF(H119&lt;&gt;"",1,0)+IF(J119&lt;&gt;"",1,0)+IF(L119&lt;&gt;"",1,0)</x:f>
        <x:v>1</x:v>
      </x:c>
      <x:c r="O119" s="14" t="str">
        <x:f>IF(E119="","MISSING MAIN",IF(N119=1,"MAIN ONLY","MULTI-PHOTO"))</x:f>
        <x:v>MAIN ONLY</x:v>
      </x:c>
      <x:c r="P119" s="14" t="str">
        <x:v>0145_</x:v>
      </x:c>
      <x:c r="Q119" s="14" t="str">
        <x:v>https://mb1advancedsolutions.github.io/mb1-catalog/index.html?design=0145</x:v>
      </x:c>
      <x:c r="R119" s="14" t="str"/>
    </x:row>
    <x:row r="120">
      <x:c r="A120" s="13" t="str">
        <x:v>MB1-0146</x:v>
      </x:c>
      <x:c r="B120" s="13" t="str">
        <x:v>MB1-0146</x:v>
      </x:c>
      <x:c r="C120" s="14" t="str">
        <x:v>christmas 9</x:v>
      </x:c>
      <x:c r="D120" s="14" t="str">
        <x:v>seasonal and holiday</x:v>
      </x:c>
      <x:c r="E120" s="14" t="str">
        <x:v>https://res.cloudinary.com/oxygre42/image/upload/f_auto,q_auto,c_pad,b_white,w_1200,h_1200/v1788348965/0146_christmas_9.png</x:v>
      </x:c>
      <x:c r="F120" s="14" t="str"/>
      <x:c r="G120" s="14" t="str">
        <x:v>Lifestyle</x:v>
      </x:c>
      <x:c r="H120" s="14" t="str"/>
      <x:c r="I120" s="14" t="str">
        <x:v>Detail</x:v>
      </x:c>
      <x:c r="J120" s="14" t="str"/>
      <x:c r="K120" s="14" t="str">
        <x:v>Scale</x:v>
      </x:c>
      <x:c r="L120" s="14" t="str"/>
      <x:c r="M120" s="14" t="str">
        <x:v>Alternate</x:v>
      </x:c>
      <x:c r="N120" s="14" t="n">
        <x:f>IF(E120&lt;&gt;"",1,0)+IF(F120&lt;&gt;"",1,0)+IF(H120&lt;&gt;"",1,0)+IF(J120&lt;&gt;"",1,0)+IF(L120&lt;&gt;"",1,0)</x:f>
        <x:v>1</x:v>
      </x:c>
      <x:c r="O120" s="14" t="str">
        <x:f>IF(E120="","MISSING MAIN",IF(N120=1,"MAIN ONLY","MULTI-PHOTO"))</x:f>
        <x:v>MAIN ONLY</x:v>
      </x:c>
      <x:c r="P120" s="14" t="str">
        <x:v>0146_</x:v>
      </x:c>
      <x:c r="Q120" s="14" t="str">
        <x:v>https://mb1advancedsolutions.github.io/mb1-catalog/index.html?design=0146</x:v>
      </x:c>
      <x:c r="R120" s="14" t="str"/>
    </x:row>
    <x:row r="121">
      <x:c r="A121" s="13" t="str">
        <x:v>MB1-0147</x:v>
      </x:c>
      <x:c r="B121" s="13" t="str">
        <x:v>MB1-0147</x:v>
      </x:c>
      <x:c r="C121" s="14" t="str">
        <x:v>CHRISTMAS DESIGN 1</x:v>
      </x:c>
      <x:c r="D121" s="14" t="str">
        <x:v>seasonal and holiday</x:v>
      </x:c>
      <x:c r="E121" s="14" t="str">
        <x:v>https://res.cloudinary.com/oxygre42/image/upload/f_auto,q_auto,c_pad,b_white,w_1200,h_1200/v1788348967/0147_CHRISTMAS_DESIGN_1.png</x:v>
      </x:c>
      <x:c r="F121" s="14" t="str"/>
      <x:c r="G121" s="14" t="str">
        <x:v>Lifestyle</x:v>
      </x:c>
      <x:c r="H121" s="14" t="str"/>
      <x:c r="I121" s="14" t="str">
        <x:v>Detail</x:v>
      </x:c>
      <x:c r="J121" s="14" t="str"/>
      <x:c r="K121" s="14" t="str">
        <x:v>Scale</x:v>
      </x:c>
      <x:c r="L121" s="14" t="str"/>
      <x:c r="M121" s="14" t="str">
        <x:v>Alternate</x:v>
      </x:c>
      <x:c r="N121" s="14" t="n">
        <x:f>IF(E121&lt;&gt;"",1,0)+IF(F121&lt;&gt;"",1,0)+IF(H121&lt;&gt;"",1,0)+IF(J121&lt;&gt;"",1,0)+IF(L121&lt;&gt;"",1,0)</x:f>
        <x:v>1</x:v>
      </x:c>
      <x:c r="O121" s="14" t="str">
        <x:f>IF(E121="","MISSING MAIN",IF(N121=1,"MAIN ONLY","MULTI-PHOTO"))</x:f>
        <x:v>MAIN ONLY</x:v>
      </x:c>
      <x:c r="P121" s="14" t="str">
        <x:v>0147_</x:v>
      </x:c>
      <x:c r="Q121" s="14" t="str">
        <x:v>https://mb1advancedsolutions.github.io/mb1-catalog/index.html?design=0147</x:v>
      </x:c>
      <x:c r="R121" s="14" t="str"/>
    </x:row>
    <x:row r="122">
      <x:c r="A122" s="13" t="str">
        <x:v>MB1-0148</x:v>
      </x:c>
      <x:c r="B122" s="13" t="str">
        <x:v>MB1-0148</x:v>
      </x:c>
      <x:c r="C122" s="14" t="str">
        <x:v>CHRISTMAS DESIGN 10</x:v>
      </x:c>
      <x:c r="D122" s="14" t="str">
        <x:v>seasonal and holiday</x:v>
      </x:c>
      <x:c r="E122" s="14" t="str">
        <x:v>https://res.cloudinary.com/oxygre42/image/upload/f_auto,q_auto,c_pad,b_white,w_1200,h_1200/v1788348969/0148_CHRISTMAS_DESIGN_10.png</x:v>
      </x:c>
      <x:c r="F122" s="14" t="str"/>
      <x:c r="G122" s="14" t="str">
        <x:v>Lifestyle</x:v>
      </x:c>
      <x:c r="H122" s="14" t="str"/>
      <x:c r="I122" s="14" t="str">
        <x:v>Detail</x:v>
      </x:c>
      <x:c r="J122" s="14" t="str"/>
      <x:c r="K122" s="14" t="str">
        <x:v>Scale</x:v>
      </x:c>
      <x:c r="L122" s="14" t="str"/>
      <x:c r="M122" s="14" t="str">
        <x:v>Alternate</x:v>
      </x:c>
      <x:c r="N122" s="14" t="n">
        <x:f>IF(E122&lt;&gt;"",1,0)+IF(F122&lt;&gt;"",1,0)+IF(H122&lt;&gt;"",1,0)+IF(J122&lt;&gt;"",1,0)+IF(L122&lt;&gt;"",1,0)</x:f>
        <x:v>1</x:v>
      </x:c>
      <x:c r="O122" s="14" t="str">
        <x:f>IF(E122="","MISSING MAIN",IF(N122=1,"MAIN ONLY","MULTI-PHOTO"))</x:f>
        <x:v>MAIN ONLY</x:v>
      </x:c>
      <x:c r="P122" s="14" t="str">
        <x:v>0148_</x:v>
      </x:c>
      <x:c r="Q122" s="14" t="str">
        <x:v>https://mb1advancedsolutions.github.io/mb1-catalog/index.html?design=0148</x:v>
      </x:c>
      <x:c r="R122" s="14" t="str"/>
    </x:row>
    <x:row r="123">
      <x:c r="A123" s="13" t="str">
        <x:v>MB1-0149</x:v>
      </x:c>
      <x:c r="B123" s="13" t="str">
        <x:v>MB1-0149</x:v>
      </x:c>
      <x:c r="C123" s="14" t="str">
        <x:v>CHRISTMAS DESIGN 11</x:v>
      </x:c>
      <x:c r="D123" s="14" t="str">
        <x:v>seasonal and holiday</x:v>
      </x:c>
      <x:c r="E123" s="14" t="str">
        <x:v>https://res.cloudinary.com/oxygre42/image/upload/f_auto,q_auto,c_pad,b_white,w_1200,h_1200/v1788348971/0149_CHRISTMAS_DESIGN_11.png</x:v>
      </x:c>
      <x:c r="F123" s="14" t="str"/>
      <x:c r="G123" s="14" t="str">
        <x:v>Lifestyle</x:v>
      </x:c>
      <x:c r="H123" s="14" t="str"/>
      <x:c r="I123" s="14" t="str">
        <x:v>Detail</x:v>
      </x:c>
      <x:c r="J123" s="14" t="str"/>
      <x:c r="K123" s="14" t="str">
        <x:v>Scale</x:v>
      </x:c>
      <x:c r="L123" s="14" t="str"/>
      <x:c r="M123" s="14" t="str">
        <x:v>Alternate</x:v>
      </x:c>
      <x:c r="N123" s="14" t="n">
        <x:f>IF(E123&lt;&gt;"",1,0)+IF(F123&lt;&gt;"",1,0)+IF(H123&lt;&gt;"",1,0)+IF(J123&lt;&gt;"",1,0)+IF(L123&lt;&gt;"",1,0)</x:f>
        <x:v>1</x:v>
      </x:c>
      <x:c r="O123" s="14" t="str">
        <x:f>IF(E123="","MISSING MAIN",IF(N123=1,"MAIN ONLY","MULTI-PHOTO"))</x:f>
        <x:v>MAIN ONLY</x:v>
      </x:c>
      <x:c r="P123" s="14" t="str">
        <x:v>0149_</x:v>
      </x:c>
      <x:c r="Q123" s="14" t="str">
        <x:v>https://mb1advancedsolutions.github.io/mb1-catalog/index.html?design=0149</x:v>
      </x:c>
      <x:c r="R123" s="14" t="str"/>
    </x:row>
    <x:row r="124">
      <x:c r="A124" s="13" t="str">
        <x:v>MB1-0150</x:v>
      </x:c>
      <x:c r="B124" s="13" t="str">
        <x:v>MB1-0150</x:v>
      </x:c>
      <x:c r="C124" s="14" t="str">
        <x:v>CHRISTMAS DESIGN 12</x:v>
      </x:c>
      <x:c r="D124" s="14" t="str">
        <x:v>seasonal and holiday</x:v>
      </x:c>
      <x:c r="E124" s="14" t="str">
        <x:v>https://res.cloudinary.com/oxygre42/image/upload/f_auto,q_auto,c_pad,b_white,w_1200,h_1200/v1788348973/0150_CHRISTMAS_DESIGN_12.png</x:v>
      </x:c>
      <x:c r="F124" s="14" t="str"/>
      <x:c r="G124" s="14" t="str">
        <x:v>Lifestyle</x:v>
      </x:c>
      <x:c r="H124" s="14" t="str"/>
      <x:c r="I124" s="14" t="str">
        <x:v>Detail</x:v>
      </x:c>
      <x:c r="J124" s="14" t="str"/>
      <x:c r="K124" s="14" t="str">
        <x:v>Scale</x:v>
      </x:c>
      <x:c r="L124" s="14" t="str"/>
      <x:c r="M124" s="14" t="str">
        <x:v>Alternate</x:v>
      </x:c>
      <x:c r="N124" s="14" t="n">
        <x:f>IF(E124&lt;&gt;"",1,0)+IF(F124&lt;&gt;"",1,0)+IF(H124&lt;&gt;"",1,0)+IF(J124&lt;&gt;"",1,0)+IF(L124&lt;&gt;"",1,0)</x:f>
        <x:v>1</x:v>
      </x:c>
      <x:c r="O124" s="14" t="str">
        <x:f>IF(E124="","MISSING MAIN",IF(N124=1,"MAIN ONLY","MULTI-PHOTO"))</x:f>
        <x:v>MAIN ONLY</x:v>
      </x:c>
      <x:c r="P124" s="14" t="str">
        <x:v>0150_</x:v>
      </x:c>
      <x:c r="Q124" s="14" t="str">
        <x:v>https://mb1advancedsolutions.github.io/mb1-catalog/index.html?design=0150</x:v>
      </x:c>
      <x:c r="R124" s="14" t="str"/>
    </x:row>
    <x:row r="125">
      <x:c r="A125" s="13" t="str">
        <x:v>MB1-0151</x:v>
      </x:c>
      <x:c r="B125" s="13" t="str">
        <x:v>MB1-0151</x:v>
      </x:c>
      <x:c r="C125" s="14" t="str">
        <x:v>CHRISTMAS DESIGN 13</x:v>
      </x:c>
      <x:c r="D125" s="14" t="str">
        <x:v>seasonal and holiday</x:v>
      </x:c>
      <x:c r="E125" s="14" t="str">
        <x:v>https://res.cloudinary.com/oxygre42/image/upload/f_auto,q_auto,c_pad,b_white,w_1200,h_1200/v1788348974/0151_CHRISTMAS_DESIGN_13.png</x:v>
      </x:c>
      <x:c r="F125" s="14" t="str"/>
      <x:c r="G125" s="14" t="str">
        <x:v>Lifestyle</x:v>
      </x:c>
      <x:c r="H125" s="14" t="str"/>
      <x:c r="I125" s="14" t="str">
        <x:v>Detail</x:v>
      </x:c>
      <x:c r="J125" s="14" t="str"/>
      <x:c r="K125" s="14" t="str">
        <x:v>Scale</x:v>
      </x:c>
      <x:c r="L125" s="14" t="str"/>
      <x:c r="M125" s="14" t="str">
        <x:v>Alternate</x:v>
      </x:c>
      <x:c r="N125" s="14" t="n">
        <x:f>IF(E125&lt;&gt;"",1,0)+IF(F125&lt;&gt;"",1,0)+IF(H125&lt;&gt;"",1,0)+IF(J125&lt;&gt;"",1,0)+IF(L125&lt;&gt;"",1,0)</x:f>
        <x:v>1</x:v>
      </x:c>
      <x:c r="O125" s="14" t="str">
        <x:f>IF(E125="","MISSING MAIN",IF(N125=1,"MAIN ONLY","MULTI-PHOTO"))</x:f>
        <x:v>MAIN ONLY</x:v>
      </x:c>
      <x:c r="P125" s="14" t="str">
        <x:v>0151_</x:v>
      </x:c>
      <x:c r="Q125" s="14" t="str">
        <x:v>https://mb1advancedsolutions.github.io/mb1-catalog/index.html?design=0151</x:v>
      </x:c>
      <x:c r="R125" s="14" t="str"/>
    </x:row>
    <x:row r="126">
      <x:c r="A126" s="13" t="str">
        <x:v>MB1-0152</x:v>
      </x:c>
      <x:c r="B126" s="13" t="str">
        <x:v>MB1-0152</x:v>
      </x:c>
      <x:c r="C126" s="14" t="str">
        <x:v>CHRISTMAS DESIGN 14</x:v>
      </x:c>
      <x:c r="D126" s="14" t="str">
        <x:v>seasonal and holiday</x:v>
      </x:c>
      <x:c r="E126" s="14" t="str">
        <x:v>https://res.cloudinary.com/oxygre42/image/upload/f_auto,q_auto,c_pad,b_white,w_1200,h_1200/v1788348976/0152_CHRISTMAS_DESIGN_14.png</x:v>
      </x:c>
      <x:c r="F126" s="14" t="str"/>
      <x:c r="G126" s="14" t="str">
        <x:v>Lifestyle</x:v>
      </x:c>
      <x:c r="H126" s="14" t="str"/>
      <x:c r="I126" s="14" t="str">
        <x:v>Detail</x:v>
      </x:c>
      <x:c r="J126" s="14" t="str"/>
      <x:c r="K126" s="14" t="str">
        <x:v>Scale</x:v>
      </x:c>
      <x:c r="L126" s="14" t="str"/>
      <x:c r="M126" s="14" t="str">
        <x:v>Alternate</x:v>
      </x:c>
      <x:c r="N126" s="14" t="n">
        <x:f>IF(E126&lt;&gt;"",1,0)+IF(F126&lt;&gt;"",1,0)+IF(H126&lt;&gt;"",1,0)+IF(J126&lt;&gt;"",1,0)+IF(L126&lt;&gt;"",1,0)</x:f>
        <x:v>1</x:v>
      </x:c>
      <x:c r="O126" s="14" t="str">
        <x:f>IF(E126="","MISSING MAIN",IF(N126=1,"MAIN ONLY","MULTI-PHOTO"))</x:f>
        <x:v>MAIN ONLY</x:v>
      </x:c>
      <x:c r="P126" s="14" t="str">
        <x:v>0152_</x:v>
      </x:c>
      <x:c r="Q126" s="14" t="str">
        <x:v>https://mb1advancedsolutions.github.io/mb1-catalog/index.html?design=0152</x:v>
      </x:c>
      <x:c r="R126" s="14" t="str"/>
    </x:row>
    <x:row r="127">
      <x:c r="A127" s="13" t="str">
        <x:v>MB1-0153</x:v>
      </x:c>
      <x:c r="B127" s="13" t="str">
        <x:v>MB1-0153</x:v>
      </x:c>
      <x:c r="C127" s="14" t="str">
        <x:v>CHRISTMAS DESIGN 15</x:v>
      </x:c>
      <x:c r="D127" s="14" t="str">
        <x:v>seasonal and holiday</x:v>
      </x:c>
      <x:c r="E127" s="14" t="str">
        <x:v>https://res.cloudinary.com/oxygre42/image/upload/f_auto,q_auto,c_pad,b_white,w_1200,h_1200/v1788348978/0153_CHRISTMAS_DESIGN_15.png</x:v>
      </x:c>
      <x:c r="F127" s="14" t="str"/>
      <x:c r="G127" s="14" t="str">
        <x:v>Lifestyle</x:v>
      </x:c>
      <x:c r="H127" s="14" t="str"/>
      <x:c r="I127" s="14" t="str">
        <x:v>Detail</x:v>
      </x:c>
      <x:c r="J127" s="14" t="str"/>
      <x:c r="K127" s="14" t="str">
        <x:v>Scale</x:v>
      </x:c>
      <x:c r="L127" s="14" t="str"/>
      <x:c r="M127" s="14" t="str">
        <x:v>Alternate</x:v>
      </x:c>
      <x:c r="N127" s="14" t="n">
        <x:f>IF(E127&lt;&gt;"",1,0)+IF(F127&lt;&gt;"",1,0)+IF(H127&lt;&gt;"",1,0)+IF(J127&lt;&gt;"",1,0)+IF(L127&lt;&gt;"",1,0)</x:f>
        <x:v>1</x:v>
      </x:c>
      <x:c r="O127" s="14" t="str">
        <x:f>IF(E127="","MISSING MAIN",IF(N127=1,"MAIN ONLY","MULTI-PHOTO"))</x:f>
        <x:v>MAIN ONLY</x:v>
      </x:c>
      <x:c r="P127" s="14" t="str">
        <x:v>0153_</x:v>
      </x:c>
      <x:c r="Q127" s="14" t="str">
        <x:v>https://mb1advancedsolutions.github.io/mb1-catalog/index.html?design=0153</x:v>
      </x:c>
      <x:c r="R127" s="14" t="str"/>
    </x:row>
    <x:row r="128">
      <x:c r="A128" s="13" t="str">
        <x:v>MB1-0154</x:v>
      </x:c>
      <x:c r="B128" s="13" t="str">
        <x:v>MB1-0154</x:v>
      </x:c>
      <x:c r="C128" s="14" t="str">
        <x:v>CHRISTMAS DESIGN 16</x:v>
      </x:c>
      <x:c r="D128" s="14" t="str">
        <x:v>seasonal and holiday</x:v>
      </x:c>
      <x:c r="E128" s="14" t="str">
        <x:v>https://res.cloudinary.com/oxygre42/image/upload/f_auto,q_auto,c_pad,b_white,w_1200,h_1200/v1788348980/0154_CHRISTMAS_DESIGN_16.png</x:v>
      </x:c>
      <x:c r="F128" s="14" t="str"/>
      <x:c r="G128" s="14" t="str">
        <x:v>Lifestyle</x:v>
      </x:c>
      <x:c r="H128" s="14" t="str"/>
      <x:c r="I128" s="14" t="str">
        <x:v>Detail</x:v>
      </x:c>
      <x:c r="J128" s="14" t="str"/>
      <x:c r="K128" s="14" t="str">
        <x:v>Scale</x:v>
      </x:c>
      <x:c r="L128" s="14" t="str"/>
      <x:c r="M128" s="14" t="str">
        <x:v>Alternate</x:v>
      </x:c>
      <x:c r="N128" s="14" t="n">
        <x:f>IF(E128&lt;&gt;"",1,0)+IF(F128&lt;&gt;"",1,0)+IF(H128&lt;&gt;"",1,0)+IF(J128&lt;&gt;"",1,0)+IF(L128&lt;&gt;"",1,0)</x:f>
        <x:v>1</x:v>
      </x:c>
      <x:c r="O128" s="14" t="str">
        <x:f>IF(E128="","MISSING MAIN",IF(N128=1,"MAIN ONLY","MULTI-PHOTO"))</x:f>
        <x:v>MAIN ONLY</x:v>
      </x:c>
      <x:c r="P128" s="14" t="str">
        <x:v>0154_</x:v>
      </x:c>
      <x:c r="Q128" s="14" t="str">
        <x:v>https://mb1advancedsolutions.github.io/mb1-catalog/index.html?design=0154</x:v>
      </x:c>
      <x:c r="R128" s="14" t="str"/>
    </x:row>
    <x:row r="129">
      <x:c r="A129" s="13" t="str">
        <x:v>MB1-0155</x:v>
      </x:c>
      <x:c r="B129" s="13" t="str">
        <x:v>MB1-0155</x:v>
      </x:c>
      <x:c r="C129" s="14" t="str">
        <x:v>CHRISTMAS DESIGN 2</x:v>
      </x:c>
      <x:c r="D129" s="14" t="str">
        <x:v>seasonal and holiday</x:v>
      </x:c>
      <x:c r="E129" s="14" t="str">
        <x:v>https://res.cloudinary.com/oxygre42/image/upload/f_auto,q_auto,c_pad,b_white,w_1200,h_1200/v1788348982/0155_CHRISTMAS_DESIGN_2.png</x:v>
      </x:c>
      <x:c r="F129" s="14" t="str"/>
      <x:c r="G129" s="14" t="str">
        <x:v>Lifestyle</x:v>
      </x:c>
      <x:c r="H129" s="14" t="str"/>
      <x:c r="I129" s="14" t="str">
        <x:v>Detail</x:v>
      </x:c>
      <x:c r="J129" s="14" t="str"/>
      <x:c r="K129" s="14" t="str">
        <x:v>Scale</x:v>
      </x:c>
      <x:c r="L129" s="14" t="str"/>
      <x:c r="M129" s="14" t="str">
        <x:v>Alternate</x:v>
      </x:c>
      <x:c r="N129" s="14" t="n">
        <x:f>IF(E129&lt;&gt;"",1,0)+IF(F129&lt;&gt;"",1,0)+IF(H129&lt;&gt;"",1,0)+IF(J129&lt;&gt;"",1,0)+IF(L129&lt;&gt;"",1,0)</x:f>
        <x:v>1</x:v>
      </x:c>
      <x:c r="O129" s="14" t="str">
        <x:f>IF(E129="","MISSING MAIN",IF(N129=1,"MAIN ONLY","MULTI-PHOTO"))</x:f>
        <x:v>MAIN ONLY</x:v>
      </x:c>
      <x:c r="P129" s="14" t="str">
        <x:v>0155_</x:v>
      </x:c>
      <x:c r="Q129" s="14" t="str">
        <x:v>https://mb1advancedsolutions.github.io/mb1-catalog/index.html?design=0155</x:v>
      </x:c>
      <x:c r="R129" s="14" t="str"/>
    </x:row>
    <x:row r="130">
      <x:c r="A130" s="13" t="str">
        <x:v>MB1-0156</x:v>
      </x:c>
      <x:c r="B130" s="13" t="str">
        <x:v>MB1-0156</x:v>
      </x:c>
      <x:c r="C130" s="14" t="str">
        <x:v>CHRISTMAS DESIGN 3</x:v>
      </x:c>
      <x:c r="D130" s="14" t="str">
        <x:v>seasonal and holiday</x:v>
      </x:c>
      <x:c r="E130" s="14" t="str">
        <x:v>https://res.cloudinary.com/oxygre42/image/upload/f_auto,q_auto,c_pad,b_white,w_1200,h_1200/v1788348984/0156_CHRISTMAS_DESIGN_3.png</x:v>
      </x:c>
      <x:c r="F130" s="14" t="str"/>
      <x:c r="G130" s="14" t="str">
        <x:v>Lifestyle</x:v>
      </x:c>
      <x:c r="H130" s="14" t="str"/>
      <x:c r="I130" s="14" t="str">
        <x:v>Detail</x:v>
      </x:c>
      <x:c r="J130" s="14" t="str"/>
      <x:c r="K130" s="14" t="str">
        <x:v>Scale</x:v>
      </x:c>
      <x:c r="L130" s="14" t="str"/>
      <x:c r="M130" s="14" t="str">
        <x:v>Alternate</x:v>
      </x:c>
      <x:c r="N130" s="14" t="n">
        <x:f>IF(E130&lt;&gt;"",1,0)+IF(F130&lt;&gt;"",1,0)+IF(H130&lt;&gt;"",1,0)+IF(J130&lt;&gt;"",1,0)+IF(L130&lt;&gt;"",1,0)</x:f>
        <x:v>1</x:v>
      </x:c>
      <x:c r="O130" s="14" t="str">
        <x:f>IF(E130="","MISSING MAIN",IF(N130=1,"MAIN ONLY","MULTI-PHOTO"))</x:f>
        <x:v>MAIN ONLY</x:v>
      </x:c>
      <x:c r="P130" s="14" t="str">
        <x:v>0156_</x:v>
      </x:c>
      <x:c r="Q130" s="14" t="str">
        <x:v>https://mb1advancedsolutions.github.io/mb1-catalog/index.html?design=0156</x:v>
      </x:c>
      <x:c r="R130" s="14" t="str"/>
    </x:row>
    <x:row r="131">
      <x:c r="A131" s="13" t="str">
        <x:v>MB1-0157</x:v>
      </x:c>
      <x:c r="B131" s="13" t="str">
        <x:v>MB1-0157</x:v>
      </x:c>
      <x:c r="C131" s="14" t="str">
        <x:v>CHRISTMAS DESIGN 4</x:v>
      </x:c>
      <x:c r="D131" s="14" t="str">
        <x:v>seasonal and holiday</x:v>
      </x:c>
      <x:c r="E131" s="14" t="str">
        <x:v>https://res.cloudinary.com/oxygre42/image/upload/f_auto,q_auto,c_pad,b_white,w_1200,h_1200/v1788348986/0157_CHRISTMAS_DESIGN_4.png</x:v>
      </x:c>
      <x:c r="F131" s="14" t="str"/>
      <x:c r="G131" s="14" t="str">
        <x:v>Lifestyle</x:v>
      </x:c>
      <x:c r="H131" s="14" t="str"/>
      <x:c r="I131" s="14" t="str">
        <x:v>Detail</x:v>
      </x:c>
      <x:c r="J131" s="14" t="str"/>
      <x:c r="K131" s="14" t="str">
        <x:v>Scale</x:v>
      </x:c>
      <x:c r="L131" s="14" t="str"/>
      <x:c r="M131" s="14" t="str">
        <x:v>Alternate</x:v>
      </x:c>
      <x:c r="N131" s="14" t="n">
        <x:f>IF(E131&lt;&gt;"",1,0)+IF(F131&lt;&gt;"",1,0)+IF(H131&lt;&gt;"",1,0)+IF(J131&lt;&gt;"",1,0)+IF(L131&lt;&gt;"",1,0)</x:f>
        <x:v>1</x:v>
      </x:c>
      <x:c r="O131" s="14" t="str">
        <x:f>IF(E131="","MISSING MAIN",IF(N131=1,"MAIN ONLY","MULTI-PHOTO"))</x:f>
        <x:v>MAIN ONLY</x:v>
      </x:c>
      <x:c r="P131" s="14" t="str">
        <x:v>0157_</x:v>
      </x:c>
      <x:c r="Q131" s="14" t="str">
        <x:v>https://mb1advancedsolutions.github.io/mb1-catalog/index.html?design=0157</x:v>
      </x:c>
      <x:c r="R131" s="14" t="str"/>
    </x:row>
    <x:row r="132">
      <x:c r="A132" s="13" t="str">
        <x:v>MB1-0158</x:v>
      </x:c>
      <x:c r="B132" s="13" t="str">
        <x:v>MB1-0158</x:v>
      </x:c>
      <x:c r="C132" s="14" t="str">
        <x:v>CHRISTMAS DESIGN 5</x:v>
      </x:c>
      <x:c r="D132" s="14" t="str">
        <x:v>seasonal and holiday</x:v>
      </x:c>
      <x:c r="E132" s="14" t="str">
        <x:v>https://res.cloudinary.com/oxygre42/image/upload/f_auto,q_auto,c_pad,b_white,w_1200,h_1200/v1788348988/0158_CHRISTMAS_DESIGN_5.png</x:v>
      </x:c>
      <x:c r="F132" s="14" t="str"/>
      <x:c r="G132" s="14" t="str">
        <x:v>Lifestyle</x:v>
      </x:c>
      <x:c r="H132" s="14" t="str"/>
      <x:c r="I132" s="14" t="str">
        <x:v>Detail</x:v>
      </x:c>
      <x:c r="J132" s="14" t="str"/>
      <x:c r="K132" s="14" t="str">
        <x:v>Scale</x:v>
      </x:c>
      <x:c r="L132" s="14" t="str"/>
      <x:c r="M132" s="14" t="str">
        <x:v>Alternate</x:v>
      </x:c>
      <x:c r="N132" s="14" t="n">
        <x:f>IF(E132&lt;&gt;"",1,0)+IF(F132&lt;&gt;"",1,0)+IF(H132&lt;&gt;"",1,0)+IF(J132&lt;&gt;"",1,0)+IF(L132&lt;&gt;"",1,0)</x:f>
        <x:v>1</x:v>
      </x:c>
      <x:c r="O132" s="14" t="str">
        <x:f>IF(E132="","MISSING MAIN",IF(N132=1,"MAIN ONLY","MULTI-PHOTO"))</x:f>
        <x:v>MAIN ONLY</x:v>
      </x:c>
      <x:c r="P132" s="14" t="str">
        <x:v>0158_</x:v>
      </x:c>
      <x:c r="Q132" s="14" t="str">
        <x:v>https://mb1advancedsolutions.github.io/mb1-catalog/index.html?design=0158</x:v>
      </x:c>
      <x:c r="R132" s="14" t="str"/>
    </x:row>
    <x:row r="133">
      <x:c r="A133" s="13" t="str">
        <x:v>MB1-0159</x:v>
      </x:c>
      <x:c r="B133" s="13" t="str">
        <x:v>MB1-0159</x:v>
      </x:c>
      <x:c r="C133" s="14" t="str">
        <x:v>CHRISTMAS DESIGN 6</x:v>
      </x:c>
      <x:c r="D133" s="14" t="str">
        <x:v>seasonal and holiday</x:v>
      </x:c>
      <x:c r="E133" s="14" t="str">
        <x:v>https://res.cloudinary.com/oxygre42/image/upload/f_auto,q_auto,c_pad,b_white,w_1200,h_1200/v1788348990/0159_CHRISTMAS_DESIGN_6.png</x:v>
      </x:c>
      <x:c r="F133" s="14" t="str"/>
      <x:c r="G133" s="14" t="str">
        <x:v>Lifestyle</x:v>
      </x:c>
      <x:c r="H133" s="14" t="str"/>
      <x:c r="I133" s="14" t="str">
        <x:v>Detail</x:v>
      </x:c>
      <x:c r="J133" s="14" t="str"/>
      <x:c r="K133" s="14" t="str">
        <x:v>Scale</x:v>
      </x:c>
      <x:c r="L133" s="14" t="str"/>
      <x:c r="M133" s="14" t="str">
        <x:v>Alternate</x:v>
      </x:c>
      <x:c r="N133" s="14" t="n">
        <x:f>IF(E133&lt;&gt;"",1,0)+IF(F133&lt;&gt;"",1,0)+IF(H133&lt;&gt;"",1,0)+IF(J133&lt;&gt;"",1,0)+IF(L133&lt;&gt;"",1,0)</x:f>
        <x:v>1</x:v>
      </x:c>
      <x:c r="O133" s="14" t="str">
        <x:f>IF(E133="","MISSING MAIN",IF(N133=1,"MAIN ONLY","MULTI-PHOTO"))</x:f>
        <x:v>MAIN ONLY</x:v>
      </x:c>
      <x:c r="P133" s="14" t="str">
        <x:v>0159_</x:v>
      </x:c>
      <x:c r="Q133" s="14" t="str">
        <x:v>https://mb1advancedsolutions.github.io/mb1-catalog/index.html?design=0159</x:v>
      </x:c>
      <x:c r="R133" s="14" t="str"/>
    </x:row>
    <x:row r="134">
      <x:c r="A134" s="13" t="str">
        <x:v>MB1-0160</x:v>
      </x:c>
      <x:c r="B134" s="13" t="str">
        <x:v>MB1-0160</x:v>
      </x:c>
      <x:c r="C134" s="14" t="str">
        <x:v>CHRISTMAS DESIGN 7</x:v>
      </x:c>
      <x:c r="D134" s="14" t="str">
        <x:v>seasonal and holiday</x:v>
      </x:c>
      <x:c r="E134" s="14" t="str">
        <x:v>https://res.cloudinary.com/oxygre42/image/upload/f_auto,q_auto,c_pad,b_white,w_1200,h_1200/v1788348992/0160_CHRISTMAS_DESIGN_7.png</x:v>
      </x:c>
      <x:c r="F134" s="14" t="str"/>
      <x:c r="G134" s="14" t="str">
        <x:v>Lifestyle</x:v>
      </x:c>
      <x:c r="H134" s="14" t="str"/>
      <x:c r="I134" s="14" t="str">
        <x:v>Detail</x:v>
      </x:c>
      <x:c r="J134" s="14" t="str"/>
      <x:c r="K134" s="14" t="str">
        <x:v>Scale</x:v>
      </x:c>
      <x:c r="L134" s="14" t="str"/>
      <x:c r="M134" s="14" t="str">
        <x:v>Alternate</x:v>
      </x:c>
      <x:c r="N134" s="14" t="n">
        <x:f>IF(E134&lt;&gt;"",1,0)+IF(F134&lt;&gt;"",1,0)+IF(H134&lt;&gt;"",1,0)+IF(J134&lt;&gt;"",1,0)+IF(L134&lt;&gt;"",1,0)</x:f>
        <x:v>1</x:v>
      </x:c>
      <x:c r="O134" s="14" t="str">
        <x:f>IF(E134="","MISSING MAIN",IF(N134=1,"MAIN ONLY","MULTI-PHOTO"))</x:f>
        <x:v>MAIN ONLY</x:v>
      </x:c>
      <x:c r="P134" s="14" t="str">
        <x:v>0160_</x:v>
      </x:c>
      <x:c r="Q134" s="14" t="str">
        <x:v>https://mb1advancedsolutions.github.io/mb1-catalog/index.html?design=0160</x:v>
      </x:c>
      <x:c r="R134" s="14" t="str"/>
    </x:row>
    <x:row r="135">
      <x:c r="A135" s="13" t="str">
        <x:v>MB1-0161</x:v>
      </x:c>
      <x:c r="B135" s="13" t="str">
        <x:v>MB1-0161</x:v>
      </x:c>
      <x:c r="C135" s="14" t="str">
        <x:v>CHRISTMAS DESIGN 8</x:v>
      </x:c>
      <x:c r="D135" s="14" t="str">
        <x:v>seasonal and holiday</x:v>
      </x:c>
      <x:c r="E135" s="14" t="str">
        <x:v>https://res.cloudinary.com/oxygre42/image/upload/f_auto,q_auto,c_pad,b_white,w_1200,h_1200/v1788348993/0161_CHRISTMAS_DESIGN_8.png</x:v>
      </x:c>
      <x:c r="F135" s="14" t="str"/>
      <x:c r="G135" s="14" t="str">
        <x:v>Lifestyle</x:v>
      </x:c>
      <x:c r="H135" s="14" t="str"/>
      <x:c r="I135" s="14" t="str">
        <x:v>Detail</x:v>
      </x:c>
      <x:c r="J135" s="14" t="str"/>
      <x:c r="K135" s="14" t="str">
        <x:v>Scale</x:v>
      </x:c>
      <x:c r="L135" s="14" t="str"/>
      <x:c r="M135" s="14" t="str">
        <x:v>Alternate</x:v>
      </x:c>
      <x:c r="N135" s="14" t="n">
        <x:f>IF(E135&lt;&gt;"",1,0)+IF(F135&lt;&gt;"",1,0)+IF(H135&lt;&gt;"",1,0)+IF(J135&lt;&gt;"",1,0)+IF(L135&lt;&gt;"",1,0)</x:f>
        <x:v>1</x:v>
      </x:c>
      <x:c r="O135" s="14" t="str">
        <x:f>IF(E135="","MISSING MAIN",IF(N135=1,"MAIN ONLY","MULTI-PHOTO"))</x:f>
        <x:v>MAIN ONLY</x:v>
      </x:c>
      <x:c r="P135" s="14" t="str">
        <x:v>0161_</x:v>
      </x:c>
      <x:c r="Q135" s="14" t="str">
        <x:v>https://mb1advancedsolutions.github.io/mb1-catalog/index.html?design=0161</x:v>
      </x:c>
      <x:c r="R135" s="14" t="str"/>
    </x:row>
    <x:row r="136">
      <x:c r="A136" s="13" t="str">
        <x:v>MB1-0162</x:v>
      </x:c>
      <x:c r="B136" s="13" t="str">
        <x:v>MB1-0162</x:v>
      </x:c>
      <x:c r="C136" s="14" t="str">
        <x:v>CHRISTMAS DESIGN 9</x:v>
      </x:c>
      <x:c r="D136" s="14" t="str">
        <x:v>seasonal and holiday</x:v>
      </x:c>
      <x:c r="E136" s="14" t="str">
        <x:v>https://res.cloudinary.com/oxygre42/image/upload/f_auto,q_auto,c_pad,b_white,w_1200,h_1200/v1788348995/0162_CHRISTMAS_DESIGN_9.png</x:v>
      </x:c>
      <x:c r="F136" s="14" t="str"/>
      <x:c r="G136" s="14" t="str">
        <x:v>Lifestyle</x:v>
      </x:c>
      <x:c r="H136" s="14" t="str"/>
      <x:c r="I136" s="14" t="str">
        <x:v>Detail</x:v>
      </x:c>
      <x:c r="J136" s="14" t="str"/>
      <x:c r="K136" s="14" t="str">
        <x:v>Scale</x:v>
      </x:c>
      <x:c r="L136" s="14" t="str"/>
      <x:c r="M136" s="14" t="str">
        <x:v>Alternate</x:v>
      </x:c>
      <x:c r="N136" s="14" t="n">
        <x:f>IF(E136&lt;&gt;"",1,0)+IF(F136&lt;&gt;"",1,0)+IF(H136&lt;&gt;"",1,0)+IF(J136&lt;&gt;"",1,0)+IF(L136&lt;&gt;"",1,0)</x:f>
        <x:v>1</x:v>
      </x:c>
      <x:c r="O136" s="14" t="str">
        <x:f>IF(E136="","MISSING MAIN",IF(N136=1,"MAIN ONLY","MULTI-PHOTO"))</x:f>
        <x:v>MAIN ONLY</x:v>
      </x:c>
      <x:c r="P136" s="14" t="str">
        <x:v>0162_</x:v>
      </x:c>
      <x:c r="Q136" s="14" t="str">
        <x:v>https://mb1advancedsolutions.github.io/mb1-catalog/index.html?design=0162</x:v>
      </x:c>
      <x:c r="R136" s="14" t="str"/>
    </x:row>
    <x:row r="137">
      <x:c r="A137" s="13" t="str">
        <x:v>MB1-0163</x:v>
      </x:c>
      <x:c r="B137" s="13" t="str">
        <x:v>MB1-0163</x:v>
      </x:c>
      <x:c r="C137" s="14" t="str">
        <x:v>Vintage cinema sign SVG LASER</x:v>
      </x:c>
      <x:c r="D137" s="14" t="str">
        <x:v>sports and hobbies</x:v>
      </x:c>
      <x:c r="E137" s="14" t="str">
        <x:v>https://res.cloudinary.com/oxygre42/image/upload/f_auto,q_auto,c_pad,b_white,w_1200,h_1200/v1788348997/0163_Vintage_cinema_sign_SVG_LASER.png</x:v>
      </x:c>
      <x:c r="F137" s="14" t="str"/>
      <x:c r="G137" s="14" t="str">
        <x:v>Lifestyle</x:v>
      </x:c>
      <x:c r="H137" s="14" t="str"/>
      <x:c r="I137" s="14" t="str">
        <x:v>Detail</x:v>
      </x:c>
      <x:c r="J137" s="14" t="str"/>
      <x:c r="K137" s="14" t="str">
        <x:v>Scale</x:v>
      </x:c>
      <x:c r="L137" s="14" t="str"/>
      <x:c r="M137" s="14" t="str">
        <x:v>Alternate</x:v>
      </x:c>
      <x:c r="N137" s="14" t="n">
        <x:f>IF(E137&lt;&gt;"",1,0)+IF(F137&lt;&gt;"",1,0)+IF(H137&lt;&gt;"",1,0)+IF(J137&lt;&gt;"",1,0)+IF(L137&lt;&gt;"",1,0)</x:f>
        <x:v>1</x:v>
      </x:c>
      <x:c r="O137" s="14" t="str">
        <x:f>IF(E137="","MISSING MAIN",IF(N137=1,"MAIN ONLY","MULTI-PHOTO"))</x:f>
        <x:v>MAIN ONLY</x:v>
      </x:c>
      <x:c r="P137" s="14" t="str">
        <x:v>0163_</x:v>
      </x:c>
      <x:c r="Q137" s="14" t="str">
        <x:v>https://mb1advancedsolutions.github.io/mb1-catalog/index.html?design=0163</x:v>
      </x:c>
      <x:c r="R137" s="14" t="str"/>
    </x:row>
    <x:row r="138">
      <x:c r="A138" s="13" t="str">
        <x:v>MB1-0164</x:v>
      </x:c>
      <x:c r="B138" s="13" t="str">
        <x:v>MB1-0164</x:v>
      </x:c>
      <x:c r="C138" s="14" t="str">
        <x:v>Vintage hollywood sign SVG LASER</x:v>
      </x:c>
      <x:c r="D138" s="14" t="str">
        <x:v>sports and hobbies</x:v>
      </x:c>
      <x:c r="E138" s="14" t="str">
        <x:v>https://res.cloudinary.com/oxygre42/image/upload/f_auto,q_auto,c_pad,b_white,w_1200,h_1200/v1788348999/0164_Vintage_hollywood_sign_SVG_LASER.png</x:v>
      </x:c>
      <x:c r="F138" s="14" t="str"/>
      <x:c r="G138" s="14" t="str">
        <x:v>Lifestyle</x:v>
      </x:c>
      <x:c r="H138" s="14" t="str"/>
      <x:c r="I138" s="14" t="str">
        <x:v>Detail</x:v>
      </x:c>
      <x:c r="J138" s="14" t="str"/>
      <x:c r="K138" s="14" t="str">
        <x:v>Scale</x:v>
      </x:c>
      <x:c r="L138" s="14" t="str"/>
      <x:c r="M138" s="14" t="str">
        <x:v>Alternate</x:v>
      </x:c>
      <x:c r="N138" s="14" t="n">
        <x:f>IF(E138&lt;&gt;"",1,0)+IF(F138&lt;&gt;"",1,0)+IF(H138&lt;&gt;"",1,0)+IF(J138&lt;&gt;"",1,0)+IF(L138&lt;&gt;"",1,0)</x:f>
        <x:v>1</x:v>
      </x:c>
      <x:c r="O138" s="14" t="str">
        <x:f>IF(E138="","MISSING MAIN",IF(N138=1,"MAIN ONLY","MULTI-PHOTO"))</x:f>
        <x:v>MAIN ONLY</x:v>
      </x:c>
      <x:c r="P138" s="14" t="str">
        <x:v>0164_</x:v>
      </x:c>
      <x:c r="Q138" s="14" t="str">
        <x:v>https://mb1advancedsolutions.github.io/mb1-catalog/index.html?design=0164</x:v>
      </x:c>
      <x:c r="R138" s="14" t="str"/>
    </x:row>
    <x:row r="139">
      <x:c r="A139" s="13" t="str">
        <x:v>MB1-0165</x:v>
      </x:c>
      <x:c r="B139" s="13" t="str">
        <x:v>MB1-0165</x:v>
      </x:c>
      <x:c r="C139" s="14" t="str">
        <x:v>Vintage now playing sign SVG</x:v>
      </x:c>
      <x:c r="D139" s="14" t="str">
        <x:v>sports and hobbies</x:v>
      </x:c>
      <x:c r="E139" s="14" t="str">
        <x:v>https://res.cloudinary.com/oxygre42/image/upload/f_auto,q_auto,c_pad,b_white,w_1200,h_1200/v1788349001/0165_Vintage_now_playing_sign_SVG.png</x:v>
      </x:c>
      <x:c r="F139" s="14" t="str"/>
      <x:c r="G139" s="14" t="str">
        <x:v>Lifestyle</x:v>
      </x:c>
      <x:c r="H139" s="14" t="str"/>
      <x:c r="I139" s="14" t="str">
        <x:v>Detail</x:v>
      </x:c>
      <x:c r="J139" s="14" t="str"/>
      <x:c r="K139" s="14" t="str">
        <x:v>Scale</x:v>
      </x:c>
      <x:c r="L139" s="14" t="str"/>
      <x:c r="M139" s="14" t="str">
        <x:v>Alternate</x:v>
      </x:c>
      <x:c r="N139" s="14" t="n">
        <x:f>IF(E139&lt;&gt;"",1,0)+IF(F139&lt;&gt;"",1,0)+IF(H139&lt;&gt;"",1,0)+IF(J139&lt;&gt;"",1,0)+IF(L139&lt;&gt;"",1,0)</x:f>
        <x:v>1</x:v>
      </x:c>
      <x:c r="O139" s="14" t="str">
        <x:f>IF(E139="","MISSING MAIN",IF(N139=1,"MAIN ONLY","MULTI-PHOTO"))</x:f>
        <x:v>MAIN ONLY</x:v>
      </x:c>
      <x:c r="P139" s="14" t="str">
        <x:v>0165_</x:v>
      </x:c>
      <x:c r="Q139" s="14" t="str">
        <x:v>https://mb1advancedsolutions.github.io/mb1-catalog/index.html?design=0165</x:v>
      </x:c>
      <x:c r="R139" s="14" t="str"/>
    </x:row>
    <x:row r="140">
      <x:c r="A140" s="13" t="str">
        <x:v>MB1-0166</x:v>
      </x:c>
      <x:c r="B140" s="13" t="str">
        <x:v>MB1-0166</x:v>
      </x:c>
      <x:c r="C140" s="14" t="str">
        <x:v>Vintage now showing sign SVG LASER</x:v>
      </x:c>
      <x:c r="D140" s="14" t="str">
        <x:v>sports and hobbies</x:v>
      </x:c>
      <x:c r="E140" s="14" t="str">
        <x:v>https://res.cloudinary.com/oxygre42/image/upload/f_auto,q_auto,c_pad,b_white,w_1200,h_1200/v1788349003/0166_Vintage_now_showing_sign_SVG_LASER.png</x:v>
      </x:c>
      <x:c r="F140" s="14" t="str"/>
      <x:c r="G140" s="14" t="str">
        <x:v>Lifestyle</x:v>
      </x:c>
      <x:c r="H140" s="14" t="str"/>
      <x:c r="I140" s="14" t="str">
        <x:v>Detail</x:v>
      </x:c>
      <x:c r="J140" s="14" t="str"/>
      <x:c r="K140" s="14" t="str">
        <x:v>Scale</x:v>
      </x:c>
      <x:c r="L140" s="14" t="str"/>
      <x:c r="M140" s="14" t="str">
        <x:v>Alternate</x:v>
      </x:c>
      <x:c r="N140" s="14" t="n">
        <x:f>IF(E140&lt;&gt;"",1,0)+IF(F140&lt;&gt;"",1,0)+IF(H140&lt;&gt;"",1,0)+IF(J140&lt;&gt;"",1,0)+IF(L140&lt;&gt;"",1,0)</x:f>
        <x:v>1</x:v>
      </x:c>
      <x:c r="O140" s="14" t="str">
        <x:f>IF(E140="","MISSING MAIN",IF(N140=1,"MAIN ONLY","MULTI-PHOTO"))</x:f>
        <x:v>MAIN ONLY</x:v>
      </x:c>
      <x:c r="P140" s="14" t="str">
        <x:v>0166_</x:v>
      </x:c>
      <x:c r="Q140" s="14" t="str">
        <x:v>https://mb1advancedsolutions.github.io/mb1-catalog/index.html?design=0166</x:v>
      </x:c>
      <x:c r="R140" s="14" t="str"/>
    </x:row>
    <x:row r="141">
      <x:c r="A141" s="13" t="str">
        <x:v>MB1-0167</x:v>
      </x:c>
      <x:c r="B141" s="13" t="str">
        <x:v>MB1-0167</x:v>
      </x:c>
      <x:c r="C141" s="14" t="str">
        <x:v>Vintage show time sign SVG LASER</x:v>
      </x:c>
      <x:c r="D141" s="14" t="str">
        <x:v>sports and hobbies</x:v>
      </x:c>
      <x:c r="E141" s="14" t="str">
        <x:v>https://res.cloudinary.com/oxygre42/image/upload/f_auto,q_auto,c_pad,b_white,w_1200,h_1200/v1788349005/0167_Vintage_show_time_sign_SVG_LASER.png</x:v>
      </x:c>
      <x:c r="F141" s="14" t="str"/>
      <x:c r="G141" s="14" t="str">
        <x:v>Lifestyle</x:v>
      </x:c>
      <x:c r="H141" s="14" t="str"/>
      <x:c r="I141" s="14" t="str">
        <x:v>Detail</x:v>
      </x:c>
      <x:c r="J141" s="14" t="str"/>
      <x:c r="K141" s="14" t="str">
        <x:v>Scale</x:v>
      </x:c>
      <x:c r="L141" s="14" t="str"/>
      <x:c r="M141" s="14" t="str">
        <x:v>Alternate</x:v>
      </x:c>
      <x:c r="N141" s="14" t="n">
        <x:f>IF(E141&lt;&gt;"",1,0)+IF(F141&lt;&gt;"",1,0)+IF(H141&lt;&gt;"",1,0)+IF(J141&lt;&gt;"",1,0)+IF(L141&lt;&gt;"",1,0)</x:f>
        <x:v>1</x:v>
      </x:c>
      <x:c r="O141" s="14" t="str">
        <x:f>IF(E141="","MISSING MAIN",IF(N141=1,"MAIN ONLY","MULTI-PHOTO"))</x:f>
        <x:v>MAIN ONLY</x:v>
      </x:c>
      <x:c r="P141" s="14" t="str">
        <x:v>0167_</x:v>
      </x:c>
      <x:c r="Q141" s="14" t="str">
        <x:v>https://mb1advancedsolutions.github.io/mb1-catalog/index.html?design=0167</x:v>
      </x:c>
      <x:c r="R141" s="14" t="str"/>
    </x:row>
    <x:row r="142">
      <x:c r="A142" s="13" t="str">
        <x:v>MB1-0168</x:v>
      </x:c>
      <x:c r="B142" s="13" t="str">
        <x:v>MB1-0168</x:v>
      </x:c>
      <x:c r="C142" s="14" t="str">
        <x:v>Vintage theater sign SVG LASER</x:v>
      </x:c>
      <x:c r="D142" s="14" t="str">
        <x:v>sports and hobbies</x:v>
      </x:c>
      <x:c r="E142" s="14" t="str">
        <x:v>https://res.cloudinary.com/oxygre42/image/upload/f_auto,q_auto,c_pad,b_white,w_1200,h_1200/v1788349007/0168_Vintage_theater_sign_SVG_LASER.png</x:v>
      </x:c>
      <x:c r="F142" s="14" t="str"/>
      <x:c r="G142" s="14" t="str">
        <x:v>Lifestyle</x:v>
      </x:c>
      <x:c r="H142" s="14" t="str"/>
      <x:c r="I142" s="14" t="str">
        <x:v>Detail</x:v>
      </x:c>
      <x:c r="J142" s="14" t="str"/>
      <x:c r="K142" s="14" t="str">
        <x:v>Scale</x:v>
      </x:c>
      <x:c r="L142" s="14" t="str"/>
      <x:c r="M142" s="14" t="str">
        <x:v>Alternate</x:v>
      </x:c>
      <x:c r="N142" s="14" t="n">
        <x:f>IF(E142&lt;&gt;"",1,0)+IF(F142&lt;&gt;"",1,0)+IF(H142&lt;&gt;"",1,0)+IF(J142&lt;&gt;"",1,0)+IF(L142&lt;&gt;"",1,0)</x:f>
        <x:v>1</x:v>
      </x:c>
      <x:c r="O142" s="14" t="str">
        <x:f>IF(E142="","MISSING MAIN",IF(N142=1,"MAIN ONLY","MULTI-PHOTO"))</x:f>
        <x:v>MAIN ONLY</x:v>
      </x:c>
      <x:c r="P142" s="14" t="str">
        <x:v>0168_</x:v>
      </x:c>
      <x:c r="Q142" s="14" t="str">
        <x:v>https://mb1advancedsolutions.github.io/mb1-catalog/index.html?design=0168</x:v>
      </x:c>
      <x:c r="R142" s="14" t="str"/>
    </x:row>
    <x:row r="143">
      <x:c r="A143" s="13" t="str">
        <x:v>MB1-0169</x:v>
      </x:c>
      <x:c r="B143" s="13" t="str">
        <x:v>MB1-0169</x:v>
      </x:c>
      <x:c r="C143" s="14" t="str">
        <x:v>cinema movie 1  SVG LASER</x:v>
      </x:c>
      <x:c r="D143" s="14" t="str">
        <x:v>sports and hobbies</x:v>
      </x:c>
      <x:c r="E143" s="14" t="str">
        <x:v>https://res.cloudinary.com/oxygre42/image/upload/f_auto,q_auto,c_pad,b_white,w_1200,h_1200/v1788349008/0169_cinema_movie_1_SVG_LASER.png</x:v>
      </x:c>
      <x:c r="F143" s="14" t="str"/>
      <x:c r="G143" s="14" t="str">
        <x:v>Lifestyle</x:v>
      </x:c>
      <x:c r="H143" s="14" t="str"/>
      <x:c r="I143" s="14" t="str">
        <x:v>Detail</x:v>
      </x:c>
      <x:c r="J143" s="14" t="str"/>
      <x:c r="K143" s="14" t="str">
        <x:v>Scale</x:v>
      </x:c>
      <x:c r="L143" s="14" t="str"/>
      <x:c r="M143" s="14" t="str">
        <x:v>Alternate</x:v>
      </x:c>
      <x:c r="N143" s="14" t="n">
        <x:f>IF(E143&lt;&gt;"",1,0)+IF(F143&lt;&gt;"",1,0)+IF(H143&lt;&gt;"",1,0)+IF(J143&lt;&gt;"",1,0)+IF(L143&lt;&gt;"",1,0)</x:f>
        <x:v>1</x:v>
      </x:c>
      <x:c r="O143" s="14" t="str">
        <x:f>IF(E143="","MISSING MAIN",IF(N143=1,"MAIN ONLY","MULTI-PHOTO"))</x:f>
        <x:v>MAIN ONLY</x:v>
      </x:c>
      <x:c r="P143" s="14" t="str">
        <x:v>0169_</x:v>
      </x:c>
      <x:c r="Q143" s="14" t="str">
        <x:v>https://mb1advancedsolutions.github.io/mb1-catalog/index.html?design=0169</x:v>
      </x:c>
      <x:c r="R143" s="14" t="str"/>
    </x:row>
    <x:row r="144">
      <x:c r="A144" s="13" t="str">
        <x:v>MB1-0170</x:v>
      </x:c>
      <x:c r="B144" s="13" t="str">
        <x:v>MB1-0170</x:v>
      </x:c>
      <x:c r="C144" s="14" t="str">
        <x:v>cinema movie 1 SVG</x:v>
      </x:c>
      <x:c r="D144" s="14" t="str">
        <x:v>sports and hobbies</x:v>
      </x:c>
      <x:c r="E144" s="14" t="str">
        <x:v>https://res.cloudinary.com/oxygre42/image/upload/f_auto,q_auto,c_pad,b_white,w_1200,h_1200/v1788349010/0170_cinema_movie_1_SVG.png</x:v>
      </x:c>
      <x:c r="F144" s="14" t="str"/>
      <x:c r="G144" s="14" t="str">
        <x:v>Lifestyle</x:v>
      </x:c>
      <x:c r="H144" s="14" t="str"/>
      <x:c r="I144" s="14" t="str">
        <x:v>Detail</x:v>
      </x:c>
      <x:c r="J144" s="14" t="str"/>
      <x:c r="K144" s="14" t="str">
        <x:v>Scale</x:v>
      </x:c>
      <x:c r="L144" s="14" t="str"/>
      <x:c r="M144" s="14" t="str">
        <x:v>Alternate</x:v>
      </x:c>
      <x:c r="N144" s="14" t="n">
        <x:f>IF(E144&lt;&gt;"",1,0)+IF(F144&lt;&gt;"",1,0)+IF(H144&lt;&gt;"",1,0)+IF(J144&lt;&gt;"",1,0)+IF(L144&lt;&gt;"",1,0)</x:f>
        <x:v>1</x:v>
      </x:c>
      <x:c r="O144" s="14" t="str">
        <x:f>IF(E144="","MISSING MAIN",IF(N144=1,"MAIN ONLY","MULTI-PHOTO"))</x:f>
        <x:v>MAIN ONLY</x:v>
      </x:c>
      <x:c r="P144" s="14" t="str">
        <x:v>0170_</x:v>
      </x:c>
      <x:c r="Q144" s="14" t="str">
        <x:v>https://mb1advancedsolutions.github.io/mb1-catalog/index.html?design=0170</x:v>
      </x:c>
      <x:c r="R144" s="14" t="str"/>
    </x:row>
    <x:row r="145">
      <x:c r="A145" s="13" t="str">
        <x:v>MB1-0171</x:v>
      </x:c>
      <x:c r="B145" s="13" t="str">
        <x:v>MB1-0171</x:v>
      </x:c>
      <x:c r="C145" s="14" t="str">
        <x:v>cinema movie 2 SVG LASER</x:v>
      </x:c>
      <x:c r="D145" s="14" t="str">
        <x:v>sports and hobbies</x:v>
      </x:c>
      <x:c r="E145" s="14" t="str">
        <x:v>https://res.cloudinary.com/oxygre42/image/upload/f_auto,q_auto,c_pad,b_white,w_1200,h_1200/v1788349012/0171_cinema_movie_2_SVG_LASER.png</x:v>
      </x:c>
      <x:c r="F145" s="14" t="str"/>
      <x:c r="G145" s="14" t="str">
        <x:v>Lifestyle</x:v>
      </x:c>
      <x:c r="H145" s="14" t="str"/>
      <x:c r="I145" s="14" t="str">
        <x:v>Detail</x:v>
      </x:c>
      <x:c r="J145" s="14" t="str"/>
      <x:c r="K145" s="14" t="str">
        <x:v>Scale</x:v>
      </x:c>
      <x:c r="L145" s="14" t="str"/>
      <x:c r="M145" s="14" t="str">
        <x:v>Alternate</x:v>
      </x:c>
      <x:c r="N145" s="14" t="n">
        <x:f>IF(E145&lt;&gt;"",1,0)+IF(F145&lt;&gt;"",1,0)+IF(H145&lt;&gt;"",1,0)+IF(J145&lt;&gt;"",1,0)+IF(L145&lt;&gt;"",1,0)</x:f>
        <x:v>1</x:v>
      </x:c>
      <x:c r="O145" s="14" t="str">
        <x:f>IF(E145="","MISSING MAIN",IF(N145=1,"MAIN ONLY","MULTI-PHOTO"))</x:f>
        <x:v>MAIN ONLY</x:v>
      </x:c>
      <x:c r="P145" s="14" t="str">
        <x:v>0171_</x:v>
      </x:c>
      <x:c r="Q145" s="14" t="str">
        <x:v>https://mb1advancedsolutions.github.io/mb1-catalog/index.html?design=0171</x:v>
      </x:c>
      <x:c r="R145" s="14" t="str"/>
    </x:row>
    <x:row r="146">
      <x:c r="A146" s="13" t="str">
        <x:v>MB1-0172</x:v>
      </x:c>
      <x:c r="B146" s="13" t="str">
        <x:v>MB1-0172</x:v>
      </x:c>
      <x:c r="C146" s="14" t="str">
        <x:v>cinema movie 2 SVG</x:v>
      </x:c>
      <x:c r="D146" s="14" t="str">
        <x:v>sports and hobbies</x:v>
      </x:c>
      <x:c r="E146" s="14" t="str">
        <x:v>https://res.cloudinary.com/oxygre42/image/upload/f_auto,q_auto,c_pad,b_white,w_1200,h_1200/v1788349014/0172_cinema_movie_2_SVG.png</x:v>
      </x:c>
      <x:c r="F146" s="14" t="str"/>
      <x:c r="G146" s="14" t="str">
        <x:v>Lifestyle</x:v>
      </x:c>
      <x:c r="H146" s="14" t="str"/>
      <x:c r="I146" s="14" t="str">
        <x:v>Detail</x:v>
      </x:c>
      <x:c r="J146" s="14" t="str"/>
      <x:c r="K146" s="14" t="str">
        <x:v>Scale</x:v>
      </x:c>
      <x:c r="L146" s="14" t="str"/>
      <x:c r="M146" s="14" t="str">
        <x:v>Alternate</x:v>
      </x:c>
      <x:c r="N146" s="14" t="n">
        <x:f>IF(E146&lt;&gt;"",1,0)+IF(F146&lt;&gt;"",1,0)+IF(H146&lt;&gt;"",1,0)+IF(J146&lt;&gt;"",1,0)+IF(L146&lt;&gt;"",1,0)</x:f>
        <x:v>1</x:v>
      </x:c>
      <x:c r="O146" s="14" t="str">
        <x:f>IF(E146="","MISSING MAIN",IF(N146=1,"MAIN ONLY","MULTI-PHOTO"))</x:f>
        <x:v>MAIN ONLY</x:v>
      </x:c>
      <x:c r="P146" s="14" t="str">
        <x:v>0172_</x:v>
      </x:c>
      <x:c r="Q146" s="14" t="str">
        <x:v>https://mb1advancedsolutions.github.io/mb1-catalog/index.html?design=0172</x:v>
      </x:c>
      <x:c r="R146" s="14" t="str"/>
    </x:row>
    <x:row r="147">
      <x:c r="A147" s="13" t="str">
        <x:v>MB1-0173</x:v>
      </x:c>
      <x:c r="B147" s="13" t="str">
        <x:v>MB1-0173</x:v>
      </x:c>
      <x:c r="C147" s="14" t="str">
        <x:v>cinema movie 3 SVG LASER</x:v>
      </x:c>
      <x:c r="D147" s="14" t="str">
        <x:v>sports and hobbies</x:v>
      </x:c>
      <x:c r="E147" s="14" t="str">
        <x:v>https://res.cloudinary.com/oxygre42/image/upload/f_auto,q_auto,c_pad,b_white,w_1200,h_1200/v1788349016/0173_cinema_movie_3_SVG_LASER.png</x:v>
      </x:c>
      <x:c r="F147" s="14" t="str"/>
      <x:c r="G147" s="14" t="str">
        <x:v>Lifestyle</x:v>
      </x:c>
      <x:c r="H147" s="14" t="str"/>
      <x:c r="I147" s="14" t="str">
        <x:v>Detail</x:v>
      </x:c>
      <x:c r="J147" s="14" t="str"/>
      <x:c r="K147" s="14" t="str">
        <x:v>Scale</x:v>
      </x:c>
      <x:c r="L147" s="14" t="str"/>
      <x:c r="M147" s="14" t="str">
        <x:v>Alternate</x:v>
      </x:c>
      <x:c r="N147" s="14" t="n">
        <x:f>IF(E147&lt;&gt;"",1,0)+IF(F147&lt;&gt;"",1,0)+IF(H147&lt;&gt;"",1,0)+IF(J147&lt;&gt;"",1,0)+IF(L147&lt;&gt;"",1,0)</x:f>
        <x:v>1</x:v>
      </x:c>
      <x:c r="O147" s="14" t="str">
        <x:f>IF(E147="","MISSING MAIN",IF(N147=1,"MAIN ONLY","MULTI-PHOTO"))</x:f>
        <x:v>MAIN ONLY</x:v>
      </x:c>
      <x:c r="P147" s="14" t="str">
        <x:v>0173_</x:v>
      </x:c>
      <x:c r="Q147" s="14" t="str">
        <x:v>https://mb1advancedsolutions.github.io/mb1-catalog/index.html?design=0173</x:v>
      </x:c>
      <x:c r="R147" s="14" t="str"/>
    </x:row>
    <x:row r="148">
      <x:c r="A148" s="13" t="str">
        <x:v>MB1-0174</x:v>
      </x:c>
      <x:c r="B148" s="13" t="str">
        <x:v>MB1-0174</x:v>
      </x:c>
      <x:c r="C148" s="14" t="str">
        <x:v>cinema movie sign </x:v>
      </x:c>
      <x:c r="D148" s="14" t="str">
        <x:v>sports and hobbies</x:v>
      </x:c>
      <x:c r="E148" s="14" t="str">
        <x:v>https://res.cloudinary.com/oxygre42/image/upload/f_auto,q_auto,c_pad,b_white,w_1200,h_1200/v1788349018/0174_cinema_movie_sign.png</x:v>
      </x:c>
      <x:c r="F148" s="14" t="str"/>
      <x:c r="G148" s="14" t="str">
        <x:v>Lifestyle</x:v>
      </x:c>
      <x:c r="H148" s="14" t="str"/>
      <x:c r="I148" s="14" t="str">
        <x:v>Detail</x:v>
      </x:c>
      <x:c r="J148" s="14" t="str"/>
      <x:c r="K148" s="14" t="str">
        <x:v>Scale</x:v>
      </x:c>
      <x:c r="L148" s="14" t="str"/>
      <x:c r="M148" s="14" t="str">
        <x:v>Alternate</x:v>
      </x:c>
      <x:c r="N148" s="14" t="n">
        <x:f>IF(E148&lt;&gt;"",1,0)+IF(F148&lt;&gt;"",1,0)+IF(H148&lt;&gt;"",1,0)+IF(J148&lt;&gt;"",1,0)+IF(L148&lt;&gt;"",1,0)</x:f>
        <x:v>1</x:v>
      </x:c>
      <x:c r="O148" s="14" t="str">
        <x:f>IF(E148="","MISSING MAIN",IF(N148=1,"MAIN ONLY","MULTI-PHOTO"))</x:f>
        <x:v>MAIN ONLY</x:v>
      </x:c>
      <x:c r="P148" s="14" t="str">
        <x:v>0174_</x:v>
      </x:c>
      <x:c r="Q148" s="14" t="str">
        <x:v>https://mb1advancedsolutions.github.io/mb1-catalog/index.html?design=0174</x:v>
      </x:c>
      <x:c r="R148" s="14" t="str"/>
    </x:row>
    <x:row r="149">
      <x:c r="A149" s="13" t="str">
        <x:v>MB1-0175</x:v>
      </x:c>
      <x:c r="B149" s="13" t="str">
        <x:v>MB1-0175</x:v>
      </x:c>
      <x:c r="C149" s="14" t="str">
        <x:v>cinema movie ticket 2 SVG</x:v>
      </x:c>
      <x:c r="D149" s="14" t="str">
        <x:v>sports and hobbies</x:v>
      </x:c>
      <x:c r="E149" s="14" t="str">
        <x:v>https://res.cloudinary.com/oxygre42/image/upload/f_auto,q_auto,c_pad,b_white,w_1200,h_1200/v1788349020/0175_cinema_movie_ticket_2_SVG.png</x:v>
      </x:c>
      <x:c r="F149" s="14" t="str"/>
      <x:c r="G149" s="14" t="str">
        <x:v>Lifestyle</x:v>
      </x:c>
      <x:c r="H149" s="14" t="str"/>
      <x:c r="I149" s="14" t="str">
        <x:v>Detail</x:v>
      </x:c>
      <x:c r="J149" s="14" t="str"/>
      <x:c r="K149" s="14" t="str">
        <x:v>Scale</x:v>
      </x:c>
      <x:c r="L149" s="14" t="str"/>
      <x:c r="M149" s="14" t="str">
        <x:v>Alternate</x:v>
      </x:c>
      <x:c r="N149" s="14" t="n">
        <x:f>IF(E149&lt;&gt;"",1,0)+IF(F149&lt;&gt;"",1,0)+IF(H149&lt;&gt;"",1,0)+IF(J149&lt;&gt;"",1,0)+IF(L149&lt;&gt;"",1,0)</x:f>
        <x:v>1</x:v>
      </x:c>
      <x:c r="O149" s="14" t="str">
        <x:f>IF(E149="","MISSING MAIN",IF(N149=1,"MAIN ONLY","MULTI-PHOTO"))</x:f>
        <x:v>MAIN ONLY</x:v>
      </x:c>
      <x:c r="P149" s="14" t="str">
        <x:v>0175_</x:v>
      </x:c>
      <x:c r="Q149" s="14" t="str">
        <x:v>https://mb1advancedsolutions.github.io/mb1-catalog/index.html?design=0175</x:v>
      </x:c>
      <x:c r="R149" s="14" t="str"/>
    </x:row>
    <x:row r="150">
      <x:c r="A150" s="13" t="str">
        <x:v>MB1-0176</x:v>
      </x:c>
      <x:c r="B150" s="13" t="str">
        <x:v>MB1-0176</x:v>
      </x:c>
      <x:c r="C150" s="14" t="str">
        <x:v>cinema movie ticket SVG</x:v>
      </x:c>
      <x:c r="D150" s="14" t="str">
        <x:v>sports and hobbies</x:v>
      </x:c>
      <x:c r="E150" s="14" t="str">
        <x:v>https://res.cloudinary.com/oxygre42/image/upload/f_auto,q_auto,c_pad,b_white,w_1200,h_1200/v1788349022/0176_cinema_movie_ticket_SVG.png</x:v>
      </x:c>
      <x:c r="F150" s="14" t="str"/>
      <x:c r="G150" s="14" t="str">
        <x:v>Lifestyle</x:v>
      </x:c>
      <x:c r="H150" s="14" t="str"/>
      <x:c r="I150" s="14" t="str">
        <x:v>Detail</x:v>
      </x:c>
      <x:c r="J150" s="14" t="str"/>
      <x:c r="K150" s="14" t="str">
        <x:v>Scale</x:v>
      </x:c>
      <x:c r="L150" s="14" t="str"/>
      <x:c r="M150" s="14" t="str">
        <x:v>Alternate</x:v>
      </x:c>
      <x:c r="N150" s="14" t="n">
        <x:f>IF(E150&lt;&gt;"",1,0)+IF(F150&lt;&gt;"",1,0)+IF(H150&lt;&gt;"",1,0)+IF(J150&lt;&gt;"",1,0)+IF(L150&lt;&gt;"",1,0)</x:f>
        <x:v>1</x:v>
      </x:c>
      <x:c r="O150" s="14" t="str">
        <x:f>IF(E150="","MISSING MAIN",IF(N150=1,"MAIN ONLY","MULTI-PHOTO"))</x:f>
        <x:v>MAIN ONLY</x:v>
      </x:c>
      <x:c r="P150" s="14" t="str">
        <x:v>0176_</x:v>
      </x:c>
      <x:c r="Q150" s="14" t="str">
        <x:v>https://mb1advancedsolutions.github.io/mb1-catalog/index.html?design=0176</x:v>
      </x:c>
      <x:c r="R150" s="14" t="str"/>
    </x:row>
    <x:row r="151">
      <x:c r="A151" s="13" t="str">
        <x:v>MB1-0177</x:v>
      </x:c>
      <x:c r="B151" s="13" t="str">
        <x:v>MB1-0177</x:v>
      </x:c>
      <x:c r="C151" s="14" t="str">
        <x:v>cinema sign 1</x:v>
      </x:c>
      <x:c r="D151" s="14" t="str">
        <x:v>sports and hobbies</x:v>
      </x:c>
      <x:c r="E151" s="14" t="str">
        <x:v>https://res.cloudinary.com/oxygre42/image/upload/f_auto,q_auto,c_pad,b_white,w_1200,h_1200/v1788349024/0177_cinema_sign_1.png</x:v>
      </x:c>
      <x:c r="F151" s="14" t="str"/>
      <x:c r="G151" s="14" t="str">
        <x:v>Lifestyle</x:v>
      </x:c>
      <x:c r="H151" s="14" t="str"/>
      <x:c r="I151" s="14" t="str">
        <x:v>Detail</x:v>
      </x:c>
      <x:c r="J151" s="14" t="str"/>
      <x:c r="K151" s="14" t="str">
        <x:v>Scale</x:v>
      </x:c>
      <x:c r="L151" s="14" t="str"/>
      <x:c r="M151" s="14" t="str">
        <x:v>Alternate</x:v>
      </x:c>
      <x:c r="N151" s="14" t="n">
        <x:f>IF(E151&lt;&gt;"",1,0)+IF(F151&lt;&gt;"",1,0)+IF(H151&lt;&gt;"",1,0)+IF(J151&lt;&gt;"",1,0)+IF(L151&lt;&gt;"",1,0)</x:f>
        <x:v>1</x:v>
      </x:c>
      <x:c r="O151" s="14" t="str">
        <x:f>IF(E151="","MISSING MAIN",IF(N151=1,"MAIN ONLY","MULTI-PHOTO"))</x:f>
        <x:v>MAIN ONLY</x:v>
      </x:c>
      <x:c r="P151" s="14" t="str">
        <x:v>0177_</x:v>
      </x:c>
      <x:c r="Q151" s="14" t="str">
        <x:v>https://mb1advancedsolutions.github.io/mb1-catalog/index.html?design=0177</x:v>
      </x:c>
      <x:c r="R151" s="14" t="str"/>
    </x:row>
    <x:row r="152">
      <x:c r="A152" s="13" t="str">
        <x:v>MB1-0178</x:v>
      </x:c>
      <x:c r="B152" s="13" t="str">
        <x:v>MB1-0178</x:v>
      </x:c>
      <x:c r="C152" s="14" t="str">
        <x:v>cinema sign 2</x:v>
      </x:c>
      <x:c r="D152" s="14" t="str">
        <x:v>sports and hobbies</x:v>
      </x:c>
      <x:c r="E152" s="14" t="str">
        <x:v>https://res.cloudinary.com/oxygre42/image/upload/f_auto,q_auto,c_pad,b_white,w_1200,h_1200/v1788349025/0178_cinema_sign_2.png</x:v>
      </x:c>
      <x:c r="F152" s="14" t="str"/>
      <x:c r="G152" s="14" t="str">
        <x:v>Lifestyle</x:v>
      </x:c>
      <x:c r="H152" s="14" t="str"/>
      <x:c r="I152" s="14" t="str">
        <x:v>Detail</x:v>
      </x:c>
      <x:c r="J152" s="14" t="str"/>
      <x:c r="K152" s="14" t="str">
        <x:v>Scale</x:v>
      </x:c>
      <x:c r="L152" s="14" t="str"/>
      <x:c r="M152" s="14" t="str">
        <x:v>Alternate</x:v>
      </x:c>
      <x:c r="N152" s="14" t="n">
        <x:f>IF(E152&lt;&gt;"",1,0)+IF(F152&lt;&gt;"",1,0)+IF(H152&lt;&gt;"",1,0)+IF(J152&lt;&gt;"",1,0)+IF(L152&lt;&gt;"",1,0)</x:f>
        <x:v>1</x:v>
      </x:c>
      <x:c r="O152" s="14" t="str">
        <x:f>IF(E152="","MISSING MAIN",IF(N152=1,"MAIN ONLY","MULTI-PHOTO"))</x:f>
        <x:v>MAIN ONLY</x:v>
      </x:c>
      <x:c r="P152" s="14" t="str">
        <x:v>0178_</x:v>
      </x:c>
      <x:c r="Q152" s="14" t="str">
        <x:v>https://mb1advancedsolutions.github.io/mb1-catalog/index.html?design=0178</x:v>
      </x:c>
      <x:c r="R152" s="14" t="str"/>
    </x:row>
    <x:row r="153">
      <x:c r="A153" s="13" t="str">
        <x:v>MB1-0179</x:v>
      </x:c>
      <x:c r="B153" s="13" t="str">
        <x:v>MB1-0179</x:v>
      </x:c>
      <x:c r="C153" s="14" t="str">
        <x:v>cinema sign 3</x:v>
      </x:c>
      <x:c r="D153" s="14" t="str">
        <x:v>sports and hobbies</x:v>
      </x:c>
      <x:c r="E153" s="14" t="str">
        <x:v>https://res.cloudinary.com/oxygre42/image/upload/f_auto,q_auto,c_pad,b_white,w_1200,h_1200/v1788349027/0179_cinema_sign_3.png</x:v>
      </x:c>
      <x:c r="F153" s="14" t="str"/>
      <x:c r="G153" s="14" t="str">
        <x:v>Lifestyle</x:v>
      </x:c>
      <x:c r="H153" s="14" t="str"/>
      <x:c r="I153" s="14" t="str">
        <x:v>Detail</x:v>
      </x:c>
      <x:c r="J153" s="14" t="str"/>
      <x:c r="K153" s="14" t="str">
        <x:v>Scale</x:v>
      </x:c>
      <x:c r="L153" s="14" t="str"/>
      <x:c r="M153" s="14" t="str">
        <x:v>Alternate</x:v>
      </x:c>
      <x:c r="N153" s="14" t="n">
        <x:f>IF(E153&lt;&gt;"",1,0)+IF(F153&lt;&gt;"",1,0)+IF(H153&lt;&gt;"",1,0)+IF(J153&lt;&gt;"",1,0)+IF(L153&lt;&gt;"",1,0)</x:f>
        <x:v>1</x:v>
      </x:c>
      <x:c r="O153" s="14" t="str">
        <x:f>IF(E153="","MISSING MAIN",IF(N153=1,"MAIN ONLY","MULTI-PHOTO"))</x:f>
        <x:v>MAIN ONLY</x:v>
      </x:c>
      <x:c r="P153" s="14" t="str">
        <x:v>0179_</x:v>
      </x:c>
      <x:c r="Q153" s="14" t="str">
        <x:v>https://mb1advancedsolutions.github.io/mb1-catalog/index.html?design=0179</x:v>
      </x:c>
      <x:c r="R153" s="14" t="str"/>
    </x:row>
    <x:row r="154">
      <x:c r="A154" s="13" t="str">
        <x:v>MB1-0180</x:v>
      </x:c>
      <x:c r="B154" s="13" t="str">
        <x:v>MB1-0180</x:v>
      </x:c>
      <x:c r="C154" s="14" t="str">
        <x:v>cinema sign 4</x:v>
      </x:c>
      <x:c r="D154" s="14" t="str">
        <x:v>sports and hobbies</x:v>
      </x:c>
      <x:c r="E154" s="14" t="str">
        <x:v>https://res.cloudinary.com/oxygre42/image/upload/f_auto,q_auto,c_pad,b_white,w_1200,h_1200/v1788349029/0180_cinema_sign_4.png</x:v>
      </x:c>
      <x:c r="F154" s="14" t="str"/>
      <x:c r="G154" s="14" t="str">
        <x:v>Lifestyle</x:v>
      </x:c>
      <x:c r="H154" s="14" t="str"/>
      <x:c r="I154" s="14" t="str">
        <x:v>Detail</x:v>
      </x:c>
      <x:c r="J154" s="14" t="str"/>
      <x:c r="K154" s="14" t="str">
        <x:v>Scale</x:v>
      </x:c>
      <x:c r="L154" s="14" t="str"/>
      <x:c r="M154" s="14" t="str">
        <x:v>Alternate</x:v>
      </x:c>
      <x:c r="N154" s="14" t="n">
        <x:f>IF(E154&lt;&gt;"",1,0)+IF(F154&lt;&gt;"",1,0)+IF(H154&lt;&gt;"",1,0)+IF(J154&lt;&gt;"",1,0)+IF(L154&lt;&gt;"",1,0)</x:f>
        <x:v>1</x:v>
      </x:c>
      <x:c r="O154" s="14" t="str">
        <x:f>IF(E154="","MISSING MAIN",IF(N154=1,"MAIN ONLY","MULTI-PHOTO"))</x:f>
        <x:v>MAIN ONLY</x:v>
      </x:c>
      <x:c r="P154" s="14" t="str">
        <x:v>0180_</x:v>
      </x:c>
      <x:c r="Q154" s="14" t="str">
        <x:v>https://mb1advancedsolutions.github.io/mb1-catalog/index.html?design=0180</x:v>
      </x:c>
      <x:c r="R154" s="14" t="str"/>
    </x:row>
    <x:row r="155">
      <x:c r="A155" s="13" t="str">
        <x:v>MB1-0181</x:v>
      </x:c>
      <x:c r="B155" s="13" t="str">
        <x:v>MB1-0181</x:v>
      </x:c>
      <x:c r="C155" s="14" t="str">
        <x:v>cinema sign 5</x:v>
      </x:c>
      <x:c r="D155" s="14" t="str">
        <x:v>sports and hobbies</x:v>
      </x:c>
      <x:c r="E155" s="14" t="str">
        <x:v>https://res.cloudinary.com/oxygre42/image/upload/f_auto,q_auto,c_pad,b_white,w_1200,h_1200/v1788349031/0181_cinema_sign_5.png</x:v>
      </x:c>
      <x:c r="F155" s="14" t="str"/>
      <x:c r="G155" s="14" t="str">
        <x:v>Lifestyle</x:v>
      </x:c>
      <x:c r="H155" s="14" t="str"/>
      <x:c r="I155" s="14" t="str">
        <x:v>Detail</x:v>
      </x:c>
      <x:c r="J155" s="14" t="str"/>
      <x:c r="K155" s="14" t="str">
        <x:v>Scale</x:v>
      </x:c>
      <x:c r="L155" s="14" t="str"/>
      <x:c r="M155" s="14" t="str">
        <x:v>Alternate</x:v>
      </x:c>
      <x:c r="N155" s="14" t="n">
        <x:f>IF(E155&lt;&gt;"",1,0)+IF(F155&lt;&gt;"",1,0)+IF(H155&lt;&gt;"",1,0)+IF(J155&lt;&gt;"",1,0)+IF(L155&lt;&gt;"",1,0)</x:f>
        <x:v>1</x:v>
      </x:c>
      <x:c r="O155" s="14" t="str">
        <x:f>IF(E155="","MISSING MAIN",IF(N155=1,"MAIN ONLY","MULTI-PHOTO"))</x:f>
        <x:v>MAIN ONLY</x:v>
      </x:c>
      <x:c r="P155" s="14" t="str">
        <x:v>0181_</x:v>
      </x:c>
      <x:c r="Q155" s="14" t="str">
        <x:v>https://mb1advancedsolutions.github.io/mb1-catalog/index.html?design=0181</x:v>
      </x:c>
      <x:c r="R155" s="14" t="str"/>
    </x:row>
    <x:row r="156">
      <x:c r="A156" s="13" t="str">
        <x:v>MB1-0182</x:v>
      </x:c>
      <x:c r="B156" s="13" t="str">
        <x:v>MB1-0182</x:v>
      </x:c>
      <x:c r="C156" s="14" t="str">
        <x:v>cinema sign 6</x:v>
      </x:c>
      <x:c r="D156" s="14" t="str">
        <x:v>sports and hobbies</x:v>
      </x:c>
      <x:c r="E156" s="14" t="str">
        <x:v>https://res.cloudinary.com/oxygre42/image/upload/f_auto,q_auto,c_pad,b_white,w_1200,h_1200/v1788349033/0182_cinema_sign_6.png</x:v>
      </x:c>
      <x:c r="F156" s="14" t="str"/>
      <x:c r="G156" s="14" t="str">
        <x:v>Lifestyle</x:v>
      </x:c>
      <x:c r="H156" s="14" t="str"/>
      <x:c r="I156" s="14" t="str">
        <x:v>Detail</x:v>
      </x:c>
      <x:c r="J156" s="14" t="str"/>
      <x:c r="K156" s="14" t="str">
        <x:v>Scale</x:v>
      </x:c>
      <x:c r="L156" s="14" t="str"/>
      <x:c r="M156" s="14" t="str">
        <x:v>Alternate</x:v>
      </x:c>
      <x:c r="N156" s="14" t="n">
        <x:f>IF(E156&lt;&gt;"",1,0)+IF(F156&lt;&gt;"",1,0)+IF(H156&lt;&gt;"",1,0)+IF(J156&lt;&gt;"",1,0)+IF(L156&lt;&gt;"",1,0)</x:f>
        <x:v>1</x:v>
      </x:c>
      <x:c r="O156" s="14" t="str">
        <x:f>IF(E156="","MISSING MAIN",IF(N156=1,"MAIN ONLY","MULTI-PHOTO"))</x:f>
        <x:v>MAIN ONLY</x:v>
      </x:c>
      <x:c r="P156" s="14" t="str">
        <x:v>0182_</x:v>
      </x:c>
      <x:c r="Q156" s="14" t="str">
        <x:v>https://mb1advancedsolutions.github.io/mb1-catalog/index.html?design=0182</x:v>
      </x:c>
      <x:c r="R156" s="14" t="str"/>
    </x:row>
    <x:row r="157">
      <x:c r="A157" s="13" t="str">
        <x:v>MB1-0183</x:v>
      </x:c>
      <x:c r="B157" s="13" t="str">
        <x:v>MB1-0183</x:v>
      </x:c>
      <x:c r="C157" s="14" t="str">
        <x:v>cinema sign 8</x:v>
      </x:c>
      <x:c r="D157" s="14" t="str">
        <x:v>sports and hobbies</x:v>
      </x:c>
      <x:c r="E157" s="14" t="str">
        <x:v>https://res.cloudinary.com/oxygre42/image/upload/f_auto,q_auto,c_pad,b_white,w_1200,h_1200/v1788349035/0183_cinema_sign_8.png</x:v>
      </x:c>
      <x:c r="F157" s="14" t="str"/>
      <x:c r="G157" s="14" t="str">
        <x:v>Lifestyle</x:v>
      </x:c>
      <x:c r="H157" s="14" t="str"/>
      <x:c r="I157" s="14" t="str">
        <x:v>Detail</x:v>
      </x:c>
      <x:c r="J157" s="14" t="str"/>
      <x:c r="K157" s="14" t="str">
        <x:v>Scale</x:v>
      </x:c>
      <x:c r="L157" s="14" t="str"/>
      <x:c r="M157" s="14" t="str">
        <x:v>Alternate</x:v>
      </x:c>
      <x:c r="N157" s="14" t="n">
        <x:f>IF(E157&lt;&gt;"",1,0)+IF(F157&lt;&gt;"",1,0)+IF(H157&lt;&gt;"",1,0)+IF(J157&lt;&gt;"",1,0)+IF(L157&lt;&gt;"",1,0)</x:f>
        <x:v>1</x:v>
      </x:c>
      <x:c r="O157" s="14" t="str">
        <x:f>IF(E157="","MISSING MAIN",IF(N157=1,"MAIN ONLY","MULTI-PHOTO"))</x:f>
        <x:v>MAIN ONLY</x:v>
      </x:c>
      <x:c r="P157" s="14" t="str">
        <x:v>0183_</x:v>
      </x:c>
      <x:c r="Q157" s="14" t="str">
        <x:v>https://mb1advancedsolutions.github.io/mb1-catalog/index.html?design=0183</x:v>
      </x:c>
      <x:c r="R157" s="14" t="str"/>
    </x:row>
    <x:row r="158">
      <x:c r="A158" s="13" t="str">
        <x:v>MB1-0184</x:v>
      </x:c>
      <x:c r="B158" s="13" t="str">
        <x:v>MB1-0184</x:v>
      </x:c>
      <x:c r="C158" s="14" t="str">
        <x:v>pop corn 1</x:v>
      </x:c>
      <x:c r="D158" s="14" t="str">
        <x:v>home decor and inspirational</x:v>
      </x:c>
      <x:c r="E158" s="14" t="str">
        <x:v>https://res.cloudinary.com/oxygre42/image/upload/f_auto,q_auto,c_pad,b_white,w_1200,h_1200/v1788349037/0184_pop_corn_1.png</x:v>
      </x:c>
      <x:c r="F158" s="14" t="str"/>
      <x:c r="G158" s="14" t="str">
        <x:v>Lifestyle</x:v>
      </x:c>
      <x:c r="H158" s="14" t="str"/>
      <x:c r="I158" s="14" t="str">
        <x:v>Detail</x:v>
      </x:c>
      <x:c r="J158" s="14" t="str"/>
      <x:c r="K158" s="14" t="str">
        <x:v>Scale</x:v>
      </x:c>
      <x:c r="L158" s="14" t="str"/>
      <x:c r="M158" s="14" t="str">
        <x:v>Alternate</x:v>
      </x:c>
      <x:c r="N158" s="14" t="n">
        <x:f>IF(E158&lt;&gt;"",1,0)+IF(F158&lt;&gt;"",1,0)+IF(H158&lt;&gt;"",1,0)+IF(J158&lt;&gt;"",1,0)+IF(L158&lt;&gt;"",1,0)</x:f>
        <x:v>1</x:v>
      </x:c>
      <x:c r="O158" s="14" t="str">
        <x:f>IF(E158="","MISSING MAIN",IF(N158=1,"MAIN ONLY","MULTI-PHOTO"))</x:f>
        <x:v>MAIN ONLY</x:v>
      </x:c>
      <x:c r="P158" s="14" t="str">
        <x:v>0184_</x:v>
      </x:c>
      <x:c r="Q158" s="14" t="str">
        <x:v>https://mb1advancedsolutions.github.io/mb1-catalog/index.html?design=0184</x:v>
      </x:c>
      <x:c r="R158" s="14" t="str"/>
    </x:row>
    <x:row r="159">
      <x:c r="A159" s="13" t="str">
        <x:v>MB1-0185</x:v>
      </x:c>
      <x:c r="B159" s="13" t="str">
        <x:v>MB1-0185</x:v>
      </x:c>
      <x:c r="C159" s="14" t="str">
        <x:v>pop corn 2</x:v>
      </x:c>
      <x:c r="D159" s="14" t="str">
        <x:v>home decor and inspirational</x:v>
      </x:c>
      <x:c r="E159" s="14" t="str">
        <x:v>https://res.cloudinary.com/oxygre42/image/upload/f_auto,q_auto,c_pad,b_white,w_1200,h_1200/v1788349039/0185_pop_corn_2.png</x:v>
      </x:c>
      <x:c r="F159" s="14" t="str"/>
      <x:c r="G159" s="14" t="str">
        <x:v>Lifestyle</x:v>
      </x:c>
      <x:c r="H159" s="14" t="str"/>
      <x:c r="I159" s="14" t="str">
        <x:v>Detail</x:v>
      </x:c>
      <x:c r="J159" s="14" t="str"/>
      <x:c r="K159" s="14" t="str">
        <x:v>Scale</x:v>
      </x:c>
      <x:c r="L159" s="14" t="str"/>
      <x:c r="M159" s="14" t="str">
        <x:v>Alternate</x:v>
      </x:c>
      <x:c r="N159" s="14" t="n">
        <x:f>IF(E159&lt;&gt;"",1,0)+IF(F159&lt;&gt;"",1,0)+IF(H159&lt;&gt;"",1,0)+IF(J159&lt;&gt;"",1,0)+IF(L159&lt;&gt;"",1,0)</x:f>
        <x:v>1</x:v>
      </x:c>
      <x:c r="O159" s="14" t="str">
        <x:f>IF(E159="","MISSING MAIN",IF(N159=1,"MAIN ONLY","MULTI-PHOTO"))</x:f>
        <x:v>MAIN ONLY</x:v>
      </x:c>
      <x:c r="P159" s="14" t="str">
        <x:v>0185_</x:v>
      </x:c>
      <x:c r="Q159" s="14" t="str">
        <x:v>https://mb1advancedsolutions.github.io/mb1-catalog/index.html?design=0185</x:v>
      </x:c>
      <x:c r="R159" s="14" t="str"/>
    </x:row>
    <x:row r="160">
      <x:c r="A160" s="13" t="str">
        <x:v>MB1-0186</x:v>
      </x:c>
      <x:c r="B160" s="13" t="str">
        <x:v>MB1-0186</x:v>
      </x:c>
      <x:c r="C160" s="14" t="str">
        <x:v>pop corn 3</x:v>
      </x:c>
      <x:c r="D160" s="14" t="str">
        <x:v>home decor and inspirational</x:v>
      </x:c>
      <x:c r="E160" s="14" t="str">
        <x:v>https://res.cloudinary.com/oxygre42/image/upload/f_auto,q_auto,c_pad,b_white,w_1200,h_1200/v1788349040/0186_pop_corn_3.png</x:v>
      </x:c>
      <x:c r="F160" s="14" t="str"/>
      <x:c r="G160" s="14" t="str">
        <x:v>Lifestyle</x:v>
      </x:c>
      <x:c r="H160" s="14" t="str"/>
      <x:c r="I160" s="14" t="str">
        <x:v>Detail</x:v>
      </x:c>
      <x:c r="J160" s="14" t="str"/>
      <x:c r="K160" s="14" t="str">
        <x:v>Scale</x:v>
      </x:c>
      <x:c r="L160" s="14" t="str"/>
      <x:c r="M160" s="14" t="str">
        <x:v>Alternate</x:v>
      </x:c>
      <x:c r="N160" s="14" t="n">
        <x:f>IF(E160&lt;&gt;"",1,0)+IF(F160&lt;&gt;"",1,0)+IF(H160&lt;&gt;"",1,0)+IF(J160&lt;&gt;"",1,0)+IF(L160&lt;&gt;"",1,0)</x:f>
        <x:v>1</x:v>
      </x:c>
      <x:c r="O160" s="14" t="str">
        <x:f>IF(E160="","MISSING MAIN",IF(N160=1,"MAIN ONLY","MULTI-PHOTO"))</x:f>
        <x:v>MAIN ONLY</x:v>
      </x:c>
      <x:c r="P160" s="14" t="str">
        <x:v>0186_</x:v>
      </x:c>
      <x:c r="Q160" s="14" t="str">
        <x:v>https://mb1advancedsolutions.github.io/mb1-catalog/index.html?design=0186</x:v>
      </x:c>
      <x:c r="R160" s="14" t="str"/>
    </x:row>
    <x:row r="161">
      <x:c r="A161" s="13" t="str">
        <x:v>MB1-0187</x:v>
      </x:c>
      <x:c r="B161" s="13" t="str">
        <x:v>MB1-0187</x:v>
      </x:c>
      <x:c r="C161" s="14" t="str">
        <x:v>COIN 1</x:v>
      </x:c>
      <x:c r="D161" s="14" t="str">
        <x:v>sports and hobbies</x:v>
      </x:c>
      <x:c r="E161" s="14" t="str">
        <x:v>https://res.cloudinary.com/oxygre42/image/upload/f_auto,q_auto,c_pad,b_white,w_1200,h_1200/v1788349042/0187_COIN_1.png</x:v>
      </x:c>
      <x:c r="F161" s="14" t="str"/>
      <x:c r="G161" s="14" t="str">
        <x:v>Lifestyle</x:v>
      </x:c>
      <x:c r="H161" s="14" t="str"/>
      <x:c r="I161" s="14" t="str">
        <x:v>Detail</x:v>
      </x:c>
      <x:c r="J161" s="14" t="str"/>
      <x:c r="K161" s="14" t="str">
        <x:v>Scale</x:v>
      </x:c>
      <x:c r="L161" s="14" t="str"/>
      <x:c r="M161" s="14" t="str">
        <x:v>Alternate</x:v>
      </x:c>
      <x:c r="N161" s="14" t="n">
        <x:f>IF(E161&lt;&gt;"",1,0)+IF(F161&lt;&gt;"",1,0)+IF(H161&lt;&gt;"",1,0)+IF(J161&lt;&gt;"",1,0)+IF(L161&lt;&gt;"",1,0)</x:f>
        <x:v>1</x:v>
      </x:c>
      <x:c r="O161" s="14" t="str">
        <x:f>IF(E161="","MISSING MAIN",IF(N161=1,"MAIN ONLY","MULTI-PHOTO"))</x:f>
        <x:v>MAIN ONLY</x:v>
      </x:c>
      <x:c r="P161" s="14" t="str">
        <x:v>0187_</x:v>
      </x:c>
      <x:c r="Q161" s="14" t="str">
        <x:v>https://mb1advancedsolutions.github.io/mb1-catalog/index.html?design=0187</x:v>
      </x:c>
      <x:c r="R161" s="14" t="str"/>
    </x:row>
    <x:row r="162">
      <x:c r="A162" s="13" t="str">
        <x:v>MB1-0188</x:v>
      </x:c>
      <x:c r="B162" s="13" t="str">
        <x:v>MB1-0188</x:v>
      </x:c>
      <x:c r="C162" s="14" t="str">
        <x:v>COIN 2</x:v>
      </x:c>
      <x:c r="D162" s="14" t="str">
        <x:v>sports and hobbies</x:v>
      </x:c>
      <x:c r="E162" s="14" t="str">
        <x:v>https://res.cloudinary.com/oxygre42/image/upload/f_auto,q_auto,c_pad,b_white,w_1200,h_1200/v1788349044/0188_COIN_2.png</x:v>
      </x:c>
      <x:c r="F162" s="14" t="str"/>
      <x:c r="G162" s="14" t="str">
        <x:v>Lifestyle</x:v>
      </x:c>
      <x:c r="H162" s="14" t="str"/>
      <x:c r="I162" s="14" t="str">
        <x:v>Detail</x:v>
      </x:c>
      <x:c r="J162" s="14" t="str"/>
      <x:c r="K162" s="14" t="str">
        <x:v>Scale</x:v>
      </x:c>
      <x:c r="L162" s="14" t="str"/>
      <x:c r="M162" s="14" t="str">
        <x:v>Alternate</x:v>
      </x:c>
      <x:c r="N162" s="14" t="n">
        <x:f>IF(E162&lt;&gt;"",1,0)+IF(F162&lt;&gt;"",1,0)+IF(H162&lt;&gt;"",1,0)+IF(J162&lt;&gt;"",1,0)+IF(L162&lt;&gt;"",1,0)</x:f>
        <x:v>1</x:v>
      </x:c>
      <x:c r="O162" s="14" t="str">
        <x:f>IF(E162="","MISSING MAIN",IF(N162=1,"MAIN ONLY","MULTI-PHOTO"))</x:f>
        <x:v>MAIN ONLY</x:v>
      </x:c>
      <x:c r="P162" s="14" t="str">
        <x:v>0188_</x:v>
      </x:c>
      <x:c r="Q162" s="14" t="str">
        <x:v>https://mb1advancedsolutions.github.io/mb1-catalog/index.html?design=0188</x:v>
      </x:c>
      <x:c r="R162" s="14" t="str"/>
    </x:row>
    <x:row r="163">
      <x:c r="A163" s="13" t="str">
        <x:v>MB1-0189</x:v>
      </x:c>
      <x:c r="B163" s="13" t="str">
        <x:v>MB1-0189</x:v>
      </x:c>
      <x:c r="C163" s="14" t="str">
        <x:v>COIN 3</x:v>
      </x:c>
      <x:c r="D163" s="14" t="str">
        <x:v>sports and hobbies</x:v>
      </x:c>
      <x:c r="E163" s="14" t="str">
        <x:v>https://res.cloudinary.com/oxygre42/image/upload/f_auto,q_auto,c_pad,b_white,w_1200,h_1200/v1788349046/0189_COIN_3.png</x:v>
      </x:c>
      <x:c r="F163" s="14" t="str"/>
      <x:c r="G163" s="14" t="str">
        <x:v>Lifestyle</x:v>
      </x:c>
      <x:c r="H163" s="14" t="str"/>
      <x:c r="I163" s="14" t="str">
        <x:v>Detail</x:v>
      </x:c>
      <x:c r="J163" s="14" t="str"/>
      <x:c r="K163" s="14" t="str">
        <x:v>Scale</x:v>
      </x:c>
      <x:c r="L163" s="14" t="str"/>
      <x:c r="M163" s="14" t="str">
        <x:v>Alternate</x:v>
      </x:c>
      <x:c r="N163" s="14" t="n">
        <x:f>IF(E163&lt;&gt;"",1,0)+IF(F163&lt;&gt;"",1,0)+IF(H163&lt;&gt;"",1,0)+IF(J163&lt;&gt;"",1,0)+IF(L163&lt;&gt;"",1,0)</x:f>
        <x:v>1</x:v>
      </x:c>
      <x:c r="O163" s="14" t="str">
        <x:f>IF(E163="","MISSING MAIN",IF(N163=1,"MAIN ONLY","MULTI-PHOTO"))</x:f>
        <x:v>MAIN ONLY</x:v>
      </x:c>
      <x:c r="P163" s="14" t="str">
        <x:v>0189_</x:v>
      </x:c>
      <x:c r="Q163" s="14" t="str">
        <x:v>https://mb1advancedsolutions.github.io/mb1-catalog/index.html?design=0189</x:v>
      </x:c>
      <x:c r="R163" s="14" t="str"/>
    </x:row>
    <x:row r="164">
      <x:c r="A164" s="13" t="str">
        <x:v>MB1-0190</x:v>
      </x:c>
      <x:c r="B164" s="13" t="str">
        <x:v>MB1-0190</x:v>
      </x:c>
      <x:c r="C164" s="14" t="str">
        <x:v>COIN 4</x:v>
      </x:c>
      <x:c r="D164" s="14" t="str">
        <x:v>sports and hobbies</x:v>
      </x:c>
      <x:c r="E164" s="14" t="str">
        <x:v>https://res.cloudinary.com/oxygre42/image/upload/f_auto,q_auto,c_pad,b_white,w_1200,h_1200/v1788349048/0190_COIN_4.png</x:v>
      </x:c>
      <x:c r="F164" s="14" t="str"/>
      <x:c r="G164" s="14" t="str">
        <x:v>Lifestyle</x:v>
      </x:c>
      <x:c r="H164" s="14" t="str"/>
      <x:c r="I164" s="14" t="str">
        <x:v>Detail</x:v>
      </x:c>
      <x:c r="J164" s="14" t="str"/>
      <x:c r="K164" s="14" t="str">
        <x:v>Scale</x:v>
      </x:c>
      <x:c r="L164" s="14" t="str"/>
      <x:c r="M164" s="14" t="str">
        <x:v>Alternate</x:v>
      </x:c>
      <x:c r="N164" s="14" t="n">
        <x:f>IF(E164&lt;&gt;"",1,0)+IF(F164&lt;&gt;"",1,0)+IF(H164&lt;&gt;"",1,0)+IF(J164&lt;&gt;"",1,0)+IF(L164&lt;&gt;"",1,0)</x:f>
        <x:v>1</x:v>
      </x:c>
      <x:c r="O164" s="14" t="str">
        <x:f>IF(E164="","MISSING MAIN",IF(N164=1,"MAIN ONLY","MULTI-PHOTO"))</x:f>
        <x:v>MAIN ONLY</x:v>
      </x:c>
      <x:c r="P164" s="14" t="str">
        <x:v>0190_</x:v>
      </x:c>
      <x:c r="Q164" s="14" t="str">
        <x:v>https://mb1advancedsolutions.github.io/mb1-catalog/index.html?design=0190</x:v>
      </x:c>
      <x:c r="R164" s="14" t="str"/>
    </x:row>
    <x:row r="165">
      <x:c r="A165" s="13" t="str">
        <x:v>MB1-0191</x:v>
      </x:c>
      <x:c r="B165" s="13" t="str">
        <x:v>MB1-0191</x:v>
      </x:c>
      <x:c r="C165" s="14" t="str">
        <x:v>COIN 5</x:v>
      </x:c>
      <x:c r="D165" s="14" t="str">
        <x:v>sports and hobbies</x:v>
      </x:c>
      <x:c r="E165" s="14" t="str">
        <x:v>https://res.cloudinary.com/oxygre42/image/upload/f_auto,q_auto,c_pad,b_white,w_1200,h_1200/v1788349050/0191_COIN_5.png</x:v>
      </x:c>
      <x:c r="F165" s="14" t="str"/>
      <x:c r="G165" s="14" t="str">
        <x:v>Lifestyle</x:v>
      </x:c>
      <x:c r="H165" s="14" t="str"/>
      <x:c r="I165" s="14" t="str">
        <x:v>Detail</x:v>
      </x:c>
      <x:c r="J165" s="14" t="str"/>
      <x:c r="K165" s="14" t="str">
        <x:v>Scale</x:v>
      </x:c>
      <x:c r="L165" s="14" t="str"/>
      <x:c r="M165" s="14" t="str">
        <x:v>Alternate</x:v>
      </x:c>
      <x:c r="N165" s="14" t="n">
        <x:f>IF(E165&lt;&gt;"",1,0)+IF(F165&lt;&gt;"",1,0)+IF(H165&lt;&gt;"",1,0)+IF(J165&lt;&gt;"",1,0)+IF(L165&lt;&gt;"",1,0)</x:f>
        <x:v>1</x:v>
      </x:c>
      <x:c r="O165" s="14" t="str">
        <x:f>IF(E165="","MISSING MAIN",IF(N165=1,"MAIN ONLY","MULTI-PHOTO"))</x:f>
        <x:v>MAIN ONLY</x:v>
      </x:c>
      <x:c r="P165" s="14" t="str">
        <x:v>0191_</x:v>
      </x:c>
      <x:c r="Q165" s="14" t="str">
        <x:v>https://mb1advancedsolutions.github.io/mb1-catalog/index.html?design=0191</x:v>
      </x:c>
      <x:c r="R165" s="14" t="str"/>
    </x:row>
    <x:row r="166">
      <x:c r="A166" s="13" t="str">
        <x:v>MB1-0193</x:v>
      </x:c>
      <x:c r="B166" s="13" t="str">
        <x:v>MB1-0193</x:v>
      </x:c>
      <x:c r="C166" s="14" t="str">
        <x:v>One Hundred Dollar</x:v>
      </x:c>
      <x:c r="D166" s="14" t="str">
        <x:v>sports and hobbies</x:v>
      </x:c>
      <x:c r="E166" s="14" t="str">
        <x:v>https://res.cloudinary.com/oxygre42/image/upload/f_auto,q_auto,c_pad,b_white,w_1200,h_1200/v1788349054/0193_One_Hundred_Dollar.png</x:v>
      </x:c>
      <x:c r="F166" s="14" t="str"/>
      <x:c r="G166" s="14" t="str">
        <x:v>Lifestyle</x:v>
      </x:c>
      <x:c r="H166" s="14" t="str"/>
      <x:c r="I166" s="14" t="str">
        <x:v>Detail</x:v>
      </x:c>
      <x:c r="J166" s="14" t="str"/>
      <x:c r="K166" s="14" t="str">
        <x:v>Scale</x:v>
      </x:c>
      <x:c r="L166" s="14" t="str"/>
      <x:c r="M166" s="14" t="str">
        <x:v>Alternate</x:v>
      </x:c>
      <x:c r="N166" s="14" t="n">
        <x:f>IF(E166&lt;&gt;"",1,0)+IF(F166&lt;&gt;"",1,0)+IF(H166&lt;&gt;"",1,0)+IF(J166&lt;&gt;"",1,0)+IF(L166&lt;&gt;"",1,0)</x:f>
        <x:v>1</x:v>
      </x:c>
      <x:c r="O166" s="14" t="str">
        <x:f>IF(E166="","MISSING MAIN",IF(N166=1,"MAIN ONLY","MULTI-PHOTO"))</x:f>
        <x:v>MAIN ONLY</x:v>
      </x:c>
      <x:c r="P166" s="14" t="str">
        <x:v>0193_</x:v>
      </x:c>
      <x:c r="Q166" s="14" t="str">
        <x:v>https://mb1advancedsolutions.github.io/mb1-catalog/index.html?design=0193</x:v>
      </x:c>
      <x:c r="R166" s="14" t="str"/>
    </x:row>
    <x:row r="167">
      <x:c r="A167" s="13" t="str">
        <x:v>MB1-0194</x:v>
      </x:c>
      <x:c r="B167" s="13" t="str">
        <x:v>MB1-0194</x:v>
      </x:c>
      <x:c r="C167" s="14" t="str">
        <x:v>Compass Monogram A</x:v>
      </x:c>
      <x:c r="D167" s="14" t="str">
        <x:v>lake house and nautical</x:v>
      </x:c>
      <x:c r="E167" s="14" t="str">
        <x:v>https://res.cloudinary.com/oxygre42/image/upload/f_auto,q_auto,c_pad,b_white,w_1200,h_1200/v1788349056/0194_Compass_Monogram_A.png</x:v>
      </x:c>
      <x:c r="F167" s="14" t="str"/>
      <x:c r="G167" s="14" t="str">
        <x:v>Lifestyle</x:v>
      </x:c>
      <x:c r="H167" s="14" t="str"/>
      <x:c r="I167" s="14" t="str">
        <x:v>Detail</x:v>
      </x:c>
      <x:c r="J167" s="14" t="str"/>
      <x:c r="K167" s="14" t="str">
        <x:v>Scale</x:v>
      </x:c>
      <x:c r="L167" s="14" t="str"/>
      <x:c r="M167" s="14" t="str">
        <x:v>Alternate</x:v>
      </x:c>
      <x:c r="N167" s="14" t="n">
        <x:f>IF(E167&lt;&gt;"",1,0)+IF(F167&lt;&gt;"",1,0)+IF(H167&lt;&gt;"",1,0)+IF(J167&lt;&gt;"",1,0)+IF(L167&lt;&gt;"",1,0)</x:f>
        <x:v>1</x:v>
      </x:c>
      <x:c r="O167" s="14" t="str">
        <x:f>IF(E167="","MISSING MAIN",IF(N167=1,"MAIN ONLY","MULTI-PHOTO"))</x:f>
        <x:v>MAIN ONLY</x:v>
      </x:c>
      <x:c r="P167" s="14" t="str">
        <x:v>0194_</x:v>
      </x:c>
      <x:c r="Q167" s="14" t="str">
        <x:v>https://mb1advancedsolutions.github.io/mb1-catalog/index.html?design=0194</x:v>
      </x:c>
      <x:c r="R167" s="14" t="str"/>
    </x:row>
    <x:row r="168">
      <x:c r="A168" s="13" t="str">
        <x:v>MB1-0195</x:v>
      </x:c>
      <x:c r="B168" s="13" t="str">
        <x:v>MB1-0195</x:v>
      </x:c>
      <x:c r="C168" s="14" t="str">
        <x:v>Compass Monogram B</x:v>
      </x:c>
      <x:c r="D168" s="14" t="str">
        <x:v>lake house and nautical</x:v>
      </x:c>
      <x:c r="E168" s="14" t="str">
        <x:v>https://res.cloudinary.com/oxygre42/image/upload/f_auto,q_auto,c_pad,b_white,w_1200,h_1200/v1788349058/0195_Compass_Monogram_B.png</x:v>
      </x:c>
      <x:c r="F168" s="14" t="str"/>
      <x:c r="G168" s="14" t="str">
        <x:v>Lifestyle</x:v>
      </x:c>
      <x:c r="H168" s="14" t="str"/>
      <x:c r="I168" s="14" t="str">
        <x:v>Detail</x:v>
      </x:c>
      <x:c r="J168" s="14" t="str"/>
      <x:c r="K168" s="14" t="str">
        <x:v>Scale</x:v>
      </x:c>
      <x:c r="L168" s="14" t="str"/>
      <x:c r="M168" s="14" t="str">
        <x:v>Alternate</x:v>
      </x:c>
      <x:c r="N168" s="14" t="n">
        <x:f>IF(E168&lt;&gt;"",1,0)+IF(F168&lt;&gt;"",1,0)+IF(H168&lt;&gt;"",1,0)+IF(J168&lt;&gt;"",1,0)+IF(L168&lt;&gt;"",1,0)</x:f>
        <x:v>1</x:v>
      </x:c>
      <x:c r="O168" s="14" t="str">
        <x:f>IF(E168="","MISSING MAIN",IF(N168=1,"MAIN ONLY","MULTI-PHOTO"))</x:f>
        <x:v>MAIN ONLY</x:v>
      </x:c>
      <x:c r="P168" s="14" t="str">
        <x:v>0195_</x:v>
      </x:c>
      <x:c r="Q168" s="14" t="str">
        <x:v>https://mb1advancedsolutions.github.io/mb1-catalog/index.html?design=0195</x:v>
      </x:c>
      <x:c r="R168" s="14" t="str"/>
    </x:row>
    <x:row r="169">
      <x:c r="A169" s="13" t="str">
        <x:v>MB1-0196</x:v>
      </x:c>
      <x:c r="B169" s="13" t="str">
        <x:v>MB1-0196</x:v>
      </x:c>
      <x:c r="C169" s="14" t="str">
        <x:v>Compass Monogram C</x:v>
      </x:c>
      <x:c r="D169" s="14" t="str">
        <x:v>lake house and nautical</x:v>
      </x:c>
      <x:c r="E169" s="14" t="str">
        <x:v>https://res.cloudinary.com/oxygre42/image/upload/f_auto,q_auto,c_pad,b_white,w_1200,h_1200/v1788349059/0196_Compass_Monogram_C.png</x:v>
      </x:c>
      <x:c r="F169" s="14" t="str"/>
      <x:c r="G169" s="14" t="str">
        <x:v>Lifestyle</x:v>
      </x:c>
      <x:c r="H169" s="14" t="str"/>
      <x:c r="I169" s="14" t="str">
        <x:v>Detail</x:v>
      </x:c>
      <x:c r="J169" s="14" t="str"/>
      <x:c r="K169" s="14" t="str">
        <x:v>Scale</x:v>
      </x:c>
      <x:c r="L169" s="14" t="str"/>
      <x:c r="M169" s="14" t="str">
        <x:v>Alternate</x:v>
      </x:c>
      <x:c r="N169" s="14" t="n">
        <x:f>IF(E169&lt;&gt;"",1,0)+IF(F169&lt;&gt;"",1,0)+IF(H169&lt;&gt;"",1,0)+IF(J169&lt;&gt;"",1,0)+IF(L169&lt;&gt;"",1,0)</x:f>
        <x:v>1</x:v>
      </x:c>
      <x:c r="O169" s="14" t="str">
        <x:f>IF(E169="","MISSING MAIN",IF(N169=1,"MAIN ONLY","MULTI-PHOTO"))</x:f>
        <x:v>MAIN ONLY</x:v>
      </x:c>
      <x:c r="P169" s="14" t="str">
        <x:v>0196_</x:v>
      </x:c>
      <x:c r="Q169" s="14" t="str">
        <x:v>https://mb1advancedsolutions.github.io/mb1-catalog/index.html?design=0196</x:v>
      </x:c>
      <x:c r="R169" s="14" t="str"/>
    </x:row>
    <x:row r="170">
      <x:c r="A170" s="13" t="str">
        <x:v>MB1-0197</x:v>
      </x:c>
      <x:c r="B170" s="13" t="str">
        <x:v>MB1-0197</x:v>
      </x:c>
      <x:c r="C170" s="14" t="str">
        <x:v>Compass Monogram D</x:v>
      </x:c>
      <x:c r="D170" s="14" t="str">
        <x:v>lake house and nautical</x:v>
      </x:c>
      <x:c r="E170" s="14" t="str">
        <x:v>https://res.cloudinary.com/oxygre42/image/upload/f_auto,q_auto,c_pad,b_white,w_1200,h_1200/v1788349061/0197_Compass_Monogram_D.png</x:v>
      </x:c>
      <x:c r="F170" s="14" t="str"/>
      <x:c r="G170" s="14" t="str">
        <x:v>Lifestyle</x:v>
      </x:c>
      <x:c r="H170" s="14" t="str"/>
      <x:c r="I170" s="14" t="str">
        <x:v>Detail</x:v>
      </x:c>
      <x:c r="J170" s="14" t="str"/>
      <x:c r="K170" s="14" t="str">
        <x:v>Scale</x:v>
      </x:c>
      <x:c r="L170" s="14" t="str"/>
      <x:c r="M170" s="14" t="str">
        <x:v>Alternate</x:v>
      </x:c>
      <x:c r="N170" s="14" t="n">
        <x:f>IF(E170&lt;&gt;"",1,0)+IF(F170&lt;&gt;"",1,0)+IF(H170&lt;&gt;"",1,0)+IF(J170&lt;&gt;"",1,0)+IF(L170&lt;&gt;"",1,0)</x:f>
        <x:v>1</x:v>
      </x:c>
      <x:c r="O170" s="14" t="str">
        <x:f>IF(E170="","MISSING MAIN",IF(N170=1,"MAIN ONLY","MULTI-PHOTO"))</x:f>
        <x:v>MAIN ONLY</x:v>
      </x:c>
      <x:c r="P170" s="14" t="str">
        <x:v>0197_</x:v>
      </x:c>
      <x:c r="Q170" s="14" t="str">
        <x:v>https://mb1advancedsolutions.github.io/mb1-catalog/index.html?design=0197</x:v>
      </x:c>
      <x:c r="R170" s="14" t="str"/>
    </x:row>
    <x:row r="171">
      <x:c r="A171" s="13" t="str">
        <x:v>MB1-0198</x:v>
      </x:c>
      <x:c r="B171" s="13" t="str">
        <x:v>MB1-0198</x:v>
      </x:c>
      <x:c r="C171" s="14" t="str">
        <x:v>Compass Monogram E</x:v>
      </x:c>
      <x:c r="D171" s="14" t="str">
        <x:v>lake house and nautical</x:v>
      </x:c>
      <x:c r="E171" s="14" t="str">
        <x:v>https://res.cloudinary.com/oxygre42/image/upload/f_auto,q_auto,c_pad,b_white,w_1200,h_1200/v1788349063/0198_Compass_Monogram_E.png</x:v>
      </x:c>
      <x:c r="F171" s="14" t="str"/>
      <x:c r="G171" s="14" t="str">
        <x:v>Lifestyle</x:v>
      </x:c>
      <x:c r="H171" s="14" t="str"/>
      <x:c r="I171" s="14" t="str">
        <x:v>Detail</x:v>
      </x:c>
      <x:c r="J171" s="14" t="str"/>
      <x:c r="K171" s="14" t="str">
        <x:v>Scale</x:v>
      </x:c>
      <x:c r="L171" s="14" t="str"/>
      <x:c r="M171" s="14" t="str">
        <x:v>Alternate</x:v>
      </x:c>
      <x:c r="N171" s="14" t="n">
        <x:f>IF(E171&lt;&gt;"",1,0)+IF(F171&lt;&gt;"",1,0)+IF(H171&lt;&gt;"",1,0)+IF(J171&lt;&gt;"",1,0)+IF(L171&lt;&gt;"",1,0)</x:f>
        <x:v>1</x:v>
      </x:c>
      <x:c r="O171" s="14" t="str">
        <x:f>IF(E171="","MISSING MAIN",IF(N171=1,"MAIN ONLY","MULTI-PHOTO"))</x:f>
        <x:v>MAIN ONLY</x:v>
      </x:c>
      <x:c r="P171" s="14" t="str">
        <x:v>0198_</x:v>
      </x:c>
      <x:c r="Q171" s="14" t="str">
        <x:v>https://mb1advancedsolutions.github.io/mb1-catalog/index.html?design=0198</x:v>
      </x:c>
      <x:c r="R171" s="14" t="str"/>
    </x:row>
    <x:row r="172">
      <x:c r="A172" s="13" t="str">
        <x:v>MB1-0199</x:v>
      </x:c>
      <x:c r="B172" s="13" t="str">
        <x:v>MB1-0199</x:v>
      </x:c>
      <x:c r="C172" s="14" t="str">
        <x:v>Compass Monogram F</x:v>
      </x:c>
      <x:c r="D172" s="14" t="str">
        <x:v>lake house and nautical</x:v>
      </x:c>
      <x:c r="E172" s="14" t="str">
        <x:v>https://res.cloudinary.com/oxygre42/image/upload/f_auto,q_auto,c_pad,b_white,w_1200,h_1200/v1788349065/0199_Compass_Monogram_F.png</x:v>
      </x:c>
      <x:c r="F172" s="14" t="str"/>
      <x:c r="G172" s="14" t="str">
        <x:v>Lifestyle</x:v>
      </x:c>
      <x:c r="H172" s="14" t="str"/>
      <x:c r="I172" s="14" t="str">
        <x:v>Detail</x:v>
      </x:c>
      <x:c r="J172" s="14" t="str"/>
      <x:c r="K172" s="14" t="str">
        <x:v>Scale</x:v>
      </x:c>
      <x:c r="L172" s="14" t="str"/>
      <x:c r="M172" s="14" t="str">
        <x:v>Alternate</x:v>
      </x:c>
      <x:c r="N172" s="14" t="n">
        <x:f>IF(E172&lt;&gt;"",1,0)+IF(F172&lt;&gt;"",1,0)+IF(H172&lt;&gt;"",1,0)+IF(J172&lt;&gt;"",1,0)+IF(L172&lt;&gt;"",1,0)</x:f>
        <x:v>1</x:v>
      </x:c>
      <x:c r="O172" s="14" t="str">
        <x:f>IF(E172="","MISSING MAIN",IF(N172=1,"MAIN ONLY","MULTI-PHOTO"))</x:f>
        <x:v>MAIN ONLY</x:v>
      </x:c>
      <x:c r="P172" s="14" t="str">
        <x:v>0199_</x:v>
      </x:c>
      <x:c r="Q172" s="14" t="str">
        <x:v>https://mb1advancedsolutions.github.io/mb1-catalog/index.html?design=0199</x:v>
      </x:c>
      <x:c r="R172" s="14" t="str"/>
    </x:row>
    <x:row r="173">
      <x:c r="A173" s="13" t="str">
        <x:v>MB1-0200</x:v>
      </x:c>
      <x:c r="B173" s="13" t="str">
        <x:v>MB1-0200</x:v>
      </x:c>
      <x:c r="C173" s="14" t="str">
        <x:v>Compass Monogram G</x:v>
      </x:c>
      <x:c r="D173" s="14" t="str">
        <x:v>lake house and nautical</x:v>
      </x:c>
      <x:c r="E173" s="14" t="str">
        <x:v>https://res.cloudinary.com/oxygre42/image/upload/f_auto,q_auto,c_pad,b_white,w_1200,h_1200/v1788349067/0200_Compass_Monogram_G.png</x:v>
      </x:c>
      <x:c r="F173" s="14" t="str"/>
      <x:c r="G173" s="14" t="str">
        <x:v>Lifestyle</x:v>
      </x:c>
      <x:c r="H173" s="14" t="str"/>
      <x:c r="I173" s="14" t="str">
        <x:v>Detail</x:v>
      </x:c>
      <x:c r="J173" s="14" t="str"/>
      <x:c r="K173" s="14" t="str">
        <x:v>Scale</x:v>
      </x:c>
      <x:c r="L173" s="14" t="str"/>
      <x:c r="M173" s="14" t="str">
        <x:v>Alternate</x:v>
      </x:c>
      <x:c r="N173" s="14" t="n">
        <x:f>IF(E173&lt;&gt;"",1,0)+IF(F173&lt;&gt;"",1,0)+IF(H173&lt;&gt;"",1,0)+IF(J173&lt;&gt;"",1,0)+IF(L173&lt;&gt;"",1,0)</x:f>
        <x:v>1</x:v>
      </x:c>
      <x:c r="O173" s="14" t="str">
        <x:f>IF(E173="","MISSING MAIN",IF(N173=1,"MAIN ONLY","MULTI-PHOTO"))</x:f>
        <x:v>MAIN ONLY</x:v>
      </x:c>
      <x:c r="P173" s="14" t="str">
        <x:v>0200_</x:v>
      </x:c>
      <x:c r="Q173" s="14" t="str">
        <x:v>https://mb1advancedsolutions.github.io/mb1-catalog/index.html?design=0200</x:v>
      </x:c>
      <x:c r="R173" s="14" t="str"/>
    </x:row>
    <x:row r="174">
      <x:c r="A174" s="13" t="str">
        <x:v>MB1-0201</x:v>
      </x:c>
      <x:c r="B174" s="13" t="str">
        <x:v>MB1-0201</x:v>
      </x:c>
      <x:c r="C174" s="14" t="str">
        <x:v>Compass Monogram H</x:v>
      </x:c>
      <x:c r="D174" s="14" t="str">
        <x:v>lake house and nautical</x:v>
      </x:c>
      <x:c r="E174" s="14" t="str">
        <x:v>https://res.cloudinary.com/oxygre42/image/upload/f_auto,q_auto,c_pad,b_white,w_1200,h_1200/v1788349069/0201_Compass_Monogram_H.png</x:v>
      </x:c>
      <x:c r="F174" s="14" t="str"/>
      <x:c r="G174" s="14" t="str">
        <x:v>Lifestyle</x:v>
      </x:c>
      <x:c r="H174" s="14" t="str"/>
      <x:c r="I174" s="14" t="str">
        <x:v>Detail</x:v>
      </x:c>
      <x:c r="J174" s="14" t="str"/>
      <x:c r="K174" s="14" t="str">
        <x:v>Scale</x:v>
      </x:c>
      <x:c r="L174" s="14" t="str"/>
      <x:c r="M174" s="14" t="str">
        <x:v>Alternate</x:v>
      </x:c>
      <x:c r="N174" s="14" t="n">
        <x:f>IF(E174&lt;&gt;"",1,0)+IF(F174&lt;&gt;"",1,0)+IF(H174&lt;&gt;"",1,0)+IF(J174&lt;&gt;"",1,0)+IF(L174&lt;&gt;"",1,0)</x:f>
        <x:v>1</x:v>
      </x:c>
      <x:c r="O174" s="14" t="str">
        <x:f>IF(E174="","MISSING MAIN",IF(N174=1,"MAIN ONLY","MULTI-PHOTO"))</x:f>
        <x:v>MAIN ONLY</x:v>
      </x:c>
      <x:c r="P174" s="14" t="str">
        <x:v>0201_</x:v>
      </x:c>
      <x:c r="Q174" s="14" t="str">
        <x:v>https://mb1advancedsolutions.github.io/mb1-catalog/index.html?design=0201</x:v>
      </x:c>
      <x:c r="R174" s="14" t="str"/>
    </x:row>
    <x:row r="175">
      <x:c r="A175" s="13" t="str">
        <x:v>MB1-0202</x:v>
      </x:c>
      <x:c r="B175" s="13" t="str">
        <x:v>MB1-0202</x:v>
      </x:c>
      <x:c r="C175" s="14" t="str">
        <x:v>Compass Monogram I</x:v>
      </x:c>
      <x:c r="D175" s="14" t="str">
        <x:v>lake house and nautical</x:v>
      </x:c>
      <x:c r="E175" s="14" t="str">
        <x:v>https://res.cloudinary.com/oxygre42/image/upload/f_auto,q_auto,c_pad,b_white,w_1200,h_1200/v1788349071/0202_Compass_Monogram_I.png</x:v>
      </x:c>
      <x:c r="F175" s="14" t="str"/>
      <x:c r="G175" s="14" t="str">
        <x:v>Lifestyle</x:v>
      </x:c>
      <x:c r="H175" s="14" t="str"/>
      <x:c r="I175" s="14" t="str">
        <x:v>Detail</x:v>
      </x:c>
      <x:c r="J175" s="14" t="str"/>
      <x:c r="K175" s="14" t="str">
        <x:v>Scale</x:v>
      </x:c>
      <x:c r="L175" s="14" t="str"/>
      <x:c r="M175" s="14" t="str">
        <x:v>Alternate</x:v>
      </x:c>
      <x:c r="N175" s="14" t="n">
        <x:f>IF(E175&lt;&gt;"",1,0)+IF(F175&lt;&gt;"",1,0)+IF(H175&lt;&gt;"",1,0)+IF(J175&lt;&gt;"",1,0)+IF(L175&lt;&gt;"",1,0)</x:f>
        <x:v>1</x:v>
      </x:c>
      <x:c r="O175" s="14" t="str">
        <x:f>IF(E175="","MISSING MAIN",IF(N175=1,"MAIN ONLY","MULTI-PHOTO"))</x:f>
        <x:v>MAIN ONLY</x:v>
      </x:c>
      <x:c r="P175" s="14" t="str">
        <x:v>0202_</x:v>
      </x:c>
      <x:c r="Q175" s="14" t="str">
        <x:v>https://mb1advancedsolutions.github.io/mb1-catalog/index.html?design=0202</x:v>
      </x:c>
      <x:c r="R175" s="14" t="str"/>
    </x:row>
    <x:row r="176">
      <x:c r="A176" s="13" t="str">
        <x:v>MB1-0203</x:v>
      </x:c>
      <x:c r="B176" s="13" t="str">
        <x:v>MB1-0203</x:v>
      </x:c>
      <x:c r="C176" s="14" t="str">
        <x:v>Compass Monogram J</x:v>
      </x:c>
      <x:c r="D176" s="14" t="str">
        <x:v>lake house and nautical</x:v>
      </x:c>
      <x:c r="E176" s="14" t="str">
        <x:v>https://res.cloudinary.com/oxygre42/image/upload/f_auto,q_auto,c_pad,b_white,w_1200,h_1200/v1788349073/0203_Compass_Monogram_J.png</x:v>
      </x:c>
      <x:c r="F176" s="14" t="str"/>
      <x:c r="G176" s="14" t="str">
        <x:v>Lifestyle</x:v>
      </x:c>
      <x:c r="H176" s="14" t="str"/>
      <x:c r="I176" s="14" t="str">
        <x:v>Detail</x:v>
      </x:c>
      <x:c r="J176" s="14" t="str"/>
      <x:c r="K176" s="14" t="str">
        <x:v>Scale</x:v>
      </x:c>
      <x:c r="L176" s="14" t="str"/>
      <x:c r="M176" s="14" t="str">
        <x:v>Alternate</x:v>
      </x:c>
      <x:c r="N176" s="14" t="n">
        <x:f>IF(E176&lt;&gt;"",1,0)+IF(F176&lt;&gt;"",1,0)+IF(H176&lt;&gt;"",1,0)+IF(J176&lt;&gt;"",1,0)+IF(L176&lt;&gt;"",1,0)</x:f>
        <x:v>1</x:v>
      </x:c>
      <x:c r="O176" s="14" t="str">
        <x:f>IF(E176="","MISSING MAIN",IF(N176=1,"MAIN ONLY","MULTI-PHOTO"))</x:f>
        <x:v>MAIN ONLY</x:v>
      </x:c>
      <x:c r="P176" s="14" t="str">
        <x:v>0203_</x:v>
      </x:c>
      <x:c r="Q176" s="14" t="str">
        <x:v>https://mb1advancedsolutions.github.io/mb1-catalog/index.html?design=0203</x:v>
      </x:c>
      <x:c r="R176" s="14" t="str"/>
    </x:row>
    <x:row r="177">
      <x:c r="A177" s="13" t="str">
        <x:v>MB1-0204</x:v>
      </x:c>
      <x:c r="B177" s="13" t="str">
        <x:v>MB1-0204</x:v>
      </x:c>
      <x:c r="C177" s="14" t="str">
        <x:v>Compass Monogram K</x:v>
      </x:c>
      <x:c r="D177" s="14" t="str">
        <x:v>lake house and nautical</x:v>
      </x:c>
      <x:c r="E177" s="14" t="str">
        <x:v>https://res.cloudinary.com/oxygre42/image/upload/f_auto,q_auto,c_pad,b_white,w_1200,h_1200/v1788349074/0204_Compass_Monogram_K.png</x:v>
      </x:c>
      <x:c r="F177" s="14" t="str"/>
      <x:c r="G177" s="14" t="str">
        <x:v>Lifestyle</x:v>
      </x:c>
      <x:c r="H177" s="14" t="str"/>
      <x:c r="I177" s="14" t="str">
        <x:v>Detail</x:v>
      </x:c>
      <x:c r="J177" s="14" t="str"/>
      <x:c r="K177" s="14" t="str">
        <x:v>Scale</x:v>
      </x:c>
      <x:c r="L177" s="14" t="str"/>
      <x:c r="M177" s="14" t="str">
        <x:v>Alternate</x:v>
      </x:c>
      <x:c r="N177" s="14" t="n">
        <x:f>IF(E177&lt;&gt;"",1,0)+IF(F177&lt;&gt;"",1,0)+IF(H177&lt;&gt;"",1,0)+IF(J177&lt;&gt;"",1,0)+IF(L177&lt;&gt;"",1,0)</x:f>
        <x:v>1</x:v>
      </x:c>
      <x:c r="O177" s="14" t="str">
        <x:f>IF(E177="","MISSING MAIN",IF(N177=1,"MAIN ONLY","MULTI-PHOTO"))</x:f>
        <x:v>MAIN ONLY</x:v>
      </x:c>
      <x:c r="P177" s="14" t="str">
        <x:v>0204_</x:v>
      </x:c>
      <x:c r="Q177" s="14" t="str">
        <x:v>https://mb1advancedsolutions.github.io/mb1-catalog/index.html?design=0204</x:v>
      </x:c>
      <x:c r="R177" s="14" t="str"/>
    </x:row>
    <x:row r="178">
      <x:c r="A178" s="13" t="str">
        <x:v>MB1-0205</x:v>
      </x:c>
      <x:c r="B178" s="13" t="str">
        <x:v>MB1-0205</x:v>
      </x:c>
      <x:c r="C178" s="14" t="str">
        <x:v>Compass Monogram L</x:v>
      </x:c>
      <x:c r="D178" s="14" t="str">
        <x:v>lake house and nautical</x:v>
      </x:c>
      <x:c r="E178" s="14" t="str">
        <x:v>https://res.cloudinary.com/oxygre42/image/upload/f_auto,q_auto,c_pad,b_white,w_1200,h_1200/v1788349076/0205_Compass_Monogram_L.png</x:v>
      </x:c>
      <x:c r="F178" s="14" t="str"/>
      <x:c r="G178" s="14" t="str">
        <x:v>Lifestyle</x:v>
      </x:c>
      <x:c r="H178" s="14" t="str"/>
      <x:c r="I178" s="14" t="str">
        <x:v>Detail</x:v>
      </x:c>
      <x:c r="J178" s="14" t="str"/>
      <x:c r="K178" s="14" t="str">
        <x:v>Scale</x:v>
      </x:c>
      <x:c r="L178" s="14" t="str"/>
      <x:c r="M178" s="14" t="str">
        <x:v>Alternate</x:v>
      </x:c>
      <x:c r="N178" s="14" t="n">
        <x:f>IF(E178&lt;&gt;"",1,0)+IF(F178&lt;&gt;"",1,0)+IF(H178&lt;&gt;"",1,0)+IF(J178&lt;&gt;"",1,0)+IF(L178&lt;&gt;"",1,0)</x:f>
        <x:v>1</x:v>
      </x:c>
      <x:c r="O178" s="14" t="str">
        <x:f>IF(E178="","MISSING MAIN",IF(N178=1,"MAIN ONLY","MULTI-PHOTO"))</x:f>
        <x:v>MAIN ONLY</x:v>
      </x:c>
      <x:c r="P178" s="14" t="str">
        <x:v>0205_</x:v>
      </x:c>
      <x:c r="Q178" s="14" t="str">
        <x:v>https://mb1advancedsolutions.github.io/mb1-catalog/index.html?design=0205</x:v>
      </x:c>
      <x:c r="R178" s="14" t="str"/>
    </x:row>
    <x:row r="179">
      <x:c r="A179" s="13" t="str">
        <x:v>MB1-0206</x:v>
      </x:c>
      <x:c r="B179" s="13" t="str">
        <x:v>MB1-0206</x:v>
      </x:c>
      <x:c r="C179" s="14" t="str">
        <x:v>Compass Monogram M</x:v>
      </x:c>
      <x:c r="D179" s="14" t="str">
        <x:v>lake house and nautical</x:v>
      </x:c>
      <x:c r="E179" s="14" t="str">
        <x:v>https://res.cloudinary.com/oxygre42/image/upload/f_auto,q_auto,c_pad,b_white,w_1200,h_1200/v1788349078/0206_Compass_Monogram_M.png</x:v>
      </x:c>
      <x:c r="F179" s="14" t="str"/>
      <x:c r="G179" s="14" t="str">
        <x:v>Lifestyle</x:v>
      </x:c>
      <x:c r="H179" s="14" t="str"/>
      <x:c r="I179" s="14" t="str">
        <x:v>Detail</x:v>
      </x:c>
      <x:c r="J179" s="14" t="str"/>
      <x:c r="K179" s="14" t="str">
        <x:v>Scale</x:v>
      </x:c>
      <x:c r="L179" s="14" t="str"/>
      <x:c r="M179" s="14" t="str">
        <x:v>Alternate</x:v>
      </x:c>
      <x:c r="N179" s="14" t="n">
        <x:f>IF(E179&lt;&gt;"",1,0)+IF(F179&lt;&gt;"",1,0)+IF(H179&lt;&gt;"",1,0)+IF(J179&lt;&gt;"",1,0)+IF(L179&lt;&gt;"",1,0)</x:f>
        <x:v>1</x:v>
      </x:c>
      <x:c r="O179" s="14" t="str">
        <x:f>IF(E179="","MISSING MAIN",IF(N179=1,"MAIN ONLY","MULTI-PHOTO"))</x:f>
        <x:v>MAIN ONLY</x:v>
      </x:c>
      <x:c r="P179" s="14" t="str">
        <x:v>0206_</x:v>
      </x:c>
      <x:c r="Q179" s="14" t="str">
        <x:v>https://mb1advancedsolutions.github.io/mb1-catalog/index.html?design=0206</x:v>
      </x:c>
      <x:c r="R179" s="14" t="str"/>
    </x:row>
    <x:row r="180">
      <x:c r="A180" s="13" t="str">
        <x:v>MB1-0207</x:v>
      </x:c>
      <x:c r="B180" s="13" t="str">
        <x:v>MB1-0207</x:v>
      </x:c>
      <x:c r="C180" s="14" t="str">
        <x:v>Compass Monogram N</x:v>
      </x:c>
      <x:c r="D180" s="14" t="str">
        <x:v>lake house and nautical</x:v>
      </x:c>
      <x:c r="E180" s="14" t="str">
        <x:v>https://res.cloudinary.com/oxygre42/image/upload/f_auto,q_auto,c_pad,b_white,w_1200,h_1200/v1788349080/0207_Compass_Monogram_N.png</x:v>
      </x:c>
      <x:c r="F180" s="14" t="str"/>
      <x:c r="G180" s="14" t="str">
        <x:v>Lifestyle</x:v>
      </x:c>
      <x:c r="H180" s="14" t="str"/>
      <x:c r="I180" s="14" t="str">
        <x:v>Detail</x:v>
      </x:c>
      <x:c r="J180" s="14" t="str"/>
      <x:c r="K180" s="14" t="str">
        <x:v>Scale</x:v>
      </x:c>
      <x:c r="L180" s="14" t="str"/>
      <x:c r="M180" s="14" t="str">
        <x:v>Alternate</x:v>
      </x:c>
      <x:c r="N180" s="14" t="n">
        <x:f>IF(E180&lt;&gt;"",1,0)+IF(F180&lt;&gt;"",1,0)+IF(H180&lt;&gt;"",1,0)+IF(J180&lt;&gt;"",1,0)+IF(L180&lt;&gt;"",1,0)</x:f>
        <x:v>1</x:v>
      </x:c>
      <x:c r="O180" s="14" t="str">
        <x:f>IF(E180="","MISSING MAIN",IF(N180=1,"MAIN ONLY","MULTI-PHOTO"))</x:f>
        <x:v>MAIN ONLY</x:v>
      </x:c>
      <x:c r="P180" s="14" t="str">
        <x:v>0207_</x:v>
      </x:c>
      <x:c r="Q180" s="14" t="str">
        <x:v>https://mb1advancedsolutions.github.io/mb1-catalog/index.html?design=0207</x:v>
      </x:c>
      <x:c r="R180" s="14" t="str"/>
    </x:row>
    <x:row r="181">
      <x:c r="A181" s="13" t="str">
        <x:v>MB1-0208</x:v>
      </x:c>
      <x:c r="B181" s="13" t="str">
        <x:v>MB1-0208</x:v>
      </x:c>
      <x:c r="C181" s="14" t="str">
        <x:v>Compass Monogram O</x:v>
      </x:c>
      <x:c r="D181" s="14" t="str">
        <x:v>lake house and nautical</x:v>
      </x:c>
      <x:c r="E181" s="14" t="str">
        <x:v>https://res.cloudinary.com/oxygre42/image/upload/f_auto,q_auto,c_pad,b_white,w_1200,h_1200/v1788349082/0208_Compass_Monogram_O.png</x:v>
      </x:c>
      <x:c r="F181" s="14" t="str"/>
      <x:c r="G181" s="14" t="str">
        <x:v>Lifestyle</x:v>
      </x:c>
      <x:c r="H181" s="14" t="str"/>
      <x:c r="I181" s="14" t="str">
        <x:v>Detail</x:v>
      </x:c>
      <x:c r="J181" s="14" t="str"/>
      <x:c r="K181" s="14" t="str">
        <x:v>Scale</x:v>
      </x:c>
      <x:c r="L181" s="14" t="str"/>
      <x:c r="M181" s="14" t="str">
        <x:v>Alternate</x:v>
      </x:c>
      <x:c r="N181" s="14" t="n">
        <x:f>IF(E181&lt;&gt;"",1,0)+IF(F181&lt;&gt;"",1,0)+IF(H181&lt;&gt;"",1,0)+IF(J181&lt;&gt;"",1,0)+IF(L181&lt;&gt;"",1,0)</x:f>
        <x:v>1</x:v>
      </x:c>
      <x:c r="O181" s="14" t="str">
        <x:f>IF(E181="","MISSING MAIN",IF(N181=1,"MAIN ONLY","MULTI-PHOTO"))</x:f>
        <x:v>MAIN ONLY</x:v>
      </x:c>
      <x:c r="P181" s="14" t="str">
        <x:v>0208_</x:v>
      </x:c>
      <x:c r="Q181" s="14" t="str">
        <x:v>https://mb1advancedsolutions.github.io/mb1-catalog/index.html?design=0208</x:v>
      </x:c>
      <x:c r="R181" s="14" t="str"/>
    </x:row>
    <x:row r="182">
      <x:c r="A182" s="13" t="str">
        <x:v>MB1-0209</x:v>
      </x:c>
      <x:c r="B182" s="13" t="str">
        <x:v>MB1-0209</x:v>
      </x:c>
      <x:c r="C182" s="14" t="str">
        <x:v>Compass Monogram P</x:v>
      </x:c>
      <x:c r="D182" s="14" t="str">
        <x:v>lake house and nautical</x:v>
      </x:c>
      <x:c r="E182" s="14" t="str">
        <x:v>https://res.cloudinary.com/oxygre42/image/upload/f_auto,q_auto,c_pad,b_white,w_1200,h_1200/v1788349084/0209_Compass_Monogram_P.png</x:v>
      </x:c>
      <x:c r="F182" s="14" t="str"/>
      <x:c r="G182" s="14" t="str">
        <x:v>Lifestyle</x:v>
      </x:c>
      <x:c r="H182" s="14" t="str"/>
      <x:c r="I182" s="14" t="str">
        <x:v>Detail</x:v>
      </x:c>
      <x:c r="J182" s="14" t="str"/>
      <x:c r="K182" s="14" t="str">
        <x:v>Scale</x:v>
      </x:c>
      <x:c r="L182" s="14" t="str"/>
      <x:c r="M182" s="14" t="str">
        <x:v>Alternate</x:v>
      </x:c>
      <x:c r="N182" s="14" t="n">
        <x:f>IF(E182&lt;&gt;"",1,0)+IF(F182&lt;&gt;"",1,0)+IF(H182&lt;&gt;"",1,0)+IF(J182&lt;&gt;"",1,0)+IF(L182&lt;&gt;"",1,0)</x:f>
        <x:v>1</x:v>
      </x:c>
      <x:c r="O182" s="14" t="str">
        <x:f>IF(E182="","MISSING MAIN",IF(N182=1,"MAIN ONLY","MULTI-PHOTO"))</x:f>
        <x:v>MAIN ONLY</x:v>
      </x:c>
      <x:c r="P182" s="14" t="str">
        <x:v>0209_</x:v>
      </x:c>
      <x:c r="Q182" s="14" t="str">
        <x:v>https://mb1advancedsolutions.github.io/mb1-catalog/index.html?design=0209</x:v>
      </x:c>
      <x:c r="R182" s="14" t="str"/>
    </x:row>
    <x:row r="183">
      <x:c r="A183" s="13" t="str">
        <x:v>MB1-0210</x:v>
      </x:c>
      <x:c r="B183" s="13" t="str">
        <x:v>MB1-0210</x:v>
      </x:c>
      <x:c r="C183" s="14" t="str">
        <x:v>Compass Monogram Q</x:v>
      </x:c>
      <x:c r="D183" s="14" t="str">
        <x:v>lake house and nautical</x:v>
      </x:c>
      <x:c r="E183" s="14" t="str">
        <x:v>https://res.cloudinary.com/oxygre42/image/upload/f_auto,q_auto,c_pad,b_white,w_1200,h_1200/v1788349086/0210_Compass_Monogram_Q.png</x:v>
      </x:c>
      <x:c r="F183" s="14" t="str"/>
      <x:c r="G183" s="14" t="str">
        <x:v>Lifestyle</x:v>
      </x:c>
      <x:c r="H183" s="14" t="str"/>
      <x:c r="I183" s="14" t="str">
        <x:v>Detail</x:v>
      </x:c>
      <x:c r="J183" s="14" t="str"/>
      <x:c r="K183" s="14" t="str">
        <x:v>Scale</x:v>
      </x:c>
      <x:c r="L183" s="14" t="str"/>
      <x:c r="M183" s="14" t="str">
        <x:v>Alternate</x:v>
      </x:c>
      <x:c r="N183" s="14" t="n">
        <x:f>IF(E183&lt;&gt;"",1,0)+IF(F183&lt;&gt;"",1,0)+IF(H183&lt;&gt;"",1,0)+IF(J183&lt;&gt;"",1,0)+IF(L183&lt;&gt;"",1,0)</x:f>
        <x:v>1</x:v>
      </x:c>
      <x:c r="O183" s="14" t="str">
        <x:f>IF(E183="","MISSING MAIN",IF(N183=1,"MAIN ONLY","MULTI-PHOTO"))</x:f>
        <x:v>MAIN ONLY</x:v>
      </x:c>
      <x:c r="P183" s="14" t="str">
        <x:v>0210_</x:v>
      </x:c>
      <x:c r="Q183" s="14" t="str">
        <x:v>https://mb1advancedsolutions.github.io/mb1-catalog/index.html?design=0210</x:v>
      </x:c>
      <x:c r="R183" s="14" t="str"/>
    </x:row>
    <x:row r="184">
      <x:c r="A184" s="13" t="str">
        <x:v>MB1-0211</x:v>
      </x:c>
      <x:c r="B184" s="13" t="str">
        <x:v>MB1-0211</x:v>
      </x:c>
      <x:c r="C184" s="14" t="str">
        <x:v>Compass Monogram R</x:v>
      </x:c>
      <x:c r="D184" s="14" t="str">
        <x:v>lake house and nautical</x:v>
      </x:c>
      <x:c r="E184" s="14" t="str">
        <x:v>https://res.cloudinary.com/oxygre42/image/upload/f_auto,q_auto,c_pad,b_white,w_1200,h_1200/v1788349088/0211_Compass_Monogram_R.png</x:v>
      </x:c>
      <x:c r="F184" s="14" t="str"/>
      <x:c r="G184" s="14" t="str">
        <x:v>Lifestyle</x:v>
      </x:c>
      <x:c r="H184" s="14" t="str"/>
      <x:c r="I184" s="14" t="str">
        <x:v>Detail</x:v>
      </x:c>
      <x:c r="J184" s="14" t="str"/>
      <x:c r="K184" s="14" t="str">
        <x:v>Scale</x:v>
      </x:c>
      <x:c r="L184" s="14" t="str"/>
      <x:c r="M184" s="14" t="str">
        <x:v>Alternate</x:v>
      </x:c>
      <x:c r="N184" s="14" t="n">
        <x:f>IF(E184&lt;&gt;"",1,0)+IF(F184&lt;&gt;"",1,0)+IF(H184&lt;&gt;"",1,0)+IF(J184&lt;&gt;"",1,0)+IF(L184&lt;&gt;"",1,0)</x:f>
        <x:v>1</x:v>
      </x:c>
      <x:c r="O184" s="14" t="str">
        <x:f>IF(E184="","MISSING MAIN",IF(N184=1,"MAIN ONLY","MULTI-PHOTO"))</x:f>
        <x:v>MAIN ONLY</x:v>
      </x:c>
      <x:c r="P184" s="14" t="str">
        <x:v>0211_</x:v>
      </x:c>
      <x:c r="Q184" s="14" t="str">
        <x:v>https://mb1advancedsolutions.github.io/mb1-catalog/index.html?design=0211</x:v>
      </x:c>
      <x:c r="R184" s="14" t="str"/>
    </x:row>
    <x:row r="185">
      <x:c r="A185" s="13" t="str">
        <x:v>MB1-0212</x:v>
      </x:c>
      <x:c r="B185" s="13" t="str">
        <x:v>MB1-0212</x:v>
      </x:c>
      <x:c r="C185" s="14" t="str">
        <x:v>Compass Monogram S</x:v>
      </x:c>
      <x:c r="D185" s="14" t="str">
        <x:v>lake house and nautical</x:v>
      </x:c>
      <x:c r="E185" s="14" t="str">
        <x:v>https://res.cloudinary.com/oxygre42/image/upload/f_auto,q_auto,c_pad,b_white,w_1200,h_1200/v1788349090/0212_Compass_Monogram_S.png</x:v>
      </x:c>
      <x:c r="F185" s="14" t="str"/>
      <x:c r="G185" s="14" t="str">
        <x:v>Lifestyle</x:v>
      </x:c>
      <x:c r="H185" s="14" t="str"/>
      <x:c r="I185" s="14" t="str">
        <x:v>Detail</x:v>
      </x:c>
      <x:c r="J185" s="14" t="str"/>
      <x:c r="K185" s="14" t="str">
        <x:v>Scale</x:v>
      </x:c>
      <x:c r="L185" s="14" t="str"/>
      <x:c r="M185" s="14" t="str">
        <x:v>Alternate</x:v>
      </x:c>
      <x:c r="N185" s="14" t="n">
        <x:f>IF(E185&lt;&gt;"",1,0)+IF(F185&lt;&gt;"",1,0)+IF(H185&lt;&gt;"",1,0)+IF(J185&lt;&gt;"",1,0)+IF(L185&lt;&gt;"",1,0)</x:f>
        <x:v>1</x:v>
      </x:c>
      <x:c r="O185" s="14" t="str">
        <x:f>IF(E185="","MISSING MAIN",IF(N185=1,"MAIN ONLY","MULTI-PHOTO"))</x:f>
        <x:v>MAIN ONLY</x:v>
      </x:c>
      <x:c r="P185" s="14" t="str">
        <x:v>0212_</x:v>
      </x:c>
      <x:c r="Q185" s="14" t="str">
        <x:v>https://mb1advancedsolutions.github.io/mb1-catalog/index.html?design=0212</x:v>
      </x:c>
      <x:c r="R185" s="14" t="str"/>
    </x:row>
    <x:row r="186">
      <x:c r="A186" s="13" t="str">
        <x:v>MB1-0213</x:v>
      </x:c>
      <x:c r="B186" s="13" t="str">
        <x:v>MB1-0213</x:v>
      </x:c>
      <x:c r="C186" s="14" t="str">
        <x:v>Compass Monogram T</x:v>
      </x:c>
      <x:c r="D186" s="14" t="str">
        <x:v>lake house and nautical</x:v>
      </x:c>
      <x:c r="E186" s="14" t="str">
        <x:v>https://res.cloudinary.com/oxygre42/image/upload/f_auto,q_auto,c_pad,b_white,w_1200,h_1200/v1788349091/0213_Compass_Monogram_T.png</x:v>
      </x:c>
      <x:c r="F186" s="14" t="str"/>
      <x:c r="G186" s="14" t="str">
        <x:v>Lifestyle</x:v>
      </x:c>
      <x:c r="H186" s="14" t="str"/>
      <x:c r="I186" s="14" t="str">
        <x:v>Detail</x:v>
      </x:c>
      <x:c r="J186" s="14" t="str"/>
      <x:c r="K186" s="14" t="str">
        <x:v>Scale</x:v>
      </x:c>
      <x:c r="L186" s="14" t="str"/>
      <x:c r="M186" s="14" t="str">
        <x:v>Alternate</x:v>
      </x:c>
      <x:c r="N186" s="14" t="n">
        <x:f>IF(E186&lt;&gt;"",1,0)+IF(F186&lt;&gt;"",1,0)+IF(H186&lt;&gt;"",1,0)+IF(J186&lt;&gt;"",1,0)+IF(L186&lt;&gt;"",1,0)</x:f>
        <x:v>1</x:v>
      </x:c>
      <x:c r="O186" s="14" t="str">
        <x:f>IF(E186="","MISSING MAIN",IF(N186=1,"MAIN ONLY","MULTI-PHOTO"))</x:f>
        <x:v>MAIN ONLY</x:v>
      </x:c>
      <x:c r="P186" s="14" t="str">
        <x:v>0213_</x:v>
      </x:c>
      <x:c r="Q186" s="14" t="str">
        <x:v>https://mb1advancedsolutions.github.io/mb1-catalog/index.html?design=0213</x:v>
      </x:c>
      <x:c r="R186" s="14" t="str"/>
    </x:row>
    <x:row r="187">
      <x:c r="A187" s="13" t="str">
        <x:v>MB1-0214</x:v>
      </x:c>
      <x:c r="B187" s="13" t="str">
        <x:v>MB1-0214</x:v>
      </x:c>
      <x:c r="C187" s="14" t="str">
        <x:v>Compass Monogram U</x:v>
      </x:c>
      <x:c r="D187" s="14" t="str">
        <x:v>lake house and nautical</x:v>
      </x:c>
      <x:c r="E187" s="14" t="str">
        <x:v>https://res.cloudinary.com/oxygre42/image/upload/f_auto,q_auto,c_pad,b_white,w_1200,h_1200/v1788349093/0214_Compass_Monogram_U.png</x:v>
      </x:c>
      <x:c r="F187" s="14" t="str"/>
      <x:c r="G187" s="14" t="str">
        <x:v>Lifestyle</x:v>
      </x:c>
      <x:c r="H187" s="14" t="str"/>
      <x:c r="I187" s="14" t="str">
        <x:v>Detail</x:v>
      </x:c>
      <x:c r="J187" s="14" t="str"/>
      <x:c r="K187" s="14" t="str">
        <x:v>Scale</x:v>
      </x:c>
      <x:c r="L187" s="14" t="str"/>
      <x:c r="M187" s="14" t="str">
        <x:v>Alternate</x:v>
      </x:c>
      <x:c r="N187" s="14" t="n">
        <x:f>IF(E187&lt;&gt;"",1,0)+IF(F187&lt;&gt;"",1,0)+IF(H187&lt;&gt;"",1,0)+IF(J187&lt;&gt;"",1,0)+IF(L187&lt;&gt;"",1,0)</x:f>
        <x:v>1</x:v>
      </x:c>
      <x:c r="O187" s="14" t="str">
        <x:f>IF(E187="","MISSING MAIN",IF(N187=1,"MAIN ONLY","MULTI-PHOTO"))</x:f>
        <x:v>MAIN ONLY</x:v>
      </x:c>
      <x:c r="P187" s="14" t="str">
        <x:v>0214_</x:v>
      </x:c>
      <x:c r="Q187" s="14" t="str">
        <x:v>https://mb1advancedsolutions.github.io/mb1-catalog/index.html?design=0214</x:v>
      </x:c>
      <x:c r="R187" s="14" t="str"/>
    </x:row>
    <x:row r="188">
      <x:c r="A188" s="13" t="str">
        <x:v>MB1-0215</x:v>
      </x:c>
      <x:c r="B188" s="13" t="str">
        <x:v>MB1-0215</x:v>
      </x:c>
      <x:c r="C188" s="14" t="str">
        <x:v>Compass Monogram V</x:v>
      </x:c>
      <x:c r="D188" s="14" t="str">
        <x:v>lake house and nautical</x:v>
      </x:c>
      <x:c r="E188" s="14" t="str">
        <x:v>https://res.cloudinary.com/oxygre42/image/upload/f_auto,q_auto,c_pad,b_white,w_1200,h_1200/v1788349096/0215_Compass_Monogram_V.png</x:v>
      </x:c>
      <x:c r="F188" s="14" t="str"/>
      <x:c r="G188" s="14" t="str">
        <x:v>Lifestyle</x:v>
      </x:c>
      <x:c r="H188" s="14" t="str"/>
      <x:c r="I188" s="14" t="str">
        <x:v>Detail</x:v>
      </x:c>
      <x:c r="J188" s="14" t="str"/>
      <x:c r="K188" s="14" t="str">
        <x:v>Scale</x:v>
      </x:c>
      <x:c r="L188" s="14" t="str"/>
      <x:c r="M188" s="14" t="str">
        <x:v>Alternate</x:v>
      </x:c>
      <x:c r="N188" s="14" t="n">
        <x:f>IF(E188&lt;&gt;"",1,0)+IF(F188&lt;&gt;"",1,0)+IF(H188&lt;&gt;"",1,0)+IF(J188&lt;&gt;"",1,0)+IF(L188&lt;&gt;"",1,0)</x:f>
        <x:v>1</x:v>
      </x:c>
      <x:c r="O188" s="14" t="str">
        <x:f>IF(E188="","MISSING MAIN",IF(N188=1,"MAIN ONLY","MULTI-PHOTO"))</x:f>
        <x:v>MAIN ONLY</x:v>
      </x:c>
      <x:c r="P188" s="14" t="str">
        <x:v>0215_</x:v>
      </x:c>
      <x:c r="Q188" s="14" t="str">
        <x:v>https://mb1advancedsolutions.github.io/mb1-catalog/index.html?design=0215</x:v>
      </x:c>
      <x:c r="R188" s="14" t="str"/>
    </x:row>
    <x:row r="189">
      <x:c r="A189" s="13" t="str">
        <x:v>MB1-0216</x:v>
      </x:c>
      <x:c r="B189" s="13" t="str">
        <x:v>MB1-0216</x:v>
      </x:c>
      <x:c r="C189" s="14" t="str">
        <x:v>Compass Monogram W</x:v>
      </x:c>
      <x:c r="D189" s="14" t="str">
        <x:v>lake house and nautical</x:v>
      </x:c>
      <x:c r="E189" s="14" t="str">
        <x:v>https://res.cloudinary.com/oxygre42/image/upload/f_auto,q_auto,c_pad,b_white,w_1200,h_1200/v1788349097/0216_Compass_Monogram_W.png</x:v>
      </x:c>
      <x:c r="F189" s="14" t="str"/>
      <x:c r="G189" s="14" t="str">
        <x:v>Lifestyle</x:v>
      </x:c>
      <x:c r="H189" s="14" t="str"/>
      <x:c r="I189" s="14" t="str">
        <x:v>Detail</x:v>
      </x:c>
      <x:c r="J189" s="14" t="str"/>
      <x:c r="K189" s="14" t="str">
        <x:v>Scale</x:v>
      </x:c>
      <x:c r="L189" s="14" t="str"/>
      <x:c r="M189" s="14" t="str">
        <x:v>Alternate</x:v>
      </x:c>
      <x:c r="N189" s="14" t="n">
        <x:f>IF(E189&lt;&gt;"",1,0)+IF(F189&lt;&gt;"",1,0)+IF(H189&lt;&gt;"",1,0)+IF(J189&lt;&gt;"",1,0)+IF(L189&lt;&gt;"",1,0)</x:f>
        <x:v>1</x:v>
      </x:c>
      <x:c r="O189" s="14" t="str">
        <x:f>IF(E189="","MISSING MAIN",IF(N189=1,"MAIN ONLY","MULTI-PHOTO"))</x:f>
        <x:v>MAIN ONLY</x:v>
      </x:c>
      <x:c r="P189" s="14" t="str">
        <x:v>0216_</x:v>
      </x:c>
      <x:c r="Q189" s="14" t="str">
        <x:v>https://mb1advancedsolutions.github.io/mb1-catalog/index.html?design=0216</x:v>
      </x:c>
      <x:c r="R189" s="14" t="str"/>
    </x:row>
    <x:row r="190">
      <x:c r="A190" s="13" t="str">
        <x:v>MB1-0217</x:v>
      </x:c>
      <x:c r="B190" s="13" t="str">
        <x:v>MB1-0217</x:v>
      </x:c>
      <x:c r="C190" s="14" t="str">
        <x:v>Compass Monogram X</x:v>
      </x:c>
      <x:c r="D190" s="14" t="str">
        <x:v>lake house and nautical</x:v>
      </x:c>
      <x:c r="E190" s="14" t="str">
        <x:v>https://res.cloudinary.com/oxygre42/image/upload/f_auto,q_auto,c_pad,b_white,w_1200,h_1200/v1788349099/0217_Compass_Monogram_X.png</x:v>
      </x:c>
      <x:c r="F190" s="14" t="str"/>
      <x:c r="G190" s="14" t="str">
        <x:v>Lifestyle</x:v>
      </x:c>
      <x:c r="H190" s="14" t="str"/>
      <x:c r="I190" s="14" t="str">
        <x:v>Detail</x:v>
      </x:c>
      <x:c r="J190" s="14" t="str"/>
      <x:c r="K190" s="14" t="str">
        <x:v>Scale</x:v>
      </x:c>
      <x:c r="L190" s="14" t="str"/>
      <x:c r="M190" s="14" t="str">
        <x:v>Alternate</x:v>
      </x:c>
      <x:c r="N190" s="14" t="n">
        <x:f>IF(E190&lt;&gt;"",1,0)+IF(F190&lt;&gt;"",1,0)+IF(H190&lt;&gt;"",1,0)+IF(J190&lt;&gt;"",1,0)+IF(L190&lt;&gt;"",1,0)</x:f>
        <x:v>1</x:v>
      </x:c>
      <x:c r="O190" s="14" t="str">
        <x:f>IF(E190="","MISSING MAIN",IF(N190=1,"MAIN ONLY","MULTI-PHOTO"))</x:f>
        <x:v>MAIN ONLY</x:v>
      </x:c>
      <x:c r="P190" s="14" t="str">
        <x:v>0217_</x:v>
      </x:c>
      <x:c r="Q190" s="14" t="str">
        <x:v>https://mb1advancedsolutions.github.io/mb1-catalog/index.html?design=0217</x:v>
      </x:c>
      <x:c r="R190" s="14" t="str"/>
    </x:row>
    <x:row r="191">
      <x:c r="A191" s="13" t="str">
        <x:v>MB1-0218</x:v>
      </x:c>
      <x:c r="B191" s="13" t="str">
        <x:v>MB1-0218</x:v>
      </x:c>
      <x:c r="C191" s="14" t="str">
        <x:v>Compass Monogram Y</x:v>
      </x:c>
      <x:c r="D191" s="14" t="str">
        <x:v>lake house and nautical</x:v>
      </x:c>
      <x:c r="E191" s="14" t="str">
        <x:v>https://res.cloudinary.com/oxygre42/image/upload/f_auto,q_auto,c_pad,b_white,w_1200,h_1200/v1788349101/0218_Compass_Monogram_Y.png</x:v>
      </x:c>
      <x:c r="F191" s="14" t="str"/>
      <x:c r="G191" s="14" t="str">
        <x:v>Lifestyle</x:v>
      </x:c>
      <x:c r="H191" s="14" t="str"/>
      <x:c r="I191" s="14" t="str">
        <x:v>Detail</x:v>
      </x:c>
      <x:c r="J191" s="14" t="str"/>
      <x:c r="K191" s="14" t="str">
        <x:v>Scale</x:v>
      </x:c>
      <x:c r="L191" s="14" t="str"/>
      <x:c r="M191" s="14" t="str">
        <x:v>Alternate</x:v>
      </x:c>
      <x:c r="N191" s="14" t="n">
        <x:f>IF(E191&lt;&gt;"",1,0)+IF(F191&lt;&gt;"",1,0)+IF(H191&lt;&gt;"",1,0)+IF(J191&lt;&gt;"",1,0)+IF(L191&lt;&gt;"",1,0)</x:f>
        <x:v>1</x:v>
      </x:c>
      <x:c r="O191" s="14" t="str">
        <x:f>IF(E191="","MISSING MAIN",IF(N191=1,"MAIN ONLY","MULTI-PHOTO"))</x:f>
        <x:v>MAIN ONLY</x:v>
      </x:c>
      <x:c r="P191" s="14" t="str">
        <x:v>0218_</x:v>
      </x:c>
      <x:c r="Q191" s="14" t="str">
        <x:v>https://mb1advancedsolutions.github.io/mb1-catalog/index.html?design=0218</x:v>
      </x:c>
      <x:c r="R191" s="14" t="str"/>
    </x:row>
    <x:row r="192">
      <x:c r="A192" s="13" t="str">
        <x:v>MB1-0219</x:v>
      </x:c>
      <x:c r="B192" s="13" t="str">
        <x:v>MB1-0219</x:v>
      </x:c>
      <x:c r="C192" s="14" t="str">
        <x:v>Compass Monogram Z</x:v>
      </x:c>
      <x:c r="D192" s="14" t="str">
        <x:v>lake house and nautical</x:v>
      </x:c>
      <x:c r="E192" s="14" t="str">
        <x:v>https://res.cloudinary.com/oxygre42/image/upload/f_auto,q_auto,c_pad,b_white,w_1200,h_1200/v1788349103/0219_Compass_Monogram_Z.png</x:v>
      </x:c>
      <x:c r="F192" s="14" t="str"/>
      <x:c r="G192" s="14" t="str">
        <x:v>Lifestyle</x:v>
      </x:c>
      <x:c r="H192" s="14" t="str"/>
      <x:c r="I192" s="14" t="str">
        <x:v>Detail</x:v>
      </x:c>
      <x:c r="J192" s="14" t="str"/>
      <x:c r="K192" s="14" t="str">
        <x:v>Scale</x:v>
      </x:c>
      <x:c r="L192" s="14" t="str"/>
      <x:c r="M192" s="14" t="str">
        <x:v>Alternate</x:v>
      </x:c>
      <x:c r="N192" s="14" t="n">
        <x:f>IF(E192&lt;&gt;"",1,0)+IF(F192&lt;&gt;"",1,0)+IF(H192&lt;&gt;"",1,0)+IF(J192&lt;&gt;"",1,0)+IF(L192&lt;&gt;"",1,0)</x:f>
        <x:v>1</x:v>
      </x:c>
      <x:c r="O192" s="14" t="str">
        <x:f>IF(E192="","MISSING MAIN",IF(N192=1,"MAIN ONLY","MULTI-PHOTO"))</x:f>
        <x:v>MAIN ONLY</x:v>
      </x:c>
      <x:c r="P192" s="14" t="str">
        <x:v>0219_</x:v>
      </x:c>
      <x:c r="Q192" s="14" t="str">
        <x:v>https://mb1advancedsolutions.github.io/mb1-catalog/index.html?design=0219</x:v>
      </x:c>
      <x:c r="R192" s="14" t="str"/>
    </x:row>
    <x:row r="193">
      <x:c r="A193" s="13" t="str">
        <x:v>MB1-0220</x:v>
      </x:c>
      <x:c r="B193" s="13" t="str">
        <x:v>MB1-0220</x:v>
      </x:c>
      <x:c r="C193" s="14" t="str">
        <x:v>COMPASS 1</x:v>
      </x:c>
      <x:c r="D193" s="14" t="str">
        <x:v>lake house and nautical</x:v>
      </x:c>
      <x:c r="E193" s="14" t="str">
        <x:v>https://res.cloudinary.com/oxygre42/image/upload/f_auto,q_auto,c_pad,b_white,w_1200,h_1200/v1788349105/0220_COMPASS_1.png</x:v>
      </x:c>
      <x:c r="F193" s="14" t="str"/>
      <x:c r="G193" s="14" t="str">
        <x:v>Lifestyle</x:v>
      </x:c>
      <x:c r="H193" s="14" t="str"/>
      <x:c r="I193" s="14" t="str">
        <x:v>Detail</x:v>
      </x:c>
      <x:c r="J193" s="14" t="str"/>
      <x:c r="K193" s="14" t="str">
        <x:v>Scale</x:v>
      </x:c>
      <x:c r="L193" s="14" t="str"/>
      <x:c r="M193" s="14" t="str">
        <x:v>Alternate</x:v>
      </x:c>
      <x:c r="N193" s="14" t="n">
        <x:f>IF(E193&lt;&gt;"",1,0)+IF(F193&lt;&gt;"",1,0)+IF(H193&lt;&gt;"",1,0)+IF(J193&lt;&gt;"",1,0)+IF(L193&lt;&gt;"",1,0)</x:f>
        <x:v>1</x:v>
      </x:c>
      <x:c r="O193" s="14" t="str">
        <x:f>IF(E193="","MISSING MAIN",IF(N193=1,"MAIN ONLY","MULTI-PHOTO"))</x:f>
        <x:v>MAIN ONLY</x:v>
      </x:c>
      <x:c r="P193" s="14" t="str">
        <x:v>0220_</x:v>
      </x:c>
      <x:c r="Q193" s="14" t="str">
        <x:v>https://mb1advancedsolutions.github.io/mb1-catalog/index.html?design=0220</x:v>
      </x:c>
      <x:c r="R193" s="14" t="str"/>
    </x:row>
    <x:row r="194">
      <x:c r="A194" s="13" t="str">
        <x:v>MB1-0221</x:v>
      </x:c>
      <x:c r="B194" s="13" t="str">
        <x:v>MB1-0221</x:v>
      </x:c>
      <x:c r="C194" s="14" t="str">
        <x:v>COMPASS 10</x:v>
      </x:c>
      <x:c r="D194" s="14" t="str">
        <x:v>lake house and nautical</x:v>
      </x:c>
      <x:c r="E194" s="14" t="str">
        <x:v>https://res.cloudinary.com/oxygre42/image/upload/f_auto,q_auto,c_pad,b_white,w_1200,h_1200/v1788349106/0221_COMPASS_10.png</x:v>
      </x:c>
      <x:c r="F194" s="14" t="str"/>
      <x:c r="G194" s="14" t="str">
        <x:v>Lifestyle</x:v>
      </x:c>
      <x:c r="H194" s="14" t="str"/>
      <x:c r="I194" s="14" t="str">
        <x:v>Detail</x:v>
      </x:c>
      <x:c r="J194" s="14" t="str"/>
      <x:c r="K194" s="14" t="str">
        <x:v>Scale</x:v>
      </x:c>
      <x:c r="L194" s="14" t="str"/>
      <x:c r="M194" s="14" t="str">
        <x:v>Alternate</x:v>
      </x:c>
      <x:c r="N194" s="14" t="n">
        <x:f>IF(E194&lt;&gt;"",1,0)+IF(F194&lt;&gt;"",1,0)+IF(H194&lt;&gt;"",1,0)+IF(J194&lt;&gt;"",1,0)+IF(L194&lt;&gt;"",1,0)</x:f>
        <x:v>1</x:v>
      </x:c>
      <x:c r="O194" s="14" t="str">
        <x:f>IF(E194="","MISSING MAIN",IF(N194=1,"MAIN ONLY","MULTI-PHOTO"))</x:f>
        <x:v>MAIN ONLY</x:v>
      </x:c>
      <x:c r="P194" s="14" t="str">
        <x:v>0221_</x:v>
      </x:c>
      <x:c r="Q194" s="14" t="str">
        <x:v>https://mb1advancedsolutions.github.io/mb1-catalog/index.html?design=0221</x:v>
      </x:c>
      <x:c r="R194" s="14" t="str"/>
    </x:row>
    <x:row r="195">
      <x:c r="A195" s="13" t="str">
        <x:v>MB1-0222</x:v>
      </x:c>
      <x:c r="B195" s="13" t="str">
        <x:v>MB1-0222</x:v>
      </x:c>
      <x:c r="C195" s="14" t="str">
        <x:v>COMPASS 11</x:v>
      </x:c>
      <x:c r="D195" s="14" t="str">
        <x:v>lake house and nautical</x:v>
      </x:c>
      <x:c r="E195" s="14" t="str">
        <x:v>https://res.cloudinary.com/oxygre42/image/upload/f_auto,q_auto,c_pad,b_white,w_1200,h_1200/v1788349108/0222_COMPASS_11.png</x:v>
      </x:c>
      <x:c r="F195" s="14" t="str"/>
      <x:c r="G195" s="14" t="str">
        <x:v>Lifestyle</x:v>
      </x:c>
      <x:c r="H195" s="14" t="str"/>
      <x:c r="I195" s="14" t="str">
        <x:v>Detail</x:v>
      </x:c>
      <x:c r="J195" s="14" t="str"/>
      <x:c r="K195" s="14" t="str">
        <x:v>Scale</x:v>
      </x:c>
      <x:c r="L195" s="14" t="str"/>
      <x:c r="M195" s="14" t="str">
        <x:v>Alternate</x:v>
      </x:c>
      <x:c r="N195" s="14" t="n">
        <x:f>IF(E195&lt;&gt;"",1,0)+IF(F195&lt;&gt;"",1,0)+IF(H195&lt;&gt;"",1,0)+IF(J195&lt;&gt;"",1,0)+IF(L195&lt;&gt;"",1,0)</x:f>
        <x:v>1</x:v>
      </x:c>
      <x:c r="O195" s="14" t="str">
        <x:f>IF(E195="","MISSING MAIN",IF(N195=1,"MAIN ONLY","MULTI-PHOTO"))</x:f>
        <x:v>MAIN ONLY</x:v>
      </x:c>
      <x:c r="P195" s="14" t="str">
        <x:v>0222_</x:v>
      </x:c>
      <x:c r="Q195" s="14" t="str">
        <x:v>https://mb1advancedsolutions.github.io/mb1-catalog/index.html?design=0222</x:v>
      </x:c>
      <x:c r="R195" s="14" t="str"/>
    </x:row>
    <x:row r="196">
      <x:c r="A196" s="13" t="str">
        <x:v>MB1-0223</x:v>
      </x:c>
      <x:c r="B196" s="13" t="str">
        <x:v>MB1-0223</x:v>
      </x:c>
      <x:c r="C196" s="14" t="str">
        <x:v>COMPASS 12</x:v>
      </x:c>
      <x:c r="D196" s="14" t="str">
        <x:v>lake house and nautical</x:v>
      </x:c>
      <x:c r="E196" s="14" t="str">
        <x:v>https://res.cloudinary.com/oxygre42/image/upload/f_auto,q_auto,c_pad,b_white,w_1200,h_1200/v1788349110/0223_COMPASS_12.png</x:v>
      </x:c>
      <x:c r="F196" s="14" t="str"/>
      <x:c r="G196" s="14" t="str">
        <x:v>Lifestyle</x:v>
      </x:c>
      <x:c r="H196" s="14" t="str"/>
      <x:c r="I196" s="14" t="str">
        <x:v>Detail</x:v>
      </x:c>
      <x:c r="J196" s="14" t="str"/>
      <x:c r="K196" s="14" t="str">
        <x:v>Scale</x:v>
      </x:c>
      <x:c r="L196" s="14" t="str"/>
      <x:c r="M196" s="14" t="str">
        <x:v>Alternate</x:v>
      </x:c>
      <x:c r="N196" s="14" t="n">
        <x:f>IF(E196&lt;&gt;"",1,0)+IF(F196&lt;&gt;"",1,0)+IF(H196&lt;&gt;"",1,0)+IF(J196&lt;&gt;"",1,0)+IF(L196&lt;&gt;"",1,0)</x:f>
        <x:v>1</x:v>
      </x:c>
      <x:c r="O196" s="14" t="str">
        <x:f>IF(E196="","MISSING MAIN",IF(N196=1,"MAIN ONLY","MULTI-PHOTO"))</x:f>
        <x:v>MAIN ONLY</x:v>
      </x:c>
      <x:c r="P196" s="14" t="str">
        <x:v>0223_</x:v>
      </x:c>
      <x:c r="Q196" s="14" t="str">
        <x:v>https://mb1advancedsolutions.github.io/mb1-catalog/index.html?design=0223</x:v>
      </x:c>
      <x:c r="R196" s="14" t="str"/>
    </x:row>
    <x:row r="197">
      <x:c r="A197" s="13" t="str">
        <x:v>MB1-0224</x:v>
      </x:c>
      <x:c r="B197" s="13" t="str">
        <x:v>MB1-0224</x:v>
      </x:c>
      <x:c r="C197" s="14" t="str">
        <x:v>COMPASS 13</x:v>
      </x:c>
      <x:c r="D197" s="14" t="str">
        <x:v>lake house and nautical</x:v>
      </x:c>
      <x:c r="E197" s="14" t="str">
        <x:v>https://res.cloudinary.com/oxygre42/image/upload/f_auto,q_auto,c_pad,b_white,w_1200,h_1200/v1788349112/0224_COMPASS_13.png</x:v>
      </x:c>
      <x:c r="F197" s="14" t="str"/>
      <x:c r="G197" s="14" t="str">
        <x:v>Lifestyle</x:v>
      </x:c>
      <x:c r="H197" s="14" t="str"/>
      <x:c r="I197" s="14" t="str">
        <x:v>Detail</x:v>
      </x:c>
      <x:c r="J197" s="14" t="str"/>
      <x:c r="K197" s="14" t="str">
        <x:v>Scale</x:v>
      </x:c>
      <x:c r="L197" s="14" t="str"/>
      <x:c r="M197" s="14" t="str">
        <x:v>Alternate</x:v>
      </x:c>
      <x:c r="N197" s="14" t="n">
        <x:f>IF(E197&lt;&gt;"",1,0)+IF(F197&lt;&gt;"",1,0)+IF(H197&lt;&gt;"",1,0)+IF(J197&lt;&gt;"",1,0)+IF(L197&lt;&gt;"",1,0)</x:f>
        <x:v>1</x:v>
      </x:c>
      <x:c r="O197" s="14" t="str">
        <x:f>IF(E197="","MISSING MAIN",IF(N197=1,"MAIN ONLY","MULTI-PHOTO"))</x:f>
        <x:v>MAIN ONLY</x:v>
      </x:c>
      <x:c r="P197" s="14" t="str">
        <x:v>0224_</x:v>
      </x:c>
      <x:c r="Q197" s="14" t="str">
        <x:v>https://mb1advancedsolutions.github.io/mb1-catalog/index.html?design=0224</x:v>
      </x:c>
      <x:c r="R197" s="14" t="str"/>
    </x:row>
    <x:row r="198">
      <x:c r="A198" s="13" t="str">
        <x:v>MB1-0225</x:v>
      </x:c>
      <x:c r="B198" s="13" t="str">
        <x:v>MB1-0225</x:v>
      </x:c>
      <x:c r="C198" s="14" t="str">
        <x:v>COMPASS 14</x:v>
      </x:c>
      <x:c r="D198" s="14" t="str">
        <x:v>lake house and nautical</x:v>
      </x:c>
      <x:c r="E198" s="14" t="str">
        <x:v>https://res.cloudinary.com/oxygre42/image/upload/f_auto,q_auto,c_pad,b_white,w_1200,h_1200/v1788349114/0225_COMPASS_14.png</x:v>
      </x:c>
      <x:c r="F198" s="14" t="str"/>
      <x:c r="G198" s="14" t="str">
        <x:v>Lifestyle</x:v>
      </x:c>
      <x:c r="H198" s="14" t="str"/>
      <x:c r="I198" s="14" t="str">
        <x:v>Detail</x:v>
      </x:c>
      <x:c r="J198" s="14" t="str"/>
      <x:c r="K198" s="14" t="str">
        <x:v>Scale</x:v>
      </x:c>
      <x:c r="L198" s="14" t="str"/>
      <x:c r="M198" s="14" t="str">
        <x:v>Alternate</x:v>
      </x:c>
      <x:c r="N198" s="14" t="n">
        <x:f>IF(E198&lt;&gt;"",1,0)+IF(F198&lt;&gt;"",1,0)+IF(H198&lt;&gt;"",1,0)+IF(J198&lt;&gt;"",1,0)+IF(L198&lt;&gt;"",1,0)</x:f>
        <x:v>1</x:v>
      </x:c>
      <x:c r="O198" s="14" t="str">
        <x:f>IF(E198="","MISSING MAIN",IF(N198=1,"MAIN ONLY","MULTI-PHOTO"))</x:f>
        <x:v>MAIN ONLY</x:v>
      </x:c>
      <x:c r="P198" s="14" t="str">
        <x:v>0225_</x:v>
      </x:c>
      <x:c r="Q198" s="14" t="str">
        <x:v>https://mb1advancedsolutions.github.io/mb1-catalog/index.html?design=0225</x:v>
      </x:c>
      <x:c r="R198" s="14" t="str"/>
    </x:row>
    <x:row r="199">
      <x:c r="A199" s="13" t="str">
        <x:v>MB1-0226</x:v>
      </x:c>
      <x:c r="B199" s="13" t="str">
        <x:v>MB1-0226</x:v>
      </x:c>
      <x:c r="C199" s="14" t="str">
        <x:v>COMPASS 15</x:v>
      </x:c>
      <x:c r="D199" s="14" t="str">
        <x:v>lake house and nautical</x:v>
      </x:c>
      <x:c r="E199" s="14" t="str">
        <x:v>https://res.cloudinary.com/oxygre42/image/upload/f_auto,q_auto,c_pad,b_white,w_1200,h_1200/v1788349116/0226_COMPASS_15.png</x:v>
      </x:c>
      <x:c r="F199" s="14" t="str"/>
      <x:c r="G199" s="14" t="str">
        <x:v>Lifestyle</x:v>
      </x:c>
      <x:c r="H199" s="14" t="str"/>
      <x:c r="I199" s="14" t="str">
        <x:v>Detail</x:v>
      </x:c>
      <x:c r="J199" s="14" t="str"/>
      <x:c r="K199" s="14" t="str">
        <x:v>Scale</x:v>
      </x:c>
      <x:c r="L199" s="14" t="str"/>
      <x:c r="M199" s="14" t="str">
        <x:v>Alternate</x:v>
      </x:c>
      <x:c r="N199" s="14" t="n">
        <x:f>IF(E199&lt;&gt;"",1,0)+IF(F199&lt;&gt;"",1,0)+IF(H199&lt;&gt;"",1,0)+IF(J199&lt;&gt;"",1,0)+IF(L199&lt;&gt;"",1,0)</x:f>
        <x:v>1</x:v>
      </x:c>
      <x:c r="O199" s="14" t="str">
        <x:f>IF(E199="","MISSING MAIN",IF(N199=1,"MAIN ONLY","MULTI-PHOTO"))</x:f>
        <x:v>MAIN ONLY</x:v>
      </x:c>
      <x:c r="P199" s="14" t="str">
        <x:v>0226_</x:v>
      </x:c>
      <x:c r="Q199" s="14" t="str">
        <x:v>https://mb1advancedsolutions.github.io/mb1-catalog/index.html?design=0226</x:v>
      </x:c>
      <x:c r="R199" s="14" t="str"/>
    </x:row>
    <x:row r="200">
      <x:c r="A200" s="13" t="str">
        <x:v>MB1-0227</x:v>
      </x:c>
      <x:c r="B200" s="13" t="str">
        <x:v>MB1-0227</x:v>
      </x:c>
      <x:c r="C200" s="14" t="str">
        <x:v>COMPASS 16</x:v>
      </x:c>
      <x:c r="D200" s="14" t="str">
        <x:v>lake house and nautical</x:v>
      </x:c>
      <x:c r="E200" s="14" t="str">
        <x:v>https://res.cloudinary.com/oxygre42/image/upload/f_auto,q_auto,c_pad,b_white,w_1200,h_1200/v1788349118/0227_COMPASS_16.png</x:v>
      </x:c>
      <x:c r="F200" s="14" t="str"/>
      <x:c r="G200" s="14" t="str">
        <x:v>Lifestyle</x:v>
      </x:c>
      <x:c r="H200" s="14" t="str"/>
      <x:c r="I200" s="14" t="str">
        <x:v>Detail</x:v>
      </x:c>
      <x:c r="J200" s="14" t="str"/>
      <x:c r="K200" s="14" t="str">
        <x:v>Scale</x:v>
      </x:c>
      <x:c r="L200" s="14" t="str"/>
      <x:c r="M200" s="14" t="str">
        <x:v>Alternate</x:v>
      </x:c>
      <x:c r="N200" s="14" t="n">
        <x:f>IF(E200&lt;&gt;"",1,0)+IF(F200&lt;&gt;"",1,0)+IF(H200&lt;&gt;"",1,0)+IF(J200&lt;&gt;"",1,0)+IF(L200&lt;&gt;"",1,0)</x:f>
        <x:v>1</x:v>
      </x:c>
      <x:c r="O200" s="14" t="str">
        <x:f>IF(E200="","MISSING MAIN",IF(N200=1,"MAIN ONLY","MULTI-PHOTO"))</x:f>
        <x:v>MAIN ONLY</x:v>
      </x:c>
      <x:c r="P200" s="14" t="str">
        <x:v>0227_</x:v>
      </x:c>
      <x:c r="Q200" s="14" t="str">
        <x:v>https://mb1advancedsolutions.github.io/mb1-catalog/index.html?design=0227</x:v>
      </x:c>
      <x:c r="R200" s="14" t="str"/>
    </x:row>
    <x:row r="201">
      <x:c r="A201" s="13" t="str">
        <x:v>MB1-0228</x:v>
      </x:c>
      <x:c r="B201" s="13" t="str">
        <x:v>MB1-0228</x:v>
      </x:c>
      <x:c r="C201" s="14" t="str">
        <x:v>COMPASS 17</x:v>
      </x:c>
      <x:c r="D201" s="14" t="str">
        <x:v>lake house and nautical</x:v>
      </x:c>
      <x:c r="E201" s="14" t="str">
        <x:v>https://res.cloudinary.com/oxygre42/image/upload/f_auto,q_auto,c_pad,b_white,w_1200,h_1200/v1788349120/0228_COMPASS_17.png</x:v>
      </x:c>
      <x:c r="F201" s="14" t="str"/>
      <x:c r="G201" s="14" t="str">
        <x:v>Lifestyle</x:v>
      </x:c>
      <x:c r="H201" s="14" t="str"/>
      <x:c r="I201" s="14" t="str">
        <x:v>Detail</x:v>
      </x:c>
      <x:c r="J201" s="14" t="str"/>
      <x:c r="K201" s="14" t="str">
        <x:v>Scale</x:v>
      </x:c>
      <x:c r="L201" s="14" t="str"/>
      <x:c r="M201" s="14" t="str">
        <x:v>Alternate</x:v>
      </x:c>
      <x:c r="N201" s="14" t="n">
        <x:f>IF(E201&lt;&gt;"",1,0)+IF(F201&lt;&gt;"",1,0)+IF(H201&lt;&gt;"",1,0)+IF(J201&lt;&gt;"",1,0)+IF(L201&lt;&gt;"",1,0)</x:f>
        <x:v>1</x:v>
      </x:c>
      <x:c r="O201" s="14" t="str">
        <x:f>IF(E201="","MISSING MAIN",IF(N201=1,"MAIN ONLY","MULTI-PHOTO"))</x:f>
        <x:v>MAIN ONLY</x:v>
      </x:c>
      <x:c r="P201" s="14" t="str">
        <x:v>0228_</x:v>
      </x:c>
      <x:c r="Q201" s="14" t="str">
        <x:v>https://mb1advancedsolutions.github.io/mb1-catalog/index.html?design=0228</x:v>
      </x:c>
      <x:c r="R201" s="14" t="str"/>
    </x:row>
    <x:row r="202">
      <x:c r="A202" s="13" t="str">
        <x:v>MB1-0229</x:v>
      </x:c>
      <x:c r="B202" s="13" t="str">
        <x:v>MB1-0229</x:v>
      </x:c>
      <x:c r="C202" s="14" t="str">
        <x:v>COMPASS 18</x:v>
      </x:c>
      <x:c r="D202" s="14" t="str">
        <x:v>lake house and nautical</x:v>
      </x:c>
      <x:c r="E202" s="14" t="str">
        <x:v>https://res.cloudinary.com/oxygre42/image/upload/f_auto,q_auto,c_pad,b_white,w_1200,h_1200/v1788349122/0229_COMPASS_18.png</x:v>
      </x:c>
      <x:c r="F202" s="14" t="str"/>
      <x:c r="G202" s="14" t="str">
        <x:v>Lifestyle</x:v>
      </x:c>
      <x:c r="H202" s="14" t="str"/>
      <x:c r="I202" s="14" t="str">
        <x:v>Detail</x:v>
      </x:c>
      <x:c r="J202" s="14" t="str"/>
      <x:c r="K202" s="14" t="str">
        <x:v>Scale</x:v>
      </x:c>
      <x:c r="L202" s="14" t="str"/>
      <x:c r="M202" s="14" t="str">
        <x:v>Alternate</x:v>
      </x:c>
      <x:c r="N202" s="14" t="n">
        <x:f>IF(E202&lt;&gt;"",1,0)+IF(F202&lt;&gt;"",1,0)+IF(H202&lt;&gt;"",1,0)+IF(J202&lt;&gt;"",1,0)+IF(L202&lt;&gt;"",1,0)</x:f>
        <x:v>1</x:v>
      </x:c>
      <x:c r="O202" s="14" t="str">
        <x:f>IF(E202="","MISSING MAIN",IF(N202=1,"MAIN ONLY","MULTI-PHOTO"))</x:f>
        <x:v>MAIN ONLY</x:v>
      </x:c>
      <x:c r="P202" s="14" t="str">
        <x:v>0229_</x:v>
      </x:c>
      <x:c r="Q202" s="14" t="str">
        <x:v>https://mb1advancedsolutions.github.io/mb1-catalog/index.html?design=0229</x:v>
      </x:c>
      <x:c r="R202" s="14" t="str"/>
    </x:row>
    <x:row r="203">
      <x:c r="A203" s="13" t="str">
        <x:v>MB1-0230</x:v>
      </x:c>
      <x:c r="B203" s="13" t="str">
        <x:v>MB1-0230</x:v>
      </x:c>
      <x:c r="C203" s="14" t="str">
        <x:v>COMPASS 19</x:v>
      </x:c>
      <x:c r="D203" s="14" t="str">
        <x:v>lake house and nautical</x:v>
      </x:c>
      <x:c r="E203" s="14" t="str">
        <x:v>https://res.cloudinary.com/oxygre42/image/upload/f_auto,q_auto,c_pad,b_white,w_1200,h_1200/v1788349123/0230_COMPASS_19.png</x:v>
      </x:c>
      <x:c r="F203" s="14" t="str"/>
      <x:c r="G203" s="14" t="str">
        <x:v>Lifestyle</x:v>
      </x:c>
      <x:c r="H203" s="14" t="str"/>
      <x:c r="I203" s="14" t="str">
        <x:v>Detail</x:v>
      </x:c>
      <x:c r="J203" s="14" t="str"/>
      <x:c r="K203" s="14" t="str">
        <x:v>Scale</x:v>
      </x:c>
      <x:c r="L203" s="14" t="str"/>
      <x:c r="M203" s="14" t="str">
        <x:v>Alternate</x:v>
      </x:c>
      <x:c r="N203" s="14" t="n">
        <x:f>IF(E203&lt;&gt;"",1,0)+IF(F203&lt;&gt;"",1,0)+IF(H203&lt;&gt;"",1,0)+IF(J203&lt;&gt;"",1,0)+IF(L203&lt;&gt;"",1,0)</x:f>
        <x:v>1</x:v>
      </x:c>
      <x:c r="O203" s="14" t="str">
        <x:f>IF(E203="","MISSING MAIN",IF(N203=1,"MAIN ONLY","MULTI-PHOTO"))</x:f>
        <x:v>MAIN ONLY</x:v>
      </x:c>
      <x:c r="P203" s="14" t="str">
        <x:v>0230_</x:v>
      </x:c>
      <x:c r="Q203" s="14" t="str">
        <x:v>https://mb1advancedsolutions.github.io/mb1-catalog/index.html?design=0230</x:v>
      </x:c>
      <x:c r="R203" s="14" t="str"/>
    </x:row>
    <x:row r="204">
      <x:c r="A204" s="13" t="str">
        <x:v>MB1-0231</x:v>
      </x:c>
      <x:c r="B204" s="13" t="str">
        <x:v>MB1-0231</x:v>
      </x:c>
      <x:c r="C204" s="14" t="str">
        <x:v>COMPASS 2</x:v>
      </x:c>
      <x:c r="D204" s="14" t="str">
        <x:v>lake house and nautical</x:v>
      </x:c>
      <x:c r="E204" s="14" t="str">
        <x:v>https://res.cloudinary.com/oxygre42/image/upload/f_auto,q_auto,c_pad,b_white,w_1200,h_1200/v1788349125/0231_COMPASS_2.png</x:v>
      </x:c>
      <x:c r="F204" s="14" t="str"/>
      <x:c r="G204" s="14" t="str">
        <x:v>Lifestyle</x:v>
      </x:c>
      <x:c r="H204" s="14" t="str"/>
      <x:c r="I204" s="14" t="str">
        <x:v>Detail</x:v>
      </x:c>
      <x:c r="J204" s="14" t="str"/>
      <x:c r="K204" s="14" t="str">
        <x:v>Scale</x:v>
      </x:c>
      <x:c r="L204" s="14" t="str"/>
      <x:c r="M204" s="14" t="str">
        <x:v>Alternate</x:v>
      </x:c>
      <x:c r="N204" s="14" t="n">
        <x:f>IF(E204&lt;&gt;"",1,0)+IF(F204&lt;&gt;"",1,0)+IF(H204&lt;&gt;"",1,0)+IF(J204&lt;&gt;"",1,0)+IF(L204&lt;&gt;"",1,0)</x:f>
        <x:v>1</x:v>
      </x:c>
      <x:c r="O204" s="14" t="str">
        <x:f>IF(E204="","MISSING MAIN",IF(N204=1,"MAIN ONLY","MULTI-PHOTO"))</x:f>
        <x:v>MAIN ONLY</x:v>
      </x:c>
      <x:c r="P204" s="14" t="str">
        <x:v>0231_</x:v>
      </x:c>
      <x:c r="Q204" s="14" t="str">
        <x:v>https://mb1advancedsolutions.github.io/mb1-catalog/index.html?design=0231</x:v>
      </x:c>
      <x:c r="R204" s="14" t="str"/>
    </x:row>
    <x:row r="205">
      <x:c r="A205" s="13" t="str">
        <x:v>MB1-0232</x:v>
      </x:c>
      <x:c r="B205" s="13" t="str">
        <x:v>MB1-0232</x:v>
      </x:c>
      <x:c r="C205" s="14" t="str">
        <x:v>COMPASS 20</x:v>
      </x:c>
      <x:c r="D205" s="14" t="str">
        <x:v>lake house and nautical</x:v>
      </x:c>
      <x:c r="E205" s="14" t="str">
        <x:v>https://res.cloudinary.com/oxygre42/image/upload/f_auto,q_auto,c_pad,b_white,w_1200,h_1200/v1788349128/0232_COMPASS_20.png</x:v>
      </x:c>
      <x:c r="F205" s="14" t="str"/>
      <x:c r="G205" s="14" t="str">
        <x:v>Lifestyle</x:v>
      </x:c>
      <x:c r="H205" s="14" t="str"/>
      <x:c r="I205" s="14" t="str">
        <x:v>Detail</x:v>
      </x:c>
      <x:c r="J205" s="14" t="str"/>
      <x:c r="K205" s="14" t="str">
        <x:v>Scale</x:v>
      </x:c>
      <x:c r="L205" s="14" t="str"/>
      <x:c r="M205" s="14" t="str">
        <x:v>Alternate</x:v>
      </x:c>
      <x:c r="N205" s="14" t="n">
        <x:f>IF(E205&lt;&gt;"",1,0)+IF(F205&lt;&gt;"",1,0)+IF(H205&lt;&gt;"",1,0)+IF(J205&lt;&gt;"",1,0)+IF(L205&lt;&gt;"",1,0)</x:f>
        <x:v>1</x:v>
      </x:c>
      <x:c r="O205" s="14" t="str">
        <x:f>IF(E205="","MISSING MAIN",IF(N205=1,"MAIN ONLY","MULTI-PHOTO"))</x:f>
        <x:v>MAIN ONLY</x:v>
      </x:c>
      <x:c r="P205" s="14" t="str">
        <x:v>0232_</x:v>
      </x:c>
      <x:c r="Q205" s="14" t="str">
        <x:v>https://mb1advancedsolutions.github.io/mb1-catalog/index.html?design=0232</x:v>
      </x:c>
      <x:c r="R205" s="14" t="str"/>
    </x:row>
    <x:row r="206">
      <x:c r="A206" s="13" t="str">
        <x:v>MB1-0233</x:v>
      </x:c>
      <x:c r="B206" s="13" t="str">
        <x:v>MB1-0233</x:v>
      </x:c>
      <x:c r="C206" s="14" t="str">
        <x:v>COMPASS 3</x:v>
      </x:c>
      <x:c r="D206" s="14" t="str">
        <x:v>lake house and nautical</x:v>
      </x:c>
      <x:c r="E206" s="14" t="str">
        <x:v>https://res.cloudinary.com/oxygre42/image/upload/f_auto,q_auto,c_pad,b_white,w_1200,h_1200/v1788349129/0233_COMPASS_3.png</x:v>
      </x:c>
      <x:c r="F206" s="14" t="str"/>
      <x:c r="G206" s="14" t="str">
        <x:v>Lifestyle</x:v>
      </x:c>
      <x:c r="H206" s="14" t="str"/>
      <x:c r="I206" s="14" t="str">
        <x:v>Detail</x:v>
      </x:c>
      <x:c r="J206" s="14" t="str"/>
      <x:c r="K206" s="14" t="str">
        <x:v>Scale</x:v>
      </x:c>
      <x:c r="L206" s="14" t="str"/>
      <x:c r="M206" s="14" t="str">
        <x:v>Alternate</x:v>
      </x:c>
      <x:c r="N206" s="14" t="n">
        <x:f>IF(E206&lt;&gt;"",1,0)+IF(F206&lt;&gt;"",1,0)+IF(H206&lt;&gt;"",1,0)+IF(J206&lt;&gt;"",1,0)+IF(L206&lt;&gt;"",1,0)</x:f>
        <x:v>1</x:v>
      </x:c>
      <x:c r="O206" s="14" t="str">
        <x:f>IF(E206="","MISSING MAIN",IF(N206=1,"MAIN ONLY","MULTI-PHOTO"))</x:f>
        <x:v>MAIN ONLY</x:v>
      </x:c>
      <x:c r="P206" s="14" t="str">
        <x:v>0233_</x:v>
      </x:c>
      <x:c r="Q206" s="14" t="str">
        <x:v>https://mb1advancedsolutions.github.io/mb1-catalog/index.html?design=0233</x:v>
      </x:c>
      <x:c r="R206" s="14" t="str"/>
    </x:row>
    <x:row r="207">
      <x:c r="A207" s="13" t="str">
        <x:v>MB1-0234</x:v>
      </x:c>
      <x:c r="B207" s="13" t="str">
        <x:v>MB1-0234</x:v>
      </x:c>
      <x:c r="C207" s="14" t="str">
        <x:v>COMPASS 4</x:v>
      </x:c>
      <x:c r="D207" s="14" t="str">
        <x:v>lake house and nautical</x:v>
      </x:c>
      <x:c r="E207" s="14" t="str">
        <x:v>https://res.cloudinary.com/oxygre42/image/upload/f_auto,q_auto,c_pad,b_white,w_1200,h_1200/v1788349131/0234_COMPASS_4.png</x:v>
      </x:c>
      <x:c r="F207" s="14" t="str"/>
      <x:c r="G207" s="14" t="str">
        <x:v>Lifestyle</x:v>
      </x:c>
      <x:c r="H207" s="14" t="str"/>
      <x:c r="I207" s="14" t="str">
        <x:v>Detail</x:v>
      </x:c>
      <x:c r="J207" s="14" t="str"/>
      <x:c r="K207" s="14" t="str">
        <x:v>Scale</x:v>
      </x:c>
      <x:c r="L207" s="14" t="str"/>
      <x:c r="M207" s="14" t="str">
        <x:v>Alternate</x:v>
      </x:c>
      <x:c r="N207" s="14" t="n">
        <x:f>IF(E207&lt;&gt;"",1,0)+IF(F207&lt;&gt;"",1,0)+IF(H207&lt;&gt;"",1,0)+IF(J207&lt;&gt;"",1,0)+IF(L207&lt;&gt;"",1,0)</x:f>
        <x:v>1</x:v>
      </x:c>
      <x:c r="O207" s="14" t="str">
        <x:f>IF(E207="","MISSING MAIN",IF(N207=1,"MAIN ONLY","MULTI-PHOTO"))</x:f>
        <x:v>MAIN ONLY</x:v>
      </x:c>
      <x:c r="P207" s="14" t="str">
        <x:v>0234_</x:v>
      </x:c>
      <x:c r="Q207" s="14" t="str">
        <x:v>https://mb1advancedsolutions.github.io/mb1-catalog/index.html?design=0234</x:v>
      </x:c>
      <x:c r="R207" s="14" t="str"/>
    </x:row>
    <x:row r="208">
      <x:c r="A208" s="13" t="str">
        <x:v>MB1-0235</x:v>
      </x:c>
      <x:c r="B208" s="13" t="str">
        <x:v>MB1-0235</x:v>
      </x:c>
      <x:c r="C208" s="14" t="str">
        <x:v>COMPASS 5</x:v>
      </x:c>
      <x:c r="D208" s="14" t="str">
        <x:v>lake house and nautical</x:v>
      </x:c>
      <x:c r="E208" s="14" t="str">
        <x:v>https://res.cloudinary.com/oxygre42/image/upload/f_auto,q_auto,c_pad,b_white,w_1200,h_1200/v1788349133/0235_COMPASS_5.png</x:v>
      </x:c>
      <x:c r="F208" s="14" t="str"/>
      <x:c r="G208" s="14" t="str">
        <x:v>Lifestyle</x:v>
      </x:c>
      <x:c r="H208" s="14" t="str"/>
      <x:c r="I208" s="14" t="str">
        <x:v>Detail</x:v>
      </x:c>
      <x:c r="J208" s="14" t="str"/>
      <x:c r="K208" s="14" t="str">
        <x:v>Scale</x:v>
      </x:c>
      <x:c r="L208" s="14" t="str"/>
      <x:c r="M208" s="14" t="str">
        <x:v>Alternate</x:v>
      </x:c>
      <x:c r="N208" s="14" t="n">
        <x:f>IF(E208&lt;&gt;"",1,0)+IF(F208&lt;&gt;"",1,0)+IF(H208&lt;&gt;"",1,0)+IF(J208&lt;&gt;"",1,0)+IF(L208&lt;&gt;"",1,0)</x:f>
        <x:v>1</x:v>
      </x:c>
      <x:c r="O208" s="14" t="str">
        <x:f>IF(E208="","MISSING MAIN",IF(N208=1,"MAIN ONLY","MULTI-PHOTO"))</x:f>
        <x:v>MAIN ONLY</x:v>
      </x:c>
      <x:c r="P208" s="14" t="str">
        <x:v>0235_</x:v>
      </x:c>
      <x:c r="Q208" s="14" t="str">
        <x:v>https://mb1advancedsolutions.github.io/mb1-catalog/index.html?design=0235</x:v>
      </x:c>
      <x:c r="R208" s="14" t="str"/>
    </x:row>
    <x:row r="209">
      <x:c r="A209" s="13" t="str">
        <x:v>MB1-0236</x:v>
      </x:c>
      <x:c r="B209" s="13" t="str">
        <x:v>MB1-0236</x:v>
      </x:c>
      <x:c r="C209" s="14" t="str">
        <x:v>COMPASS 6</x:v>
      </x:c>
      <x:c r="D209" s="14" t="str">
        <x:v>lake house and nautical</x:v>
      </x:c>
      <x:c r="E209" s="14" t="str">
        <x:v>https://res.cloudinary.com/oxygre42/image/upload/f_auto,q_auto,c_pad,b_white,w_1200,h_1200/v1788349135/0236_COMPASS_6.png</x:v>
      </x:c>
      <x:c r="F209" s="14" t="str"/>
      <x:c r="G209" s="14" t="str">
        <x:v>Lifestyle</x:v>
      </x:c>
      <x:c r="H209" s="14" t="str"/>
      <x:c r="I209" s="14" t="str">
        <x:v>Detail</x:v>
      </x:c>
      <x:c r="J209" s="14" t="str"/>
      <x:c r="K209" s="14" t="str">
        <x:v>Scale</x:v>
      </x:c>
      <x:c r="L209" s="14" t="str"/>
      <x:c r="M209" s="14" t="str">
        <x:v>Alternate</x:v>
      </x:c>
      <x:c r="N209" s="14" t="n">
        <x:f>IF(E209&lt;&gt;"",1,0)+IF(F209&lt;&gt;"",1,0)+IF(H209&lt;&gt;"",1,0)+IF(J209&lt;&gt;"",1,0)+IF(L209&lt;&gt;"",1,0)</x:f>
        <x:v>1</x:v>
      </x:c>
      <x:c r="O209" s="14" t="str">
        <x:f>IF(E209="","MISSING MAIN",IF(N209=1,"MAIN ONLY","MULTI-PHOTO"))</x:f>
        <x:v>MAIN ONLY</x:v>
      </x:c>
      <x:c r="P209" s="14" t="str">
        <x:v>0236_</x:v>
      </x:c>
      <x:c r="Q209" s="14" t="str">
        <x:v>https://mb1advancedsolutions.github.io/mb1-catalog/index.html?design=0236</x:v>
      </x:c>
      <x:c r="R209" s="14" t="str"/>
    </x:row>
    <x:row r="210">
      <x:c r="A210" s="13" t="str">
        <x:v>MB1-0237</x:v>
      </x:c>
      <x:c r="B210" s="13" t="str">
        <x:v>MB1-0237</x:v>
      </x:c>
      <x:c r="C210" s="14" t="str">
        <x:v>COMPASS 7</x:v>
      </x:c>
      <x:c r="D210" s="14" t="str">
        <x:v>lake house and nautical</x:v>
      </x:c>
      <x:c r="E210" s="14" t="str">
        <x:v>https://res.cloudinary.com/oxygre42/image/upload/f_auto,q_auto,c_pad,b_white,w_1200,h_1200/v1788349137/0237_COMPASS_7.png</x:v>
      </x:c>
      <x:c r="F210" s="14" t="str"/>
      <x:c r="G210" s="14" t="str">
        <x:v>Lifestyle</x:v>
      </x:c>
      <x:c r="H210" s="14" t="str"/>
      <x:c r="I210" s="14" t="str">
        <x:v>Detail</x:v>
      </x:c>
      <x:c r="J210" s="14" t="str"/>
      <x:c r="K210" s="14" t="str">
        <x:v>Scale</x:v>
      </x:c>
      <x:c r="L210" s="14" t="str"/>
      <x:c r="M210" s="14" t="str">
        <x:v>Alternate</x:v>
      </x:c>
      <x:c r="N210" s="14" t="n">
        <x:f>IF(E210&lt;&gt;"",1,0)+IF(F210&lt;&gt;"",1,0)+IF(H210&lt;&gt;"",1,0)+IF(J210&lt;&gt;"",1,0)+IF(L210&lt;&gt;"",1,0)</x:f>
        <x:v>1</x:v>
      </x:c>
      <x:c r="O210" s="14" t="str">
        <x:f>IF(E210="","MISSING MAIN",IF(N210=1,"MAIN ONLY","MULTI-PHOTO"))</x:f>
        <x:v>MAIN ONLY</x:v>
      </x:c>
      <x:c r="P210" s="14" t="str">
        <x:v>0237_</x:v>
      </x:c>
      <x:c r="Q210" s="14" t="str">
        <x:v>https://mb1advancedsolutions.github.io/mb1-catalog/index.html?design=0237</x:v>
      </x:c>
      <x:c r="R210" s="14" t="str"/>
    </x:row>
    <x:row r="211">
      <x:c r="A211" s="13" t="str">
        <x:v>MB1-0238</x:v>
      </x:c>
      <x:c r="B211" s="13" t="str">
        <x:v>MB1-0238</x:v>
      </x:c>
      <x:c r="C211" s="14" t="str">
        <x:v>COMPASS 8</x:v>
      </x:c>
      <x:c r="D211" s="14" t="str">
        <x:v>lake house and nautical</x:v>
      </x:c>
      <x:c r="E211" s="14" t="str">
        <x:v>https://res.cloudinary.com/oxygre42/image/upload/f_auto,q_auto,c_pad,b_white,w_1200,h_1200/v1788349139/0238_COMPASS_8.png</x:v>
      </x:c>
      <x:c r="F211" s="14" t="str"/>
      <x:c r="G211" s="14" t="str">
        <x:v>Lifestyle</x:v>
      </x:c>
      <x:c r="H211" s="14" t="str"/>
      <x:c r="I211" s="14" t="str">
        <x:v>Detail</x:v>
      </x:c>
      <x:c r="J211" s="14" t="str"/>
      <x:c r="K211" s="14" t="str">
        <x:v>Scale</x:v>
      </x:c>
      <x:c r="L211" s="14" t="str"/>
      <x:c r="M211" s="14" t="str">
        <x:v>Alternate</x:v>
      </x:c>
      <x:c r="N211" s="14" t="n">
        <x:f>IF(E211&lt;&gt;"",1,0)+IF(F211&lt;&gt;"",1,0)+IF(H211&lt;&gt;"",1,0)+IF(J211&lt;&gt;"",1,0)+IF(L211&lt;&gt;"",1,0)</x:f>
        <x:v>1</x:v>
      </x:c>
      <x:c r="O211" s="14" t="str">
        <x:f>IF(E211="","MISSING MAIN",IF(N211=1,"MAIN ONLY","MULTI-PHOTO"))</x:f>
        <x:v>MAIN ONLY</x:v>
      </x:c>
      <x:c r="P211" s="14" t="str">
        <x:v>0238_</x:v>
      </x:c>
      <x:c r="Q211" s="14" t="str">
        <x:v>https://mb1advancedsolutions.github.io/mb1-catalog/index.html?design=0238</x:v>
      </x:c>
      <x:c r="R211" s="14" t="str"/>
    </x:row>
    <x:row r="212">
      <x:c r="A212" s="13" t="str">
        <x:v>MB1-0239</x:v>
      </x:c>
      <x:c r="B212" s="13" t="str">
        <x:v>MB1-0239</x:v>
      </x:c>
      <x:c r="C212" s="14" t="str">
        <x:v>COMPASS 9</x:v>
      </x:c>
      <x:c r="D212" s="14" t="str">
        <x:v>lake house and nautical</x:v>
      </x:c>
      <x:c r="E212" s="14" t="str">
        <x:v>https://res.cloudinary.com/oxygre42/image/upload/f_auto,q_auto,c_pad,b_white,w_1200,h_1200/v1788349141/0239_COMPASS_9.png</x:v>
      </x:c>
      <x:c r="F212" s="14" t="str"/>
      <x:c r="G212" s="14" t="str">
        <x:v>Lifestyle</x:v>
      </x:c>
      <x:c r="H212" s="14" t="str"/>
      <x:c r="I212" s="14" t="str">
        <x:v>Detail</x:v>
      </x:c>
      <x:c r="J212" s="14" t="str"/>
      <x:c r="K212" s="14" t="str">
        <x:v>Scale</x:v>
      </x:c>
      <x:c r="L212" s="14" t="str"/>
      <x:c r="M212" s="14" t="str">
        <x:v>Alternate</x:v>
      </x:c>
      <x:c r="N212" s="14" t="n">
        <x:f>IF(E212&lt;&gt;"",1,0)+IF(F212&lt;&gt;"",1,0)+IF(H212&lt;&gt;"",1,0)+IF(J212&lt;&gt;"",1,0)+IF(L212&lt;&gt;"",1,0)</x:f>
        <x:v>1</x:v>
      </x:c>
      <x:c r="O212" s="14" t="str">
        <x:f>IF(E212="","MISSING MAIN",IF(N212=1,"MAIN ONLY","MULTI-PHOTO"))</x:f>
        <x:v>MAIN ONLY</x:v>
      </x:c>
      <x:c r="P212" s="14" t="str">
        <x:v>0239_</x:v>
      </x:c>
      <x:c r="Q212" s="14" t="str">
        <x:v>https://mb1advancedsolutions.github.io/mb1-catalog/index.html?design=0239</x:v>
      </x:c>
      <x:c r="R212" s="14" t="str"/>
    </x:row>
    <x:row r="213">
      <x:c r="A213" s="13" t="str">
        <x:v>MB1-0240</x:v>
      </x:c>
      <x:c r="B213" s="13" t="str">
        <x:v>MB1-0240</x:v>
      </x:c>
      <x:c r="C213" s="14" t="str">
        <x:v>Compass Anchor</x:v>
      </x:c>
      <x:c r="D213" s="14" t="str">
        <x:v>lake house and nautical</x:v>
      </x:c>
      <x:c r="E213" s="14" t="str">
        <x:v>https://res.cloudinary.com/oxygre42/image/upload/f_auto,q_auto,c_pad,b_white,w_1200,h_1200/v1788349142/0240_Compass_Anchor.png</x:v>
      </x:c>
      <x:c r="F213" s="14" t="str"/>
      <x:c r="G213" s="14" t="str">
        <x:v>Lifestyle</x:v>
      </x:c>
      <x:c r="H213" s="14" t="str"/>
      <x:c r="I213" s="14" t="str">
        <x:v>Detail</x:v>
      </x:c>
      <x:c r="J213" s="14" t="str"/>
      <x:c r="K213" s="14" t="str">
        <x:v>Scale</x:v>
      </x:c>
      <x:c r="L213" s="14" t="str"/>
      <x:c r="M213" s="14" t="str">
        <x:v>Alternate</x:v>
      </x:c>
      <x:c r="N213" s="14" t="n">
        <x:f>IF(E213&lt;&gt;"",1,0)+IF(F213&lt;&gt;"",1,0)+IF(H213&lt;&gt;"",1,0)+IF(J213&lt;&gt;"",1,0)+IF(L213&lt;&gt;"",1,0)</x:f>
        <x:v>1</x:v>
      </x:c>
      <x:c r="O213" s="14" t="str">
        <x:f>IF(E213="","MISSING MAIN",IF(N213=1,"MAIN ONLY","MULTI-PHOTO"))</x:f>
        <x:v>MAIN ONLY</x:v>
      </x:c>
      <x:c r="P213" s="14" t="str">
        <x:v>0240_</x:v>
      </x:c>
      <x:c r="Q213" s="14" t="str">
        <x:v>https://mb1advancedsolutions.github.io/mb1-catalog/index.html?design=0240</x:v>
      </x:c>
      <x:c r="R213" s="14" t="str"/>
    </x:row>
    <x:row r="214">
      <x:c r="A214" s="13" t="str">
        <x:v>MB1-0241</x:v>
      </x:c>
      <x:c r="B214" s="13" t="str">
        <x:v>MB1-0241</x:v>
      </x:c>
      <x:c r="C214" s="14" t="str">
        <x:v>Compass Bear</x:v>
      </x:c>
      <x:c r="D214" s="14" t="str">
        <x:v>lake house and nautical</x:v>
      </x:c>
      <x:c r="E214" s="14" t="str">
        <x:v>https://res.cloudinary.com/oxygre42/image/upload/f_auto,q_auto,c_pad,b_white,w_1200,h_1200/v1788349144/0241_Compass_Bear.png</x:v>
      </x:c>
      <x:c r="F214" s="14" t="str"/>
      <x:c r="G214" s="14" t="str">
        <x:v>Lifestyle</x:v>
      </x:c>
      <x:c r="H214" s="14" t="str"/>
      <x:c r="I214" s="14" t="str">
        <x:v>Detail</x:v>
      </x:c>
      <x:c r="J214" s="14" t="str"/>
      <x:c r="K214" s="14" t="str">
        <x:v>Scale</x:v>
      </x:c>
      <x:c r="L214" s="14" t="str"/>
      <x:c r="M214" s="14" t="str">
        <x:v>Alternate</x:v>
      </x:c>
      <x:c r="N214" s="14" t="n">
        <x:f>IF(E214&lt;&gt;"",1,0)+IF(F214&lt;&gt;"",1,0)+IF(H214&lt;&gt;"",1,0)+IF(J214&lt;&gt;"",1,0)+IF(L214&lt;&gt;"",1,0)</x:f>
        <x:v>1</x:v>
      </x:c>
      <x:c r="O214" s="14" t="str">
        <x:f>IF(E214="","MISSING MAIN",IF(N214=1,"MAIN ONLY","MULTI-PHOTO"))</x:f>
        <x:v>MAIN ONLY</x:v>
      </x:c>
      <x:c r="P214" s="14" t="str">
        <x:v>0241_</x:v>
      </x:c>
      <x:c r="Q214" s="14" t="str">
        <x:v>https://mb1advancedsolutions.github.io/mb1-catalog/index.html?design=0241</x:v>
      </x:c>
      <x:c r="R214" s="14" t="str"/>
    </x:row>
    <x:row r="215">
      <x:c r="A215" s="13" t="str">
        <x:v>MB1-0242</x:v>
      </x:c>
      <x:c r="B215" s="13" t="str">
        <x:v>MB1-0242</x:v>
      </x:c>
      <x:c r="C215" s="14" t="str">
        <x:v>Compass Deer</x:v>
      </x:c>
      <x:c r="D215" s="14" t="str">
        <x:v>lake house and nautical</x:v>
      </x:c>
      <x:c r="E215" s="14" t="str">
        <x:v>https://res.cloudinary.com/oxygre42/image/upload/f_auto,q_auto,c_pad,b_white,w_1200,h_1200/v1788349146/0242_Compass_Deer.png</x:v>
      </x:c>
      <x:c r="F215" s="14" t="str"/>
      <x:c r="G215" s="14" t="str">
        <x:v>Lifestyle</x:v>
      </x:c>
      <x:c r="H215" s="14" t="str"/>
      <x:c r="I215" s="14" t="str">
        <x:v>Detail</x:v>
      </x:c>
      <x:c r="J215" s="14" t="str"/>
      <x:c r="K215" s="14" t="str">
        <x:v>Scale</x:v>
      </x:c>
      <x:c r="L215" s="14" t="str"/>
      <x:c r="M215" s="14" t="str">
        <x:v>Alternate</x:v>
      </x:c>
      <x:c r="N215" s="14" t="n">
        <x:f>IF(E215&lt;&gt;"",1,0)+IF(F215&lt;&gt;"",1,0)+IF(H215&lt;&gt;"",1,0)+IF(J215&lt;&gt;"",1,0)+IF(L215&lt;&gt;"",1,0)</x:f>
        <x:v>1</x:v>
      </x:c>
      <x:c r="O215" s="14" t="str">
        <x:f>IF(E215="","MISSING MAIN",IF(N215=1,"MAIN ONLY","MULTI-PHOTO"))</x:f>
        <x:v>MAIN ONLY</x:v>
      </x:c>
      <x:c r="P215" s="14" t="str">
        <x:v>0242_</x:v>
      </x:c>
      <x:c r="Q215" s="14" t="str">
        <x:v>https://mb1advancedsolutions.github.io/mb1-catalog/index.html?design=0242</x:v>
      </x:c>
      <x:c r="R215" s="14" t="str"/>
    </x:row>
    <x:row r="216">
      <x:c r="A216" s="13" t="str">
        <x:v>MB1-0243</x:v>
      </x:c>
      <x:c r="B216" s="13" t="str">
        <x:v>MB1-0243</x:v>
      </x:c>
      <x:c r="C216" s="14" t="str">
        <x:v>Compass Elk</x:v>
      </x:c>
      <x:c r="D216" s="14" t="str">
        <x:v>lake house and nautical</x:v>
      </x:c>
      <x:c r="E216" s="14" t="str">
        <x:v>https://res.cloudinary.com/oxygre42/image/upload/f_auto,q_auto,c_pad,b_white,w_1200,h_1200/v1788349148/0243_Compass_Elk.png</x:v>
      </x:c>
      <x:c r="F216" s="14" t="str"/>
      <x:c r="G216" s="14" t="str">
        <x:v>Lifestyle</x:v>
      </x:c>
      <x:c r="H216" s="14" t="str"/>
      <x:c r="I216" s="14" t="str">
        <x:v>Detail</x:v>
      </x:c>
      <x:c r="J216" s="14" t="str"/>
      <x:c r="K216" s="14" t="str">
        <x:v>Scale</x:v>
      </x:c>
      <x:c r="L216" s="14" t="str"/>
      <x:c r="M216" s="14" t="str">
        <x:v>Alternate</x:v>
      </x:c>
      <x:c r="N216" s="14" t="n">
        <x:f>IF(E216&lt;&gt;"",1,0)+IF(F216&lt;&gt;"",1,0)+IF(H216&lt;&gt;"",1,0)+IF(J216&lt;&gt;"",1,0)+IF(L216&lt;&gt;"",1,0)</x:f>
        <x:v>1</x:v>
      </x:c>
      <x:c r="O216" s="14" t="str">
        <x:f>IF(E216="","MISSING MAIN",IF(N216=1,"MAIN ONLY","MULTI-PHOTO"))</x:f>
        <x:v>MAIN ONLY</x:v>
      </x:c>
      <x:c r="P216" s="14" t="str">
        <x:v>0243_</x:v>
      </x:c>
      <x:c r="Q216" s="14" t="str">
        <x:v>https://mb1advancedsolutions.github.io/mb1-catalog/index.html?design=0243</x:v>
      </x:c>
      <x:c r="R216" s="14" t="str"/>
    </x:row>
    <x:row r="217">
      <x:c r="A217" s="13" t="str">
        <x:v>MB1-0244</x:v>
      </x:c>
      <x:c r="B217" s="13" t="str">
        <x:v>MB1-0244</x:v>
      </x:c>
      <x:c r="C217" s="14" t="str">
        <x:v>Compass Fish</x:v>
      </x:c>
      <x:c r="D217" s="14" t="str">
        <x:v>lake house and nautical</x:v>
      </x:c>
      <x:c r="E217" s="14" t="str">
        <x:v>https://res.cloudinary.com/oxygre42/image/upload/f_auto,q_auto,c_pad,b_white,w_1200,h_1200/v1788349150/0244_Compass_Fish.png</x:v>
      </x:c>
      <x:c r="F217" s="14" t="str"/>
      <x:c r="G217" s="14" t="str">
        <x:v>Lifestyle</x:v>
      </x:c>
      <x:c r="H217" s="14" t="str"/>
      <x:c r="I217" s="14" t="str">
        <x:v>Detail</x:v>
      </x:c>
      <x:c r="J217" s="14" t="str"/>
      <x:c r="K217" s="14" t="str">
        <x:v>Scale</x:v>
      </x:c>
      <x:c r="L217" s="14" t="str"/>
      <x:c r="M217" s="14" t="str">
        <x:v>Alternate</x:v>
      </x:c>
      <x:c r="N217" s="14" t="n">
        <x:f>IF(E217&lt;&gt;"",1,0)+IF(F217&lt;&gt;"",1,0)+IF(H217&lt;&gt;"",1,0)+IF(J217&lt;&gt;"",1,0)+IF(L217&lt;&gt;"",1,0)</x:f>
        <x:v>1</x:v>
      </x:c>
      <x:c r="O217" s="14" t="str">
        <x:f>IF(E217="","MISSING MAIN",IF(N217=1,"MAIN ONLY","MULTI-PHOTO"))</x:f>
        <x:v>MAIN ONLY</x:v>
      </x:c>
      <x:c r="P217" s="14" t="str">
        <x:v>0244_</x:v>
      </x:c>
      <x:c r="Q217" s="14" t="str">
        <x:v>https://mb1advancedsolutions.github.io/mb1-catalog/index.html?design=0244</x:v>
      </x:c>
      <x:c r="R217" s="14" t="str"/>
    </x:row>
    <x:row r="218">
      <x:c r="A218" s="13" t="str">
        <x:v>MB1-0245</x:v>
      </x:c>
      <x:c r="B218" s="13" t="str">
        <x:v>MB1-0245</x:v>
      </x:c>
      <x:c r="C218" s="14" t="str">
        <x:v>Compass Hunter Dog</x:v>
      </x:c>
      <x:c r="D218" s="14" t="str">
        <x:v>sports and hobbies</x:v>
      </x:c>
      <x:c r="E218" s="14" t="str">
        <x:v>https://res.cloudinary.com/oxygre42/image/upload/f_auto,q_auto,c_pad,b_white,w_1200,h_1200/v1788349153/0245_Compass_Hunter_Dog.png</x:v>
      </x:c>
      <x:c r="F218" s="14" t="str"/>
      <x:c r="G218" s="14" t="str">
        <x:v>Lifestyle</x:v>
      </x:c>
      <x:c r="H218" s="14" t="str"/>
      <x:c r="I218" s="14" t="str">
        <x:v>Detail</x:v>
      </x:c>
      <x:c r="J218" s="14" t="str"/>
      <x:c r="K218" s="14" t="str">
        <x:v>Scale</x:v>
      </x:c>
      <x:c r="L218" s="14" t="str"/>
      <x:c r="M218" s="14" t="str">
        <x:v>Alternate</x:v>
      </x:c>
      <x:c r="N218" s="14" t="n">
        <x:f>IF(E218&lt;&gt;"",1,0)+IF(F218&lt;&gt;"",1,0)+IF(H218&lt;&gt;"",1,0)+IF(J218&lt;&gt;"",1,0)+IF(L218&lt;&gt;"",1,0)</x:f>
        <x:v>1</x:v>
      </x:c>
      <x:c r="O218" s="14" t="str">
        <x:f>IF(E218="","MISSING MAIN",IF(N218=1,"MAIN ONLY","MULTI-PHOTO"))</x:f>
        <x:v>MAIN ONLY</x:v>
      </x:c>
      <x:c r="P218" s="14" t="str">
        <x:v>0245_</x:v>
      </x:c>
      <x:c r="Q218" s="14" t="str">
        <x:v>https://mb1advancedsolutions.github.io/mb1-catalog/index.html?design=0245</x:v>
      </x:c>
      <x:c r="R218" s="14" t="str"/>
    </x:row>
    <x:row r="219">
      <x:c r="A219" s="13" t="str">
        <x:v>MB1-0246</x:v>
      </x:c>
      <x:c r="B219" s="13" t="str">
        <x:v>MB1-0246</x:v>
      </x:c>
      <x:c r="C219" s="14" t="str">
        <x:v>Compass Hunter Pheaseant</x:v>
      </x:c>
      <x:c r="D219" s="14" t="str">
        <x:v>sports and hobbies</x:v>
      </x:c>
      <x:c r="E219" s="14" t="str">
        <x:v>https://res.cloudinary.com/oxygre42/image/upload/f_auto,q_auto,c_pad,b_white,w_1200,h_1200/v1788349154/0246_Compass_Hunter_Pheaseant.png</x:v>
      </x:c>
      <x:c r="F219" s="14" t="str"/>
      <x:c r="G219" s="14" t="str">
        <x:v>Lifestyle</x:v>
      </x:c>
      <x:c r="H219" s="14" t="str"/>
      <x:c r="I219" s="14" t="str">
        <x:v>Detail</x:v>
      </x:c>
      <x:c r="J219" s="14" t="str"/>
      <x:c r="K219" s="14" t="str">
        <x:v>Scale</x:v>
      </x:c>
      <x:c r="L219" s="14" t="str"/>
      <x:c r="M219" s="14" t="str">
        <x:v>Alternate</x:v>
      </x:c>
      <x:c r="N219" s="14" t="n">
        <x:f>IF(E219&lt;&gt;"",1,0)+IF(F219&lt;&gt;"",1,0)+IF(H219&lt;&gt;"",1,0)+IF(J219&lt;&gt;"",1,0)+IF(L219&lt;&gt;"",1,0)</x:f>
        <x:v>1</x:v>
      </x:c>
      <x:c r="O219" s="14" t="str">
        <x:f>IF(E219="","MISSING MAIN",IF(N219=1,"MAIN ONLY","MULTI-PHOTO"))</x:f>
        <x:v>MAIN ONLY</x:v>
      </x:c>
      <x:c r="P219" s="14" t="str">
        <x:v>0246_</x:v>
      </x:c>
      <x:c r="Q219" s="14" t="str">
        <x:v>https://mb1advancedsolutions.github.io/mb1-catalog/index.html?design=0246</x:v>
      </x:c>
      <x:c r="R219" s="14" t="str"/>
    </x:row>
    <x:row r="220">
      <x:c r="A220" s="13" t="str">
        <x:v>MB1-0247</x:v>
      </x:c>
      <x:c r="B220" s="13" t="str">
        <x:v>MB1-0247</x:v>
      </x:c>
      <x:c r="C220" s="14" t="str">
        <x:v>Compass Sign</x:v>
      </x:c>
      <x:c r="D220" s="14" t="str">
        <x:v>lake house and nautical</x:v>
      </x:c>
      <x:c r="E220" s="14" t="str">
        <x:v>https://res.cloudinary.com/oxygre42/image/upload/f_auto,q_auto,c_pad,b_white,w_1200,h_1200/v1788349157/0247_Compass_Sign.png</x:v>
      </x:c>
      <x:c r="F220" s="14" t="str"/>
      <x:c r="G220" s="14" t="str">
        <x:v>Lifestyle</x:v>
      </x:c>
      <x:c r="H220" s="14" t="str"/>
      <x:c r="I220" s="14" t="str">
        <x:v>Detail</x:v>
      </x:c>
      <x:c r="J220" s="14" t="str"/>
      <x:c r="K220" s="14" t="str">
        <x:v>Scale</x:v>
      </x:c>
      <x:c r="L220" s="14" t="str"/>
      <x:c r="M220" s="14" t="str">
        <x:v>Alternate</x:v>
      </x:c>
      <x:c r="N220" s="14" t="n">
        <x:f>IF(E220&lt;&gt;"",1,0)+IF(F220&lt;&gt;"",1,0)+IF(H220&lt;&gt;"",1,0)+IF(J220&lt;&gt;"",1,0)+IF(L220&lt;&gt;"",1,0)</x:f>
        <x:v>1</x:v>
      </x:c>
      <x:c r="O220" s="14" t="str">
        <x:f>IF(E220="","MISSING MAIN",IF(N220=1,"MAIN ONLY","MULTI-PHOTO"))</x:f>
        <x:v>MAIN ONLY</x:v>
      </x:c>
      <x:c r="P220" s="14" t="str">
        <x:v>0247_</x:v>
      </x:c>
      <x:c r="Q220" s="14" t="str">
        <x:v>https://mb1advancedsolutions.github.io/mb1-catalog/index.html?design=0247</x:v>
      </x:c>
      <x:c r="R220" s="14" t="str"/>
    </x:row>
    <x:row r="221">
      <x:c r="A221" s="13" t="str">
        <x:v>MB1-0248</x:v>
      </x:c>
      <x:c r="B221" s="13" t="str">
        <x:v>MB1-0248</x:v>
      </x:c>
      <x:c r="C221" s="14" t="str">
        <x:v>Compass Wolves</x:v>
      </x:c>
      <x:c r="D221" s="14" t="str">
        <x:v>lake house and nautical</x:v>
      </x:c>
      <x:c r="E221" s="14" t="str">
        <x:v>https://res.cloudinary.com/oxygre42/image/upload/f_auto,q_auto,c_pad,b_white,w_1200,h_1200/v1788349157/0248_Compass_Wolves.png</x:v>
      </x:c>
      <x:c r="F221" s="14" t="str"/>
      <x:c r="G221" s="14" t="str">
        <x:v>Lifestyle</x:v>
      </x:c>
      <x:c r="H221" s="14" t="str"/>
      <x:c r="I221" s="14" t="str">
        <x:v>Detail</x:v>
      </x:c>
      <x:c r="J221" s="14" t="str"/>
      <x:c r="K221" s="14" t="str">
        <x:v>Scale</x:v>
      </x:c>
      <x:c r="L221" s="14" t="str"/>
      <x:c r="M221" s="14" t="str">
        <x:v>Alternate</x:v>
      </x:c>
      <x:c r="N221" s="14" t="n">
        <x:f>IF(E221&lt;&gt;"",1,0)+IF(F221&lt;&gt;"",1,0)+IF(H221&lt;&gt;"",1,0)+IF(J221&lt;&gt;"",1,0)+IF(L221&lt;&gt;"",1,0)</x:f>
        <x:v>1</x:v>
      </x:c>
      <x:c r="O221" s="14" t="str">
        <x:f>IF(E221="","MISSING MAIN",IF(N221=1,"MAIN ONLY","MULTI-PHOTO"))</x:f>
        <x:v>MAIN ONLY</x:v>
      </x:c>
      <x:c r="P221" s="14" t="str">
        <x:v>0248_</x:v>
      </x:c>
      <x:c r="Q221" s="14" t="str">
        <x:v>https://mb1advancedsolutions.github.io/mb1-catalog/index.html?design=0248</x:v>
      </x:c>
      <x:c r="R221" s="14" t="str"/>
    </x:row>
    <x:row r="222">
      <x:c r="A222" s="13" t="str">
        <x:v>MB1-0249</x:v>
      </x:c>
      <x:c r="B222" s="13" t="str">
        <x:v>MB1-0249</x:v>
      </x:c>
      <x:c r="C222" s="14" t="str">
        <x:v>Earth Compass model 24 inch compact</x:v>
      </x:c>
      <x:c r="D222" s="14" t="str">
        <x:v>lake house and nautical</x:v>
      </x:c>
      <x:c r="E222" s="14" t="str">
        <x:v>https://res.cloudinary.com/oxygre42/image/upload/f_auto,q_auto,c_pad,b_white,w_1200,h_1200/v1788349159/0249_Earth_Compass_model_24_inch_compact.png</x:v>
      </x:c>
      <x:c r="F222" s="14" t="str"/>
      <x:c r="G222" s="14" t="str">
        <x:v>Lifestyle</x:v>
      </x:c>
      <x:c r="H222" s="14" t="str"/>
      <x:c r="I222" s="14" t="str">
        <x:v>Detail</x:v>
      </x:c>
      <x:c r="J222" s="14" t="str"/>
      <x:c r="K222" s="14" t="str">
        <x:v>Scale</x:v>
      </x:c>
      <x:c r="L222" s="14" t="str"/>
      <x:c r="M222" s="14" t="str">
        <x:v>Alternate</x:v>
      </x:c>
      <x:c r="N222" s="14" t="n">
        <x:f>IF(E222&lt;&gt;"",1,0)+IF(F222&lt;&gt;"",1,0)+IF(H222&lt;&gt;"",1,0)+IF(J222&lt;&gt;"",1,0)+IF(L222&lt;&gt;"",1,0)</x:f>
        <x:v>1</x:v>
      </x:c>
      <x:c r="O222" s="14" t="str">
        <x:f>IF(E222="","MISSING MAIN",IF(N222=1,"MAIN ONLY","MULTI-PHOTO"))</x:f>
        <x:v>MAIN ONLY</x:v>
      </x:c>
      <x:c r="P222" s="14" t="str">
        <x:v>0249_</x:v>
      </x:c>
      <x:c r="Q222" s="14" t="str">
        <x:v>https://mb1advancedsolutions.github.io/mb1-catalog/index.html?design=0249</x:v>
      </x:c>
      <x:c r="R222" s="14" t="str"/>
    </x:row>
    <x:row r="223">
      <x:c r="A223" s="13" t="str">
        <x:v>MB1-0250</x:v>
      </x:c>
      <x:c r="B223" s="13" t="str">
        <x:v>MB1-0250</x:v>
      </x:c>
      <x:c r="C223" s="14" t="str">
        <x:v>Earth Compass model 24 inch</x:v>
      </x:c>
      <x:c r="D223" s="14" t="str">
        <x:v>lake house and nautical</x:v>
      </x:c>
      <x:c r="E223" s="14" t="str">
        <x:v>https://res.cloudinary.com/oxygre42/image/upload/f_auto,q_auto,c_pad,b_white,w_1200,h_1200/v1788349161/0250_Earth_Compass_model_24_inch.png</x:v>
      </x:c>
      <x:c r="F223" s="14" t="str"/>
      <x:c r="G223" s="14" t="str">
        <x:v>Lifestyle</x:v>
      </x:c>
      <x:c r="H223" s="14" t="str"/>
      <x:c r="I223" s="14" t="str">
        <x:v>Detail</x:v>
      </x:c>
      <x:c r="J223" s="14" t="str"/>
      <x:c r="K223" s="14" t="str">
        <x:v>Scale</x:v>
      </x:c>
      <x:c r="L223" s="14" t="str"/>
      <x:c r="M223" s="14" t="str">
        <x:v>Alternate</x:v>
      </x:c>
      <x:c r="N223" s="14" t="n">
        <x:f>IF(E223&lt;&gt;"",1,0)+IF(F223&lt;&gt;"",1,0)+IF(H223&lt;&gt;"",1,0)+IF(J223&lt;&gt;"",1,0)+IF(L223&lt;&gt;"",1,0)</x:f>
        <x:v>1</x:v>
      </x:c>
      <x:c r="O223" s="14" t="str">
        <x:f>IF(E223="","MISSING MAIN",IF(N223=1,"MAIN ONLY","MULTI-PHOTO"))</x:f>
        <x:v>MAIN ONLY</x:v>
      </x:c>
      <x:c r="P223" s="14" t="str">
        <x:v>0250_</x:v>
      </x:c>
      <x:c r="Q223" s="14" t="str">
        <x:v>https://mb1advancedsolutions.github.io/mb1-catalog/index.html?design=0250</x:v>
      </x:c>
      <x:c r="R223" s="14" t="str"/>
    </x:row>
    <x:row r="224">
      <x:c r="A224" s="13" t="str">
        <x:v>MB1-0251</x:v>
      </x:c>
      <x:c r="B224" s="13" t="str">
        <x:v>MB1-0251</x:v>
      </x:c>
      <x:c r="C224" s="14" t="str">
        <x:v>compass globe</x:v>
      </x:c>
      <x:c r="D224" s="14" t="str">
        <x:v>lake house and nautical</x:v>
      </x:c>
      <x:c r="E224" s="14" t="str">
        <x:v>https://res.cloudinary.com/oxygre42/image/upload/f_auto,q_auto,c_pad,b_white,w_1200,h_1200/v1788349163/0251_compass_globe.png</x:v>
      </x:c>
      <x:c r="F224" s="14" t="str"/>
      <x:c r="G224" s="14" t="str">
        <x:v>Lifestyle</x:v>
      </x:c>
      <x:c r="H224" s="14" t="str"/>
      <x:c r="I224" s="14" t="str">
        <x:v>Detail</x:v>
      </x:c>
      <x:c r="J224" s="14" t="str"/>
      <x:c r="K224" s="14" t="str">
        <x:v>Scale</x:v>
      </x:c>
      <x:c r="L224" s="14" t="str"/>
      <x:c r="M224" s="14" t="str">
        <x:v>Alternate</x:v>
      </x:c>
      <x:c r="N224" s="14" t="n">
        <x:f>IF(E224&lt;&gt;"",1,0)+IF(F224&lt;&gt;"",1,0)+IF(H224&lt;&gt;"",1,0)+IF(J224&lt;&gt;"",1,0)+IF(L224&lt;&gt;"",1,0)</x:f>
        <x:v>1</x:v>
      </x:c>
      <x:c r="O224" s="14" t="str">
        <x:f>IF(E224="","MISSING MAIN",IF(N224=1,"MAIN ONLY","MULTI-PHOTO"))</x:f>
        <x:v>MAIN ONLY</x:v>
      </x:c>
      <x:c r="P224" s="14" t="str">
        <x:v>0251_</x:v>
      </x:c>
      <x:c r="Q224" s="14" t="str">
        <x:v>https://mb1advancedsolutions.github.io/mb1-catalog/index.html?design=0251</x:v>
      </x:c>
      <x:c r="R224" s="14" t="str"/>
    </x:row>
    <x:row r="225">
      <x:c r="A225" s="13" t="str">
        <x:v>MB1-0252</x:v>
      </x:c>
      <x:c r="B225" s="13" t="str">
        <x:v>MB1-0252</x:v>
      </x:c>
      <x:c r="C225" s="14" t="str">
        <x:v>compass love is a journey</x:v>
      </x:c>
      <x:c r="D225" s="14" t="str">
        <x:v>lake house and nautical</x:v>
      </x:c>
      <x:c r="E225" s="14" t="str">
        <x:v>https://res.cloudinary.com/oxygre42/image/upload/f_auto,q_auto,c_pad,b_white,w_1200,h_1200/v1788349165/0252_compass_love_is_a_journey.png</x:v>
      </x:c>
      <x:c r="F225" s="14" t="str"/>
      <x:c r="G225" s="14" t="str">
        <x:v>Lifestyle</x:v>
      </x:c>
      <x:c r="H225" s="14" t="str"/>
      <x:c r="I225" s="14" t="str">
        <x:v>Detail</x:v>
      </x:c>
      <x:c r="J225" s="14" t="str"/>
      <x:c r="K225" s="14" t="str">
        <x:v>Scale</x:v>
      </x:c>
      <x:c r="L225" s="14" t="str"/>
      <x:c r="M225" s="14" t="str">
        <x:v>Alternate</x:v>
      </x:c>
      <x:c r="N225" s="14" t="n">
        <x:f>IF(E225&lt;&gt;"",1,0)+IF(F225&lt;&gt;"",1,0)+IF(H225&lt;&gt;"",1,0)+IF(J225&lt;&gt;"",1,0)+IF(L225&lt;&gt;"",1,0)</x:f>
        <x:v>1</x:v>
      </x:c>
      <x:c r="O225" s="14" t="str">
        <x:f>IF(E225="","MISSING MAIN",IF(N225=1,"MAIN ONLY","MULTI-PHOTO"))</x:f>
        <x:v>MAIN ONLY</x:v>
      </x:c>
      <x:c r="P225" s="14" t="str">
        <x:v>0252_</x:v>
      </x:c>
      <x:c r="Q225" s="14" t="str">
        <x:v>https://mb1advancedsolutions.github.io/mb1-catalog/index.html?design=0252</x:v>
      </x:c>
      <x:c r="R225" s="14" t="str"/>
    </x:row>
    <x:row r="226">
      <x:c r="A226" s="13" t="str">
        <x:v>MB1-0253</x:v>
      </x:c>
      <x:c r="B226" s="13" t="str">
        <x:v>MB1-0253</x:v>
      </x:c>
      <x:c r="C226" s="14" t="str">
        <x:v>Apple Pie Rev</x:v>
      </x:c>
      <x:c r="D226" s="14" t="str">
        <x:v>home decor and inspirational</x:v>
      </x:c>
      <x:c r="E226" s="14" t="str">
        <x:v>https://res.cloudinary.com/oxygre42/image/upload/f_auto,q_auto,c_pad,b_white,w_1200,h_1200/v1788349167/0253_Apple_Pie_Rev.png</x:v>
      </x:c>
      <x:c r="F226" s="14" t="str"/>
      <x:c r="G226" s="14" t="str">
        <x:v>Lifestyle</x:v>
      </x:c>
      <x:c r="H226" s="14" t="str"/>
      <x:c r="I226" s="14" t="str">
        <x:v>Detail</x:v>
      </x:c>
      <x:c r="J226" s="14" t="str"/>
      <x:c r="K226" s="14" t="str">
        <x:v>Scale</x:v>
      </x:c>
      <x:c r="L226" s="14" t="str"/>
      <x:c r="M226" s="14" t="str">
        <x:v>Alternate</x:v>
      </x:c>
      <x:c r="N226" s="14" t="n">
        <x:f>IF(E226&lt;&gt;"",1,0)+IF(F226&lt;&gt;"",1,0)+IF(H226&lt;&gt;"",1,0)+IF(J226&lt;&gt;"",1,0)+IF(L226&lt;&gt;"",1,0)</x:f>
        <x:v>1</x:v>
      </x:c>
      <x:c r="O226" s="14" t="str">
        <x:f>IF(E226="","MISSING MAIN",IF(N226=1,"MAIN ONLY","MULTI-PHOTO"))</x:f>
        <x:v>MAIN ONLY</x:v>
      </x:c>
      <x:c r="P226" s="14" t="str">
        <x:v>0253_</x:v>
      </x:c>
      <x:c r="Q226" s="14" t="str">
        <x:v>https://mb1advancedsolutions.github.io/mb1-catalog/index.html?design=0253</x:v>
      </x:c>
      <x:c r="R226" s="14" t="str"/>
    </x:row>
    <x:row r="227">
      <x:c r="A227" s="13" t="str">
        <x:v>MB1-0254</x:v>
      </x:c>
      <x:c r="B227" s="13" t="str">
        <x:v>MB1-0254</x:v>
      </x:c>
      <x:c r="C227" s="14" t="str">
        <x:v>Corn liquor Rev</x:v>
      </x:c>
      <x:c r="D227" s="14" t="str">
        <x:v>home decor and inspirational</x:v>
      </x:c>
      <x:c r="E227" s="14" t="str">
        <x:v>https://res.cloudinary.com/oxygre42/image/upload/f_auto,q_auto,c_pad,b_white,w_1200,h_1200/v1788349169/0254_Corn_liquor_Rev.png</x:v>
      </x:c>
      <x:c r="F227" s="14" t="str"/>
      <x:c r="G227" s="14" t="str">
        <x:v>Lifestyle</x:v>
      </x:c>
      <x:c r="H227" s="14" t="str"/>
      <x:c r="I227" s="14" t="str">
        <x:v>Detail</x:v>
      </x:c>
      <x:c r="J227" s="14" t="str"/>
      <x:c r="K227" s="14" t="str">
        <x:v>Scale</x:v>
      </x:c>
      <x:c r="L227" s="14" t="str"/>
      <x:c r="M227" s="14" t="str">
        <x:v>Alternate</x:v>
      </x:c>
      <x:c r="N227" s="14" t="n">
        <x:f>IF(E227&lt;&gt;"",1,0)+IF(F227&lt;&gt;"",1,0)+IF(H227&lt;&gt;"",1,0)+IF(J227&lt;&gt;"",1,0)+IF(L227&lt;&gt;"",1,0)</x:f>
        <x:v>1</x:v>
      </x:c>
      <x:c r="O227" s="14" t="str">
        <x:f>IF(E227="","MISSING MAIN",IF(N227=1,"MAIN ONLY","MULTI-PHOTO"))</x:f>
        <x:v>MAIN ONLY</x:v>
      </x:c>
      <x:c r="P227" s="14" t="str">
        <x:v>0254_</x:v>
      </x:c>
      <x:c r="Q227" s="14" t="str">
        <x:v>https://mb1advancedsolutions.github.io/mb1-catalog/index.html?design=0254</x:v>
      </x:c>
      <x:c r="R227" s="14" t="str"/>
    </x:row>
    <x:row r="228">
      <x:c r="A228" s="13" t="str">
        <x:v>MB1-0255</x:v>
      </x:c>
      <x:c r="B228" s="13" t="str">
        <x:v>MB1-0255</x:v>
      </x:c>
      <x:c r="C228" s="14" t="str">
        <x:v>Less Ugly</x:v>
      </x:c>
      <x:c r="D228" s="14" t="str">
        <x:v>home decor and inspirational</x:v>
      </x:c>
      <x:c r="E228" s="14" t="str">
        <x:v>https://res.cloudinary.com/oxygre42/image/upload/f_auto,q_auto,c_pad,b_white,w_1200,h_1200/v1788349171/0255_Less_Ugly.png</x:v>
      </x:c>
      <x:c r="F228" s="14" t="str"/>
      <x:c r="G228" s="14" t="str">
        <x:v>Lifestyle</x:v>
      </x:c>
      <x:c r="H228" s="14" t="str"/>
      <x:c r="I228" s="14" t="str">
        <x:v>Detail</x:v>
      </x:c>
      <x:c r="J228" s="14" t="str"/>
      <x:c r="K228" s="14" t="str">
        <x:v>Scale</x:v>
      </x:c>
      <x:c r="L228" s="14" t="str"/>
      <x:c r="M228" s="14" t="str">
        <x:v>Alternate</x:v>
      </x:c>
      <x:c r="N228" s="14" t="n">
        <x:f>IF(E228&lt;&gt;"",1,0)+IF(F228&lt;&gt;"",1,0)+IF(H228&lt;&gt;"",1,0)+IF(J228&lt;&gt;"",1,0)+IF(L228&lt;&gt;"",1,0)</x:f>
        <x:v>1</x:v>
      </x:c>
      <x:c r="O228" s="14" t="str">
        <x:f>IF(E228="","MISSING MAIN",IF(N228=1,"MAIN ONLY","MULTI-PHOTO"))</x:f>
        <x:v>MAIN ONLY</x:v>
      </x:c>
      <x:c r="P228" s="14" t="str">
        <x:v>0255_</x:v>
      </x:c>
      <x:c r="Q228" s="14" t="str">
        <x:v>https://mb1advancedsolutions.github.io/mb1-catalog/index.html?design=0255</x:v>
      </x:c>
      <x:c r="R228" s="14" t="str"/>
    </x:row>
    <x:row r="229">
      <x:c r="A229" s="13" t="str">
        <x:v>MB1-0256</x:v>
      </x:c>
      <x:c r="B229" s="13" t="str">
        <x:v>MB1-0256</x:v>
      </x:c>
      <x:c r="C229" s="14" t="str">
        <x:v>Luckys Bar</x:v>
      </x:c>
      <x:c r="D229" s="14" t="str">
        <x:v>sports and hobbies</x:v>
      </x:c>
      <x:c r="E229" s="14" t="str">
        <x:v>https://res.cloudinary.com/oxygre42/image/upload/f_auto,q_auto,c_pad,b_white,w_1200,h_1200/v1788349172/0256_Luckys_Bar.png</x:v>
      </x:c>
      <x:c r="F229" s="14" t="str"/>
      <x:c r="G229" s="14" t="str">
        <x:v>Lifestyle</x:v>
      </x:c>
      <x:c r="H229" s="14" t="str"/>
      <x:c r="I229" s="14" t="str">
        <x:v>Detail</x:v>
      </x:c>
      <x:c r="J229" s="14" t="str"/>
      <x:c r="K229" s="14" t="str">
        <x:v>Scale</x:v>
      </x:c>
      <x:c r="L229" s="14" t="str"/>
      <x:c r="M229" s="14" t="str">
        <x:v>Alternate</x:v>
      </x:c>
      <x:c r="N229" s="14" t="n">
        <x:f>IF(E229&lt;&gt;"",1,0)+IF(F229&lt;&gt;"",1,0)+IF(H229&lt;&gt;"",1,0)+IF(J229&lt;&gt;"",1,0)+IF(L229&lt;&gt;"",1,0)</x:f>
        <x:v>1</x:v>
      </x:c>
      <x:c r="O229" s="14" t="str">
        <x:f>IF(E229="","MISSING MAIN",IF(N229=1,"MAIN ONLY","MULTI-PHOTO"))</x:f>
        <x:v>MAIN ONLY</x:v>
      </x:c>
      <x:c r="P229" s="14" t="str">
        <x:v>0256_</x:v>
      </x:c>
      <x:c r="Q229" s="14" t="str">
        <x:v>https://mb1advancedsolutions.github.io/mb1-catalog/index.html?design=0256</x:v>
      </x:c>
      <x:c r="R229" s="14" t="str"/>
    </x:row>
    <x:row r="230">
      <x:c r="A230" s="13" t="str">
        <x:v>MB1-0257</x:v>
      </x:c>
      <x:c r="B230" s="13" t="str">
        <x:v>MB1-0257</x:v>
      </x:c>
      <x:c r="C230" s="14" t="str">
        <x:v>Pacific Northwest</x:v>
      </x:c>
      <x:c r="D230" s="14" t="str">
        <x:v>home decor and inspirational</x:v>
      </x:c>
      <x:c r="E230" s="14" t="str">
        <x:v>https://res.cloudinary.com/oxygre42/image/upload/f_auto,q_auto,c_pad,b_white,w_1200,h_1200/v1788349174/0257_Pacific_Northwest.png</x:v>
      </x:c>
      <x:c r="F230" s="14" t="str"/>
      <x:c r="G230" s="14" t="str">
        <x:v>Lifestyle</x:v>
      </x:c>
      <x:c r="H230" s="14" t="str"/>
      <x:c r="I230" s="14" t="str">
        <x:v>Detail</x:v>
      </x:c>
      <x:c r="J230" s="14" t="str"/>
      <x:c r="K230" s="14" t="str">
        <x:v>Scale</x:v>
      </x:c>
      <x:c r="L230" s="14" t="str"/>
      <x:c r="M230" s="14" t="str">
        <x:v>Alternate</x:v>
      </x:c>
      <x:c r="N230" s="14" t="n">
        <x:f>IF(E230&lt;&gt;"",1,0)+IF(F230&lt;&gt;"",1,0)+IF(H230&lt;&gt;"",1,0)+IF(J230&lt;&gt;"",1,0)+IF(L230&lt;&gt;"",1,0)</x:f>
        <x:v>1</x:v>
      </x:c>
      <x:c r="O230" s="14" t="str">
        <x:f>IF(E230="","MISSING MAIN",IF(N230=1,"MAIN ONLY","MULTI-PHOTO"))</x:f>
        <x:v>MAIN ONLY</x:v>
      </x:c>
      <x:c r="P230" s="14" t="str">
        <x:v>0257_</x:v>
      </x:c>
      <x:c r="Q230" s="14" t="str">
        <x:v>https://mb1advancedsolutions.github.io/mb1-catalog/index.html?design=0257</x:v>
      </x:c>
      <x:c r="R230" s="14" t="str"/>
    </x:row>
    <x:row r="231">
      <x:c r="A231" s="13" t="str">
        <x:v>MB1-0258</x:v>
      </x:c>
      <x:c r="B231" s="13" t="str">
        <x:v>MB1-0258</x:v>
      </x:c>
      <x:c r="C231" s="14" t="str">
        <x:v>Pinot Gris</x:v>
      </x:c>
      <x:c r="D231" s="14" t="str">
        <x:v>home decor and inspirational</x:v>
      </x:c>
      <x:c r="E231" s="14" t="str">
        <x:v>https://res.cloudinary.com/oxygre42/image/upload/f_auto,q_auto,c_pad,b_white,w_1200,h_1200/v1788349176/0258_Pinot_Gris.png</x:v>
      </x:c>
      <x:c r="F231" s="14" t="str"/>
      <x:c r="G231" s="14" t="str">
        <x:v>Lifestyle</x:v>
      </x:c>
      <x:c r="H231" s="14" t="str"/>
      <x:c r="I231" s="14" t="str">
        <x:v>Detail</x:v>
      </x:c>
      <x:c r="J231" s="14" t="str"/>
      <x:c r="K231" s="14" t="str">
        <x:v>Scale</x:v>
      </x:c>
      <x:c r="L231" s="14" t="str"/>
      <x:c r="M231" s="14" t="str">
        <x:v>Alternate</x:v>
      </x:c>
      <x:c r="N231" s="14" t="n">
        <x:f>IF(E231&lt;&gt;"",1,0)+IF(F231&lt;&gt;"",1,0)+IF(H231&lt;&gt;"",1,0)+IF(J231&lt;&gt;"",1,0)+IF(L231&lt;&gt;"",1,0)</x:f>
        <x:v>1</x:v>
      </x:c>
      <x:c r="O231" s="14" t="str">
        <x:f>IF(E231="","MISSING MAIN",IF(N231=1,"MAIN ONLY","MULTI-PHOTO"))</x:f>
        <x:v>MAIN ONLY</x:v>
      </x:c>
      <x:c r="P231" s="14" t="str">
        <x:v>0258_</x:v>
      </x:c>
      <x:c r="Q231" s="14" t="str">
        <x:v>https://mb1advancedsolutions.github.io/mb1-catalog/index.html?design=0258</x:v>
      </x:c>
      <x:c r="R231" s="14" t="str"/>
    </x:row>
    <x:row r="232">
      <x:c r="A232" s="13" t="str">
        <x:v>MB1-0259</x:v>
      </x:c>
      <x:c r="B232" s="13" t="str">
        <x:v>MB1-0259</x:v>
      </x:c>
      <x:c r="C232" s="14" t="str">
        <x:v>Wine shop Rev</x:v>
      </x:c>
      <x:c r="D232" s="14" t="str">
        <x:v>sports and hobbies</x:v>
      </x:c>
      <x:c r="E232" s="14" t="str">
        <x:v>https://res.cloudinary.com/oxygre42/image/upload/f_auto,q_auto,c_pad,b_white,w_1200,h_1200/v1788349178/0259_Wine_shop_Rev.png</x:v>
      </x:c>
      <x:c r="F232" s="14" t="str"/>
      <x:c r="G232" s="14" t="str">
        <x:v>Lifestyle</x:v>
      </x:c>
      <x:c r="H232" s="14" t="str"/>
      <x:c r="I232" s="14" t="str">
        <x:v>Detail</x:v>
      </x:c>
      <x:c r="J232" s="14" t="str"/>
      <x:c r="K232" s="14" t="str">
        <x:v>Scale</x:v>
      </x:c>
      <x:c r="L232" s="14" t="str"/>
      <x:c r="M232" s="14" t="str">
        <x:v>Alternate</x:v>
      </x:c>
      <x:c r="N232" s="14" t="n">
        <x:f>IF(E232&lt;&gt;"",1,0)+IF(F232&lt;&gt;"",1,0)+IF(H232&lt;&gt;"",1,0)+IF(J232&lt;&gt;"",1,0)+IF(L232&lt;&gt;"",1,0)</x:f>
        <x:v>1</x:v>
      </x:c>
      <x:c r="O232" s="14" t="str">
        <x:f>IF(E232="","MISSING MAIN",IF(N232=1,"MAIN ONLY","MULTI-PHOTO"))</x:f>
        <x:v>MAIN ONLY</x:v>
      </x:c>
      <x:c r="P232" s="14" t="str">
        <x:v>0259_</x:v>
      </x:c>
      <x:c r="Q232" s="14" t="str">
        <x:v>https://mb1advancedsolutions.github.io/mb1-catalog/index.html?design=0259</x:v>
      </x:c>
      <x:c r="R232" s="14" t="str"/>
    </x:row>
    <x:row r="233">
      <x:c r="A233" s="13" t="str">
        <x:v>MB1-0260</x:v>
      </x:c>
      <x:c r="B233" s="13" t="str">
        <x:v>MB1-0260</x:v>
      </x:c>
      <x:c r="C233" s="14" t="str">
        <x:v>You are the Salt</x:v>
      </x:c>
      <x:c r="D233" s="14" t="str">
        <x:v>home decor and inspirational</x:v>
      </x:c>
      <x:c r="E233" s="14" t="str">
        <x:v>https://res.cloudinary.com/oxygre42/image/upload/f_auto,q_auto,c_pad,b_white,w_1200,h_1200/v1788349180/0260_You_are_the_Salt.png</x:v>
      </x:c>
      <x:c r="F233" s="14" t="str"/>
      <x:c r="G233" s="14" t="str">
        <x:v>Lifestyle</x:v>
      </x:c>
      <x:c r="H233" s="14" t="str"/>
      <x:c r="I233" s="14" t="str">
        <x:v>Detail</x:v>
      </x:c>
      <x:c r="J233" s="14" t="str"/>
      <x:c r="K233" s="14" t="str">
        <x:v>Scale</x:v>
      </x:c>
      <x:c r="L233" s="14" t="str"/>
      <x:c r="M233" s="14" t="str">
        <x:v>Alternate</x:v>
      </x:c>
      <x:c r="N233" s="14" t="n">
        <x:f>IF(E233&lt;&gt;"",1,0)+IF(F233&lt;&gt;"",1,0)+IF(H233&lt;&gt;"",1,0)+IF(J233&lt;&gt;"",1,0)+IF(L233&lt;&gt;"",1,0)</x:f>
        <x:v>1</x:v>
      </x:c>
      <x:c r="O233" s="14" t="str">
        <x:f>IF(E233="","MISSING MAIN",IF(N233=1,"MAIN ONLY","MULTI-PHOTO"))</x:f>
        <x:v>MAIN ONLY</x:v>
      </x:c>
      <x:c r="P233" s="14" t="str">
        <x:v>0260_</x:v>
      </x:c>
      <x:c r="Q233" s="14" t="str">
        <x:v>https://mb1advancedsolutions.github.io/mb1-catalog/index.html?design=0260</x:v>
      </x:c>
      <x:c r="R233" s="14" t="str"/>
    </x:row>
    <x:row r="234">
      <x:c r="A234" s="13" t="str">
        <x:v>MB1-0261</x:v>
      </x:c>
      <x:c r="B234" s="13" t="str">
        <x:v>MB1-0261</x:v>
      </x:c>
      <x:c r="C234" s="14" t="str">
        <x:v>the Best Beer</x:v>
      </x:c>
      <x:c r="D234" s="14" t="str">
        <x:v>sports and hobbies</x:v>
      </x:c>
      <x:c r="E234" s="14" t="str">
        <x:v>https://res.cloudinary.com/oxygre42/image/upload/f_auto,q_auto,c_pad,b_white,w_1200,h_1200/v1788349182/0261_the_Best_Beer.png</x:v>
      </x:c>
      <x:c r="F234" s="14" t="str"/>
      <x:c r="G234" s="14" t="str">
        <x:v>Lifestyle</x:v>
      </x:c>
      <x:c r="H234" s="14" t="str"/>
      <x:c r="I234" s="14" t="str">
        <x:v>Detail</x:v>
      </x:c>
      <x:c r="J234" s="14" t="str"/>
      <x:c r="K234" s="14" t="str">
        <x:v>Scale</x:v>
      </x:c>
      <x:c r="L234" s="14" t="str"/>
      <x:c r="M234" s="14" t="str">
        <x:v>Alternate</x:v>
      </x:c>
      <x:c r="N234" s="14" t="n">
        <x:f>IF(E234&lt;&gt;"",1,0)+IF(F234&lt;&gt;"",1,0)+IF(H234&lt;&gt;"",1,0)+IF(J234&lt;&gt;"",1,0)+IF(L234&lt;&gt;"",1,0)</x:f>
        <x:v>1</x:v>
      </x:c>
      <x:c r="O234" s="14" t="str">
        <x:f>IF(E234="","MISSING MAIN",IF(N234=1,"MAIN ONLY","MULTI-PHOTO"))</x:f>
        <x:v>MAIN ONLY</x:v>
      </x:c>
      <x:c r="P234" s="14" t="str">
        <x:v>0261_</x:v>
      </x:c>
      <x:c r="Q234" s="14" t="str">
        <x:v>https://mb1advancedsolutions.github.io/mb1-catalog/index.html?design=0261</x:v>
      </x:c>
      <x:c r="R234" s="14" t="str"/>
    </x:row>
    <x:row r="235">
      <x:c r="A235" s="13" t="str">
        <x:v>MB1-0262</x:v>
      </x:c>
      <x:c r="B235" s="13" t="str">
        <x:v>MB1-0262</x:v>
      </x:c>
      <x:c r="C235" s="14" t="str">
        <x:v>DAD'S GARAGE</x:v>
      </x:c>
      <x:c r="D235" s="14" t="str">
        <x:v>garage and workshop</x:v>
      </x:c>
      <x:c r="E235" s="14" t="str">
        <x:v>https://res.cloudinary.com/oxygre42/image/upload/f_auto,q_auto,c_pad,b_white,w_1200,h_1200/v1788349184/0262_DAD_S_GARAGE.png</x:v>
      </x:c>
      <x:c r="F235" s="14" t="str"/>
      <x:c r="G235" s="14" t="str">
        <x:v>Lifestyle</x:v>
      </x:c>
      <x:c r="H235" s="14" t="str"/>
      <x:c r="I235" s="14" t="str">
        <x:v>Detail</x:v>
      </x:c>
      <x:c r="J235" s="14" t="str"/>
      <x:c r="K235" s="14" t="str">
        <x:v>Scale</x:v>
      </x:c>
      <x:c r="L235" s="14" t="str"/>
      <x:c r="M235" s="14" t="str">
        <x:v>Alternate</x:v>
      </x:c>
      <x:c r="N235" s="14" t="n">
        <x:f>IF(E235&lt;&gt;"",1,0)+IF(F235&lt;&gt;"",1,0)+IF(H235&lt;&gt;"",1,0)+IF(J235&lt;&gt;"",1,0)+IF(L235&lt;&gt;"",1,0)</x:f>
        <x:v>1</x:v>
      </x:c>
      <x:c r="O235" s="14" t="str">
        <x:f>IF(E235="","MISSING MAIN",IF(N235=1,"MAIN ONLY","MULTI-PHOTO"))</x:f>
        <x:v>MAIN ONLY</x:v>
      </x:c>
      <x:c r="P235" s="14" t="str">
        <x:v>0262_</x:v>
      </x:c>
      <x:c r="Q235" s="14" t="str">
        <x:v>https://mb1advancedsolutions.github.io/mb1-catalog/index.html?design=0262</x:v>
      </x:c>
      <x:c r="R235" s="14" t="str"/>
    </x:row>
    <x:row r="236">
      <x:c r="A236" s="13" t="str">
        <x:v>MB1-0263</x:v>
      </x:c>
      <x:c r="B236" s="13" t="str">
        <x:v>MB1-0263</x:v>
      </x:c>
      <x:c r="C236" s="14" t="str">
        <x:v>DAD'S HANGAR</x:v>
      </x:c>
      <x:c r="D236" s="14" t="str">
        <x:v>garage and workshop</x:v>
      </x:c>
      <x:c r="E236" s="14" t="str">
        <x:v>https://res.cloudinary.com/oxygre42/image/upload/f_auto,q_auto,c_pad,b_white,w_1200,h_1200/v1788349186/0263_DAD_S_HANGAR.png</x:v>
      </x:c>
      <x:c r="F236" s="14" t="str"/>
      <x:c r="G236" s="14" t="str">
        <x:v>Lifestyle</x:v>
      </x:c>
      <x:c r="H236" s="14" t="str"/>
      <x:c r="I236" s="14" t="str">
        <x:v>Detail</x:v>
      </x:c>
      <x:c r="J236" s="14" t="str"/>
      <x:c r="K236" s="14" t="str">
        <x:v>Scale</x:v>
      </x:c>
      <x:c r="L236" s="14" t="str"/>
      <x:c r="M236" s="14" t="str">
        <x:v>Alternate</x:v>
      </x:c>
      <x:c r="N236" s="14" t="n">
        <x:f>IF(E236&lt;&gt;"",1,0)+IF(F236&lt;&gt;"",1,0)+IF(H236&lt;&gt;"",1,0)+IF(J236&lt;&gt;"",1,0)+IF(L236&lt;&gt;"",1,0)</x:f>
        <x:v>1</x:v>
      </x:c>
      <x:c r="O236" s="14" t="str">
        <x:f>IF(E236="","MISSING MAIN",IF(N236=1,"MAIN ONLY","MULTI-PHOTO"))</x:f>
        <x:v>MAIN ONLY</x:v>
      </x:c>
      <x:c r="P236" s="14" t="str">
        <x:v>0263_</x:v>
      </x:c>
      <x:c r="Q236" s="14" t="str">
        <x:v>https://mb1advancedsolutions.github.io/mb1-catalog/index.html?design=0263</x:v>
      </x:c>
      <x:c r="R236" s="14" t="str"/>
    </x:row>
    <x:row r="237">
      <x:c r="A237" s="13" t="str">
        <x:v>MB1-0264</x:v>
      </x:c>
      <x:c r="B237" s="13" t="str">
        <x:v>MB1-0264</x:v>
      </x:c>
      <x:c r="C237" s="14" t="str">
        <x:v>DAD'S MAN CAVE</x:v>
      </x:c>
      <x:c r="D237" s="14" t="str">
        <x:v>family &amp; name</x:v>
      </x:c>
      <x:c r="E237" s="14" t="str">
        <x:v>https://res.cloudinary.com/oxygre42/image/upload/f_auto,q_auto,c_pad,b_white,w_1200,h_1200/v1788349188/0264_DAD_S_MAN_CAVE.png</x:v>
      </x:c>
      <x:c r="F237" s="14" t="str"/>
      <x:c r="G237" s="14" t="str">
        <x:v>Lifestyle</x:v>
      </x:c>
      <x:c r="H237" s="14" t="str"/>
      <x:c r="I237" s="14" t="str">
        <x:v>Detail</x:v>
      </x:c>
      <x:c r="J237" s="14" t="str"/>
      <x:c r="K237" s="14" t="str">
        <x:v>Scale</x:v>
      </x:c>
      <x:c r="L237" s="14" t="str"/>
      <x:c r="M237" s="14" t="str">
        <x:v>Alternate</x:v>
      </x:c>
      <x:c r="N237" s="14" t="n">
        <x:f>IF(E237&lt;&gt;"",1,0)+IF(F237&lt;&gt;"",1,0)+IF(H237&lt;&gt;"",1,0)+IF(J237&lt;&gt;"",1,0)+IF(L237&lt;&gt;"",1,0)</x:f>
        <x:v>1</x:v>
      </x:c>
      <x:c r="O237" s="14" t="str">
        <x:f>IF(E237="","MISSING MAIN",IF(N237=1,"MAIN ONLY","MULTI-PHOTO"))</x:f>
        <x:v>MAIN ONLY</x:v>
      </x:c>
      <x:c r="P237" s="14" t="str">
        <x:v>0264_</x:v>
      </x:c>
      <x:c r="Q237" s="14" t="str">
        <x:v>https://mb1advancedsolutions.github.io/mb1-catalog/index.html?design=0264</x:v>
      </x:c>
      <x:c r="R237" s="14" t="str"/>
    </x:row>
    <x:row r="238">
      <x:c r="A238" s="13" t="str">
        <x:v>MB1-0265</x:v>
      </x:c>
      <x:c r="B238" s="13" t="str">
        <x:v>MB1-0265</x:v>
      </x:c>
      <x:c r="C238" s="14" t="str">
        <x:v>DAD'S WORKSHOP</x:v>
      </x:c>
      <x:c r="D238" s="14" t="str">
        <x:v>garage and workshop</x:v>
      </x:c>
      <x:c r="E238" s="14" t="str">
        <x:v>https://res.cloudinary.com/oxygre42/image/upload/f_auto,q_auto,c_pad,b_white,w_1200,h_1200/v1788349189/0265_DAD_S_WORKSHOP.png</x:v>
      </x:c>
      <x:c r="F238" s="14" t="str"/>
      <x:c r="G238" s="14" t="str">
        <x:v>Lifestyle</x:v>
      </x:c>
      <x:c r="H238" s="14" t="str"/>
      <x:c r="I238" s="14" t="str">
        <x:v>Detail</x:v>
      </x:c>
      <x:c r="J238" s="14" t="str"/>
      <x:c r="K238" s="14" t="str">
        <x:v>Scale</x:v>
      </x:c>
      <x:c r="L238" s="14" t="str"/>
      <x:c r="M238" s="14" t="str">
        <x:v>Alternate</x:v>
      </x:c>
      <x:c r="N238" s="14" t="n">
        <x:f>IF(E238&lt;&gt;"",1,0)+IF(F238&lt;&gt;"",1,0)+IF(H238&lt;&gt;"",1,0)+IF(J238&lt;&gt;"",1,0)+IF(L238&lt;&gt;"",1,0)</x:f>
        <x:v>1</x:v>
      </x:c>
      <x:c r="O238" s="14" t="str">
        <x:f>IF(E238="","MISSING MAIN",IF(N238=1,"MAIN ONLY","MULTI-PHOTO"))</x:f>
        <x:v>MAIN ONLY</x:v>
      </x:c>
      <x:c r="P238" s="14" t="str">
        <x:v>0265_</x:v>
      </x:c>
      <x:c r="Q238" s="14" t="str">
        <x:v>https://mb1advancedsolutions.github.io/mb1-catalog/index.html?design=0265</x:v>
      </x:c>
      <x:c r="R238" s="14" t="str"/>
    </x:row>
    <x:row r="239">
      <x:c r="A239" s="13" t="str">
        <x:v>MB1-0266</x:v>
      </x:c>
      <x:c r="B239" s="13" t="str">
        <x:v>MB1-0266</x:v>
      </x:c>
      <x:c r="C239" s="14" t="str">
        <x:v>DAD'S GARAGE 2</x:v>
      </x:c>
      <x:c r="D239" s="14" t="str">
        <x:v>garage and workshop</x:v>
      </x:c>
      <x:c r="E239" s="14" t="str">
        <x:v>https://res.cloudinary.com/oxygre42/image/upload/f_auto,q_auto,c_pad,b_white,w_1200,h_1200/v1788349191/0266_DAD_S_GARAGE_2.png</x:v>
      </x:c>
      <x:c r="F239" s="14" t="str"/>
      <x:c r="G239" s="14" t="str">
        <x:v>Lifestyle</x:v>
      </x:c>
      <x:c r="H239" s="14" t="str"/>
      <x:c r="I239" s="14" t="str">
        <x:v>Detail</x:v>
      </x:c>
      <x:c r="J239" s="14" t="str"/>
      <x:c r="K239" s="14" t="str">
        <x:v>Scale</x:v>
      </x:c>
      <x:c r="L239" s="14" t="str"/>
      <x:c r="M239" s="14" t="str">
        <x:v>Alternate</x:v>
      </x:c>
      <x:c r="N239" s="14" t="n">
        <x:f>IF(E239&lt;&gt;"",1,0)+IF(F239&lt;&gt;"",1,0)+IF(H239&lt;&gt;"",1,0)+IF(J239&lt;&gt;"",1,0)+IF(L239&lt;&gt;"",1,0)</x:f>
        <x:v>1</x:v>
      </x:c>
      <x:c r="O239" s="14" t="str">
        <x:f>IF(E239="","MISSING MAIN",IF(N239=1,"MAIN ONLY","MULTI-PHOTO"))</x:f>
        <x:v>MAIN ONLY</x:v>
      </x:c>
      <x:c r="P239" s="14" t="str">
        <x:v>0266_</x:v>
      </x:c>
      <x:c r="Q239" s="14" t="str">
        <x:v>https://mb1advancedsolutions.github.io/mb1-catalog/index.html?design=0266</x:v>
      </x:c>
      <x:c r="R239" s="14" t="str"/>
    </x:row>
    <x:row r="240">
      <x:c r="A240" s="13" t="str">
        <x:v>MB1-0267</x:v>
      </x:c>
      <x:c r="B240" s="13" t="str">
        <x:v>MB1-0267</x:v>
      </x:c>
      <x:c r="C240" s="14" t="str">
        <x:v>DAD'S GARAGE 4</x:v>
      </x:c>
      <x:c r="D240" s="14" t="str">
        <x:v>garage and workshop</x:v>
      </x:c>
      <x:c r="E240" s="14" t="str">
        <x:v>https://res.cloudinary.com/oxygre42/image/upload/f_auto,q_auto,c_pad,b_white,w_1200,h_1200/v1788349193/0267_DAD_S_GARAGE_4.png</x:v>
      </x:c>
      <x:c r="F240" s="14" t="str"/>
      <x:c r="G240" s="14" t="str">
        <x:v>Lifestyle</x:v>
      </x:c>
      <x:c r="H240" s="14" t="str"/>
      <x:c r="I240" s="14" t="str">
        <x:v>Detail</x:v>
      </x:c>
      <x:c r="J240" s="14" t="str"/>
      <x:c r="K240" s="14" t="str">
        <x:v>Scale</x:v>
      </x:c>
      <x:c r="L240" s="14" t="str"/>
      <x:c r="M240" s="14" t="str">
        <x:v>Alternate</x:v>
      </x:c>
      <x:c r="N240" s="14" t="n">
        <x:f>IF(E240&lt;&gt;"",1,0)+IF(F240&lt;&gt;"",1,0)+IF(H240&lt;&gt;"",1,0)+IF(J240&lt;&gt;"",1,0)+IF(L240&lt;&gt;"",1,0)</x:f>
        <x:v>1</x:v>
      </x:c>
      <x:c r="O240" s="14" t="str">
        <x:f>IF(E240="","MISSING MAIN",IF(N240=1,"MAIN ONLY","MULTI-PHOTO"))</x:f>
        <x:v>MAIN ONLY</x:v>
      </x:c>
      <x:c r="P240" s="14" t="str">
        <x:v>0267_</x:v>
      </x:c>
      <x:c r="Q240" s="14" t="str">
        <x:v>https://mb1advancedsolutions.github.io/mb1-catalog/index.html?design=0267</x:v>
      </x:c>
      <x:c r="R240" s="14" t="str"/>
    </x:row>
    <x:row r="241">
      <x:c r="A241" s="13" t="str">
        <x:v>MB1-0268</x:v>
      </x:c>
      <x:c r="B241" s="13" t="str">
        <x:v>MB1-0268</x:v>
      </x:c>
      <x:c r="C241" s="14" t="str">
        <x:v>DAD'S GARAGE VINTAGE 2</x:v>
      </x:c>
      <x:c r="D241" s="14" t="str">
        <x:v>garage and workshop</x:v>
      </x:c>
      <x:c r="E241" s="14" t="str">
        <x:v>https://res.cloudinary.com/oxygre42/image/upload/f_auto,q_auto,c_pad,b_white,w_1200,h_1200/v1788349195/0268_DAD_S_GARAGE_VINTAGE_2.png</x:v>
      </x:c>
      <x:c r="F241" s="14" t="str"/>
      <x:c r="G241" s="14" t="str">
        <x:v>Lifestyle</x:v>
      </x:c>
      <x:c r="H241" s="14" t="str"/>
      <x:c r="I241" s="14" t="str">
        <x:v>Detail</x:v>
      </x:c>
      <x:c r="J241" s="14" t="str"/>
      <x:c r="K241" s="14" t="str">
        <x:v>Scale</x:v>
      </x:c>
      <x:c r="L241" s="14" t="str"/>
      <x:c r="M241" s="14" t="str">
        <x:v>Alternate</x:v>
      </x:c>
      <x:c r="N241" s="14" t="n">
        <x:f>IF(E241&lt;&gt;"",1,0)+IF(F241&lt;&gt;"",1,0)+IF(H241&lt;&gt;"",1,0)+IF(J241&lt;&gt;"",1,0)+IF(L241&lt;&gt;"",1,0)</x:f>
        <x:v>1</x:v>
      </x:c>
      <x:c r="O241" s="14" t="str">
        <x:f>IF(E241="","MISSING MAIN",IF(N241=1,"MAIN ONLY","MULTI-PHOTO"))</x:f>
        <x:v>MAIN ONLY</x:v>
      </x:c>
      <x:c r="P241" s="14" t="str">
        <x:v>0268_</x:v>
      </x:c>
      <x:c r="Q241" s="14" t="str">
        <x:v>https://mb1advancedsolutions.github.io/mb1-catalog/index.html?design=0268</x:v>
      </x:c>
      <x:c r="R241" s="14" t="str"/>
    </x:row>
    <x:row r="242">
      <x:c r="A242" s="13" t="str">
        <x:v>MB1-0269</x:v>
      </x:c>
      <x:c r="B242" s="13" t="str">
        <x:v>MB1-0269</x:v>
      </x:c>
      <x:c r="C242" s="14" t="str">
        <x:v>DAD'S GARAGE VINTAGE</x:v>
      </x:c>
      <x:c r="D242" s="14" t="str">
        <x:v>garage and workshop</x:v>
      </x:c>
      <x:c r="E242" s="14" t="str">
        <x:v>https://res.cloudinary.com/oxygre42/image/upload/f_auto,q_auto,c_pad,b_white,w_1200,h_1200/v1788349197/0269_DAD_S_GARAGE_VINTAGE.png</x:v>
      </x:c>
      <x:c r="F242" s="14" t="str"/>
      <x:c r="G242" s="14" t="str">
        <x:v>Lifestyle</x:v>
      </x:c>
      <x:c r="H242" s="14" t="str"/>
      <x:c r="I242" s="14" t="str">
        <x:v>Detail</x:v>
      </x:c>
      <x:c r="J242" s="14" t="str"/>
      <x:c r="K242" s="14" t="str">
        <x:v>Scale</x:v>
      </x:c>
      <x:c r="L242" s="14" t="str"/>
      <x:c r="M242" s="14" t="str">
        <x:v>Alternate</x:v>
      </x:c>
      <x:c r="N242" s="14" t="n">
        <x:f>IF(E242&lt;&gt;"",1,0)+IF(F242&lt;&gt;"",1,0)+IF(H242&lt;&gt;"",1,0)+IF(J242&lt;&gt;"",1,0)+IF(L242&lt;&gt;"",1,0)</x:f>
        <x:v>1</x:v>
      </x:c>
      <x:c r="O242" s="14" t="str">
        <x:f>IF(E242="","MISSING MAIN",IF(N242=1,"MAIN ONLY","MULTI-PHOTO"))</x:f>
        <x:v>MAIN ONLY</x:v>
      </x:c>
      <x:c r="P242" s="14" t="str">
        <x:v>0269_</x:v>
      </x:c>
      <x:c r="Q242" s="14" t="str">
        <x:v>https://mb1advancedsolutions.github.io/mb1-catalog/index.html?design=0269</x:v>
      </x:c>
      <x:c r="R242" s="14" t="str"/>
    </x:row>
    <x:row r="243">
      <x:c r="A243" s="13" t="str">
        <x:v>MB1-0272</x:v>
      </x:c>
      <x:c r="B243" s="13" t="str">
        <x:v>MB1-0272</x:v>
      </x:c>
      <x:c r="C243" s="14" t="str">
        <x:v>DAD'S MANCAVE </x:v>
      </x:c>
      <x:c r="D243" s="14" t="str">
        <x:v>family &amp; name</x:v>
      </x:c>
      <x:c r="E243" s="14" t="str">
        <x:v>https://res.cloudinary.com/oxygre42/image/upload/f_auto,q_auto,c_pad,b_white,w_1200,h_1200/v1788349199/0272_DAD_S_MANCAVE.png</x:v>
      </x:c>
      <x:c r="F243" s="14" t="str"/>
      <x:c r="G243" s="14" t="str">
        <x:v>Lifestyle</x:v>
      </x:c>
      <x:c r="H243" s="14" t="str"/>
      <x:c r="I243" s="14" t="str">
        <x:v>Detail</x:v>
      </x:c>
      <x:c r="J243" s="14" t="str"/>
      <x:c r="K243" s="14" t="str">
        <x:v>Scale</x:v>
      </x:c>
      <x:c r="L243" s="14" t="str"/>
      <x:c r="M243" s="14" t="str">
        <x:v>Alternate</x:v>
      </x:c>
      <x:c r="N243" s="14" t="n">
        <x:f>IF(E243&lt;&gt;"",1,0)+IF(F243&lt;&gt;"",1,0)+IF(H243&lt;&gt;"",1,0)+IF(J243&lt;&gt;"",1,0)+IF(L243&lt;&gt;"",1,0)</x:f>
        <x:v>1</x:v>
      </x:c>
      <x:c r="O243" s="14" t="str">
        <x:f>IF(E243="","MISSING MAIN",IF(N243=1,"MAIN ONLY","MULTI-PHOTO"))</x:f>
        <x:v>MAIN ONLY</x:v>
      </x:c>
      <x:c r="P243" s="14" t="str">
        <x:v>0272_</x:v>
      </x:c>
      <x:c r="Q243" s="14" t="str">
        <x:v>https://mb1advancedsolutions.github.io/mb1-catalog/index.html?design=0272</x:v>
      </x:c>
      <x:c r="R243" s="14" t="str"/>
    </x:row>
    <x:row r="244">
      <x:c r="A244" s="13" t="str">
        <x:v>MB1-0273</x:v>
      </x:c>
      <x:c r="B244" s="13" t="str">
        <x:v>MB1-0273</x:v>
      </x:c>
      <x:c r="C244" s="14" t="str">
        <x:v>DAD'S SHOP</x:v>
      </x:c>
      <x:c r="D244" s="14" t="str">
        <x:v>garage and workshop</x:v>
      </x:c>
      <x:c r="E244" s="14" t="str">
        <x:v>https://res.cloudinary.com/oxygre42/image/upload/f_auto,q_auto,c_pad,b_white,w_1200,h_1200/v1788349201/0273_DAD_S_SHOP.png</x:v>
      </x:c>
      <x:c r="F244" s="14" t="str"/>
      <x:c r="G244" s="14" t="str">
        <x:v>Lifestyle</x:v>
      </x:c>
      <x:c r="H244" s="14" t="str"/>
      <x:c r="I244" s="14" t="str">
        <x:v>Detail</x:v>
      </x:c>
      <x:c r="J244" s="14" t="str"/>
      <x:c r="K244" s="14" t="str">
        <x:v>Scale</x:v>
      </x:c>
      <x:c r="L244" s="14" t="str"/>
      <x:c r="M244" s="14" t="str">
        <x:v>Alternate</x:v>
      </x:c>
      <x:c r="N244" s="14" t="n">
        <x:f>IF(E244&lt;&gt;"",1,0)+IF(F244&lt;&gt;"",1,0)+IF(H244&lt;&gt;"",1,0)+IF(J244&lt;&gt;"",1,0)+IF(L244&lt;&gt;"",1,0)</x:f>
        <x:v>1</x:v>
      </x:c>
      <x:c r="O244" s="14" t="str">
        <x:f>IF(E244="","MISSING MAIN",IF(N244=1,"MAIN ONLY","MULTI-PHOTO"))</x:f>
        <x:v>MAIN ONLY</x:v>
      </x:c>
      <x:c r="P244" s="14" t="str">
        <x:v>0273_</x:v>
      </x:c>
      <x:c r="Q244" s="14" t="str">
        <x:v>https://mb1advancedsolutions.github.io/mb1-catalog/index.html?design=0273</x:v>
      </x:c>
      <x:c r="R244" s="14" t="str"/>
    </x:row>
    <x:row r="245">
      <x:c r="A245" s="13" t="str">
        <x:v>MB1-0274</x:v>
      </x:c>
      <x:c r="B245" s="13" t="str">
        <x:v>MB1-0274</x:v>
      </x:c>
      <x:c r="C245" s="14" t="str">
        <x:v>DAD'S WORKSHOP 2</x:v>
      </x:c>
      <x:c r="D245" s="14" t="str">
        <x:v>garage and workshop</x:v>
      </x:c>
      <x:c r="E245" s="14" t="str">
        <x:v>https://res.cloudinary.com/oxygre42/image/upload/f_auto,q_auto,c_pad,b_white,w_1200,h_1200/v1788349203/0274_DAD_S_WORKSHOP_2.png</x:v>
      </x:c>
      <x:c r="F245" s="14" t="str"/>
      <x:c r="G245" s="14" t="str">
        <x:v>Lifestyle</x:v>
      </x:c>
      <x:c r="H245" s="14" t="str"/>
      <x:c r="I245" s="14" t="str">
        <x:v>Detail</x:v>
      </x:c>
      <x:c r="J245" s="14" t="str"/>
      <x:c r="K245" s="14" t="str">
        <x:v>Scale</x:v>
      </x:c>
      <x:c r="L245" s="14" t="str"/>
      <x:c r="M245" s="14" t="str">
        <x:v>Alternate</x:v>
      </x:c>
      <x:c r="N245" s="14" t="n">
        <x:f>IF(E245&lt;&gt;"",1,0)+IF(F245&lt;&gt;"",1,0)+IF(H245&lt;&gt;"",1,0)+IF(J245&lt;&gt;"",1,0)+IF(L245&lt;&gt;"",1,0)</x:f>
        <x:v>1</x:v>
      </x:c>
      <x:c r="O245" s="14" t="str">
        <x:f>IF(E245="","MISSING MAIN",IF(N245=1,"MAIN ONLY","MULTI-PHOTO"))</x:f>
        <x:v>MAIN ONLY</x:v>
      </x:c>
      <x:c r="P245" s="14" t="str">
        <x:v>0274_</x:v>
      </x:c>
      <x:c r="Q245" s="14" t="str">
        <x:v>https://mb1advancedsolutions.github.io/mb1-catalog/index.html?design=0274</x:v>
      </x:c>
      <x:c r="R245" s="14" t="str"/>
    </x:row>
    <x:row r="246">
      <x:c r="A246" s="13" t="str">
        <x:v>MB1-0276</x:v>
      </x:c>
      <x:c r="B246" s="13" t="str">
        <x:v>MB1-0276</x:v>
      </x:c>
      <x:c r="C246" s="14" t="str">
        <x:v>DADDY'S WORKSHOP 2</x:v>
      </x:c>
      <x:c r="D246" s="14" t="str">
        <x:v>garage and workshop</x:v>
      </x:c>
      <x:c r="E246" s="14" t="str">
        <x:v>https://res.cloudinary.com/oxygre42/image/upload/f_auto,q_auto,c_pad,b_white,w_1200,h_1200/v1788349205/0276_DADDY_S_WORKSHOP_2.png</x:v>
      </x:c>
      <x:c r="F246" s="14" t="str"/>
      <x:c r="G246" s="14" t="str">
        <x:v>Lifestyle</x:v>
      </x:c>
      <x:c r="H246" s="14" t="str"/>
      <x:c r="I246" s="14" t="str">
        <x:v>Detail</x:v>
      </x:c>
      <x:c r="J246" s="14" t="str"/>
      <x:c r="K246" s="14" t="str">
        <x:v>Scale</x:v>
      </x:c>
      <x:c r="L246" s="14" t="str"/>
      <x:c r="M246" s="14" t="str">
        <x:v>Alternate</x:v>
      </x:c>
      <x:c r="N246" s="14" t="n">
        <x:f>IF(E246&lt;&gt;"",1,0)+IF(F246&lt;&gt;"",1,0)+IF(H246&lt;&gt;"",1,0)+IF(J246&lt;&gt;"",1,0)+IF(L246&lt;&gt;"",1,0)</x:f>
        <x:v>1</x:v>
      </x:c>
      <x:c r="O246" s="14" t="str">
        <x:f>IF(E246="","MISSING MAIN",IF(N246=1,"MAIN ONLY","MULTI-PHOTO"))</x:f>
        <x:v>MAIN ONLY</x:v>
      </x:c>
      <x:c r="P246" s="14" t="str">
        <x:v>0276_</x:v>
      </x:c>
      <x:c r="Q246" s="14" t="str">
        <x:v>https://mb1advancedsolutions.github.io/mb1-catalog/index.html?design=0276</x:v>
      </x:c>
      <x:c r="R246" s="14" t="str"/>
    </x:row>
    <x:row r="247">
      <x:c r="A247" s="13" t="str">
        <x:v>MB1-0277</x:v>
      </x:c>
      <x:c r="B247" s="13" t="str">
        <x:v>MB1-0277</x:v>
      </x:c>
      <x:c r="C247" s="14" t="str">
        <x:v>DADDY'S WORKSHOP</x:v>
      </x:c>
      <x:c r="D247" s="14" t="str">
        <x:v>garage and workshop</x:v>
      </x:c>
      <x:c r="E247" s="14" t="str">
        <x:v>https://res.cloudinary.com/oxygre42/image/upload/f_auto,q_auto,c_pad,b_white,w_1200,h_1200/v1788349207/0277_DADDY_S_WORKSHOP.png</x:v>
      </x:c>
      <x:c r="F247" s="14" t="str"/>
      <x:c r="G247" s="14" t="str">
        <x:v>Lifestyle</x:v>
      </x:c>
      <x:c r="H247" s="14" t="str"/>
      <x:c r="I247" s="14" t="str">
        <x:v>Detail</x:v>
      </x:c>
      <x:c r="J247" s="14" t="str"/>
      <x:c r="K247" s="14" t="str">
        <x:v>Scale</x:v>
      </x:c>
      <x:c r="L247" s="14" t="str"/>
      <x:c r="M247" s="14" t="str">
        <x:v>Alternate</x:v>
      </x:c>
      <x:c r="N247" s="14" t="n">
        <x:f>IF(E247&lt;&gt;"",1,0)+IF(F247&lt;&gt;"",1,0)+IF(H247&lt;&gt;"",1,0)+IF(J247&lt;&gt;"",1,0)+IF(L247&lt;&gt;"",1,0)</x:f>
        <x:v>1</x:v>
      </x:c>
      <x:c r="O247" s="14" t="str">
        <x:f>IF(E247="","MISSING MAIN",IF(N247=1,"MAIN ONLY","MULTI-PHOTO"))</x:f>
        <x:v>MAIN ONLY</x:v>
      </x:c>
      <x:c r="P247" s="14" t="str">
        <x:v>0277_</x:v>
      </x:c>
      <x:c r="Q247" s="14" t="str">
        <x:v>https://mb1advancedsolutions.github.io/mb1-catalog/index.html?design=0277</x:v>
      </x:c>
      <x:c r="R247" s="14" t="str"/>
    </x:row>
    <x:row r="248">
      <x:c r="A248" s="13" t="str">
        <x:v>MB1-0278</x:v>
      </x:c>
      <x:c r="B248" s="13" t="str">
        <x:v>MB1-0278</x:v>
      </x:c>
      <x:c r="C248" s="14" t="str">
        <x:v>GARAGE FREE SIGN </x:v>
      </x:c>
      <x:c r="D248" s="14" t="str">
        <x:v>garage and workshop</x:v>
      </x:c>
      <x:c r="E248" s="14" t="str">
        <x:v>https://res.cloudinary.com/oxygre42/image/upload/f_auto,q_auto,c_pad,b_white,w_1200,h_1200/v1788349208/0278_GARAGE_FREE_SIGN.png</x:v>
      </x:c>
      <x:c r="F248" s="14" t="str"/>
      <x:c r="G248" s="14" t="str">
        <x:v>Lifestyle</x:v>
      </x:c>
      <x:c r="H248" s="14" t="str"/>
      <x:c r="I248" s="14" t="str">
        <x:v>Detail</x:v>
      </x:c>
      <x:c r="J248" s="14" t="str"/>
      <x:c r="K248" s="14" t="str">
        <x:v>Scale</x:v>
      </x:c>
      <x:c r="L248" s="14" t="str"/>
      <x:c r="M248" s="14" t="str">
        <x:v>Alternate</x:v>
      </x:c>
      <x:c r="N248" s="14" t="n">
        <x:f>IF(E248&lt;&gt;"",1,0)+IF(F248&lt;&gt;"",1,0)+IF(H248&lt;&gt;"",1,0)+IF(J248&lt;&gt;"",1,0)+IF(L248&lt;&gt;"",1,0)</x:f>
        <x:v>1</x:v>
      </x:c>
      <x:c r="O248" s="14" t="str">
        <x:f>IF(E248="","MISSING MAIN",IF(N248=1,"MAIN ONLY","MULTI-PHOTO"))</x:f>
        <x:v>MAIN ONLY</x:v>
      </x:c>
      <x:c r="P248" s="14" t="str">
        <x:v>0278_</x:v>
      </x:c>
      <x:c r="Q248" s="14" t="str">
        <x:v>https://mb1advancedsolutions.github.io/mb1-catalog/index.html?design=0278</x:v>
      </x:c>
      <x:c r="R248" s="14" t="str"/>
    </x:row>
    <x:row r="249">
      <x:c r="A249" s="13" t="str">
        <x:v>MB1-0279</x:v>
      </x:c>
      <x:c r="B249" s="13" t="str">
        <x:v>MB1-0279</x:v>
      </x:c>
      <x:c r="C249" s="14" t="str">
        <x:v>REPAIRS BY DAD</x:v>
      </x:c>
      <x:c r="D249" s="14" t="str">
        <x:v>garage and workshop</x:v>
      </x:c>
      <x:c r="E249" s="14" t="str">
        <x:v>https://res.cloudinary.com/oxygre42/image/upload/f_auto,q_auto,c_pad,b_white,w_1200,h_1200/v1788349210/0279_REPAIRS_BY_DAD.png</x:v>
      </x:c>
      <x:c r="F249" s="14" t="str"/>
      <x:c r="G249" s="14" t="str">
        <x:v>Lifestyle</x:v>
      </x:c>
      <x:c r="H249" s="14" t="str"/>
      <x:c r="I249" s="14" t="str">
        <x:v>Detail</x:v>
      </x:c>
      <x:c r="J249" s="14" t="str"/>
      <x:c r="K249" s="14" t="str">
        <x:v>Scale</x:v>
      </x:c>
      <x:c r="L249" s="14" t="str"/>
      <x:c r="M249" s="14" t="str">
        <x:v>Alternate</x:v>
      </x:c>
      <x:c r="N249" s="14" t="n">
        <x:f>IF(E249&lt;&gt;"",1,0)+IF(F249&lt;&gt;"",1,0)+IF(H249&lt;&gt;"",1,0)+IF(J249&lt;&gt;"",1,0)+IF(L249&lt;&gt;"",1,0)</x:f>
        <x:v>1</x:v>
      </x:c>
      <x:c r="O249" s="14" t="str">
        <x:f>IF(E249="","MISSING MAIN",IF(N249=1,"MAIN ONLY","MULTI-PHOTO"))</x:f>
        <x:v>MAIN ONLY</x:v>
      </x:c>
      <x:c r="P249" s="14" t="str">
        <x:v>0279_</x:v>
      </x:c>
      <x:c r="Q249" s="14" t="str">
        <x:v>https://mb1advancedsolutions.github.io/mb1-catalog/index.html?design=0279</x:v>
      </x:c>
      <x:c r="R249" s="14" t="str"/>
    </x:row>
    <x:row r="250">
      <x:c r="A250" s="13" t="str">
        <x:v>MB1-0280</x:v>
      </x:c>
      <x:c r="B250" s="13" t="str">
        <x:v>MB1-0280</x:v>
      </x:c>
      <x:c r="C250" s="14" t="str">
        <x:v>VINTAGE GARAGE SIGN</x:v>
      </x:c>
      <x:c r="D250" s="14" t="str">
        <x:v>garage and workshop</x:v>
      </x:c>
      <x:c r="E250" s="14" t="str">
        <x:v>https://res.cloudinary.com/oxygre42/image/upload/f_auto,q_auto,c_pad,b_white,w_1200,h_1200/v1788349212/0280_VINTAGE_GARAGE_SIGN.png</x:v>
      </x:c>
      <x:c r="F250" s="14" t="str"/>
      <x:c r="G250" s="14" t="str">
        <x:v>Lifestyle</x:v>
      </x:c>
      <x:c r="H250" s="14" t="str"/>
      <x:c r="I250" s="14" t="str">
        <x:v>Detail</x:v>
      </x:c>
      <x:c r="J250" s="14" t="str"/>
      <x:c r="K250" s="14" t="str">
        <x:v>Scale</x:v>
      </x:c>
      <x:c r="L250" s="14" t="str"/>
      <x:c r="M250" s="14" t="str">
        <x:v>Alternate</x:v>
      </x:c>
      <x:c r="N250" s="14" t="n">
        <x:f>IF(E250&lt;&gt;"",1,0)+IF(F250&lt;&gt;"",1,0)+IF(H250&lt;&gt;"",1,0)+IF(J250&lt;&gt;"",1,0)+IF(L250&lt;&gt;"",1,0)</x:f>
        <x:v>1</x:v>
      </x:c>
      <x:c r="O250" s="14" t="str">
        <x:f>IF(E250="","MISSING MAIN",IF(N250=1,"MAIN ONLY","MULTI-PHOTO"))</x:f>
        <x:v>MAIN ONLY</x:v>
      </x:c>
      <x:c r="P250" s="14" t="str">
        <x:v>0280_</x:v>
      </x:c>
      <x:c r="Q250" s="14" t="str">
        <x:v>https://mb1advancedsolutions.github.io/mb1-catalog/index.html?design=0280</x:v>
      </x:c>
      <x:c r="R250" s="14" t="str"/>
    </x:row>
    <x:row r="251">
      <x:c r="A251" s="13" t="str">
        <x:v>MB1-0281</x:v>
      </x:c>
      <x:c r="B251" s="13" t="str">
        <x:v>MB1-0281</x:v>
      </x:c>
      <x:c r="C251" s="14" t="str">
        <x:v>EAGLE 1</x:v>
      </x:c>
      <x:c r="D251" s="14" t="str">
        <x:v>wildlife and outdoors</x:v>
      </x:c>
      <x:c r="E251" s="14" t="str">
        <x:v>https://res.cloudinary.com/oxygre42/image/upload/f_auto,q_auto,c_pad,b_white,w_1200,h_1200/v1788349214/0281_EAGLE_1.png</x:v>
      </x:c>
      <x:c r="F251" s="14" t="str"/>
      <x:c r="G251" s="14" t="str">
        <x:v>Lifestyle</x:v>
      </x:c>
      <x:c r="H251" s="14" t="str"/>
      <x:c r="I251" s="14" t="str">
        <x:v>Detail</x:v>
      </x:c>
      <x:c r="J251" s="14" t="str"/>
      <x:c r="K251" s="14" t="str">
        <x:v>Scale</x:v>
      </x:c>
      <x:c r="L251" s="14" t="str"/>
      <x:c r="M251" s="14" t="str">
        <x:v>Alternate</x:v>
      </x:c>
      <x:c r="N251" s="14" t="n">
        <x:f>IF(E251&lt;&gt;"",1,0)+IF(F251&lt;&gt;"",1,0)+IF(H251&lt;&gt;"",1,0)+IF(J251&lt;&gt;"",1,0)+IF(L251&lt;&gt;"",1,0)</x:f>
        <x:v>1</x:v>
      </x:c>
      <x:c r="O251" s="14" t="str">
        <x:f>IF(E251="","MISSING MAIN",IF(N251=1,"MAIN ONLY","MULTI-PHOTO"))</x:f>
        <x:v>MAIN ONLY</x:v>
      </x:c>
      <x:c r="P251" s="14" t="str">
        <x:v>0281_</x:v>
      </x:c>
      <x:c r="Q251" s="14" t="str">
        <x:v>https://mb1advancedsolutions.github.io/mb1-catalog/index.html?design=0281</x:v>
      </x:c>
      <x:c r="R251" s="14" t="str"/>
    </x:row>
    <x:row r="252">
      <x:c r="A252" s="13" t="str">
        <x:v>MB1-0282</x:v>
      </x:c>
      <x:c r="B252" s="13" t="str">
        <x:v>MB1-0282</x:v>
      </x:c>
      <x:c r="C252" s="14" t="str">
        <x:v>EAGLE 10</x:v>
      </x:c>
      <x:c r="D252" s="14" t="str">
        <x:v>wildlife and outdoors</x:v>
      </x:c>
      <x:c r="E252" s="14" t="str">
        <x:v>https://res.cloudinary.com/oxygre42/image/upload/f_auto,q_auto,c_pad,b_white,w_1200,h_1200/v1788349216/0282_EAGLE_10.png</x:v>
      </x:c>
      <x:c r="F252" s="14" t="str"/>
      <x:c r="G252" s="14" t="str">
        <x:v>Lifestyle</x:v>
      </x:c>
      <x:c r="H252" s="14" t="str"/>
      <x:c r="I252" s="14" t="str">
        <x:v>Detail</x:v>
      </x:c>
      <x:c r="J252" s="14" t="str"/>
      <x:c r="K252" s="14" t="str">
        <x:v>Scale</x:v>
      </x:c>
      <x:c r="L252" s="14" t="str"/>
      <x:c r="M252" s="14" t="str">
        <x:v>Alternate</x:v>
      </x:c>
      <x:c r="N252" s="14" t="n">
        <x:f>IF(E252&lt;&gt;"",1,0)+IF(F252&lt;&gt;"",1,0)+IF(H252&lt;&gt;"",1,0)+IF(J252&lt;&gt;"",1,0)+IF(L252&lt;&gt;"",1,0)</x:f>
        <x:v>1</x:v>
      </x:c>
      <x:c r="O252" s="14" t="str">
        <x:f>IF(E252="","MISSING MAIN",IF(N252=1,"MAIN ONLY","MULTI-PHOTO"))</x:f>
        <x:v>MAIN ONLY</x:v>
      </x:c>
      <x:c r="P252" s="14" t="str">
        <x:v>0282_</x:v>
      </x:c>
      <x:c r="Q252" s="14" t="str">
        <x:v>https://mb1advancedsolutions.github.io/mb1-catalog/index.html?design=0282</x:v>
      </x:c>
      <x:c r="R252" s="14" t="str"/>
    </x:row>
    <x:row r="253">
      <x:c r="A253" s="13" t="str">
        <x:v>MB1-0283</x:v>
      </x:c>
      <x:c r="B253" s="13" t="str">
        <x:v>MB1-0283</x:v>
      </x:c>
      <x:c r="C253" s="14" t="str">
        <x:v>EAGLE 11</x:v>
      </x:c>
      <x:c r="D253" s="14" t="str">
        <x:v>wildlife and outdoors</x:v>
      </x:c>
      <x:c r="E253" s="14" t="str">
        <x:v>https://res.cloudinary.com/oxygre42/image/upload/f_auto,q_auto,c_pad,b_white,w_1200,h_1200/v1788349218/0283_EAGLE_11.png</x:v>
      </x:c>
      <x:c r="F253" s="14" t="str"/>
      <x:c r="G253" s="14" t="str">
        <x:v>Lifestyle</x:v>
      </x:c>
      <x:c r="H253" s="14" t="str"/>
      <x:c r="I253" s="14" t="str">
        <x:v>Detail</x:v>
      </x:c>
      <x:c r="J253" s="14" t="str"/>
      <x:c r="K253" s="14" t="str">
        <x:v>Scale</x:v>
      </x:c>
      <x:c r="L253" s="14" t="str"/>
      <x:c r="M253" s="14" t="str">
        <x:v>Alternate</x:v>
      </x:c>
      <x:c r="N253" s="14" t="n">
        <x:f>IF(E253&lt;&gt;"",1,0)+IF(F253&lt;&gt;"",1,0)+IF(H253&lt;&gt;"",1,0)+IF(J253&lt;&gt;"",1,0)+IF(L253&lt;&gt;"",1,0)</x:f>
        <x:v>1</x:v>
      </x:c>
      <x:c r="O253" s="14" t="str">
        <x:f>IF(E253="","MISSING MAIN",IF(N253=1,"MAIN ONLY","MULTI-PHOTO"))</x:f>
        <x:v>MAIN ONLY</x:v>
      </x:c>
      <x:c r="P253" s="14" t="str">
        <x:v>0283_</x:v>
      </x:c>
      <x:c r="Q253" s="14" t="str">
        <x:v>https://mb1advancedsolutions.github.io/mb1-catalog/index.html?design=0283</x:v>
      </x:c>
      <x:c r="R253" s="14" t="str"/>
    </x:row>
    <x:row r="254">
      <x:c r="A254" s="13" t="str">
        <x:v>MB1-0284</x:v>
      </x:c>
      <x:c r="B254" s="13" t="str">
        <x:v>MB1-0284</x:v>
      </x:c>
      <x:c r="C254" s="14" t="str">
        <x:v>EAGLE 12</x:v>
      </x:c>
      <x:c r="D254" s="14" t="str">
        <x:v>wildlife and outdoors</x:v>
      </x:c>
      <x:c r="E254" s="14" t="str">
        <x:v>https://res.cloudinary.com/oxygre42/image/upload/f_auto,q_auto,c_pad,b_white,w_1200,h_1200/v1788349220/0284_EAGLE_12.png</x:v>
      </x:c>
      <x:c r="F254" s="14" t="str"/>
      <x:c r="G254" s="14" t="str">
        <x:v>Lifestyle</x:v>
      </x:c>
      <x:c r="H254" s="14" t="str"/>
      <x:c r="I254" s="14" t="str">
        <x:v>Detail</x:v>
      </x:c>
      <x:c r="J254" s="14" t="str"/>
      <x:c r="K254" s="14" t="str">
        <x:v>Scale</x:v>
      </x:c>
      <x:c r="L254" s="14" t="str"/>
      <x:c r="M254" s="14" t="str">
        <x:v>Alternate</x:v>
      </x:c>
      <x:c r="N254" s="14" t="n">
        <x:f>IF(E254&lt;&gt;"",1,0)+IF(F254&lt;&gt;"",1,0)+IF(H254&lt;&gt;"",1,0)+IF(J254&lt;&gt;"",1,0)+IF(L254&lt;&gt;"",1,0)</x:f>
        <x:v>1</x:v>
      </x:c>
      <x:c r="O254" s="14" t="str">
        <x:f>IF(E254="","MISSING MAIN",IF(N254=1,"MAIN ONLY","MULTI-PHOTO"))</x:f>
        <x:v>MAIN ONLY</x:v>
      </x:c>
      <x:c r="P254" s="14" t="str">
        <x:v>0284_</x:v>
      </x:c>
      <x:c r="Q254" s="14" t="str">
        <x:v>https://mb1advancedsolutions.github.io/mb1-catalog/index.html?design=0284</x:v>
      </x:c>
      <x:c r="R254" s="14" t="str"/>
    </x:row>
    <x:row r="255">
      <x:c r="A255" s="13" t="str">
        <x:v>MB1-0285</x:v>
      </x:c>
      <x:c r="B255" s="13" t="str">
        <x:v>MB1-0285</x:v>
      </x:c>
      <x:c r="C255" s="14" t="str">
        <x:v>EAGLE 13</x:v>
      </x:c>
      <x:c r="D255" s="14" t="str">
        <x:v>wildlife and outdoors</x:v>
      </x:c>
      <x:c r="E255" s="14" t="str">
        <x:v>https://res.cloudinary.com/oxygre42/image/upload/f_auto,q_auto,c_pad,b_white,w_1200,h_1200/v1788349222/0285_EAGLE_13.png</x:v>
      </x:c>
      <x:c r="F255" s="14" t="str"/>
      <x:c r="G255" s="14" t="str">
        <x:v>Lifestyle</x:v>
      </x:c>
      <x:c r="H255" s="14" t="str"/>
      <x:c r="I255" s="14" t="str">
        <x:v>Detail</x:v>
      </x:c>
      <x:c r="J255" s="14" t="str"/>
      <x:c r="K255" s="14" t="str">
        <x:v>Scale</x:v>
      </x:c>
      <x:c r="L255" s="14" t="str"/>
      <x:c r="M255" s="14" t="str">
        <x:v>Alternate</x:v>
      </x:c>
      <x:c r="N255" s="14" t="n">
        <x:f>IF(E255&lt;&gt;"",1,0)+IF(F255&lt;&gt;"",1,0)+IF(H255&lt;&gt;"",1,0)+IF(J255&lt;&gt;"",1,0)+IF(L255&lt;&gt;"",1,0)</x:f>
        <x:v>1</x:v>
      </x:c>
      <x:c r="O255" s="14" t="str">
        <x:f>IF(E255="","MISSING MAIN",IF(N255=1,"MAIN ONLY","MULTI-PHOTO"))</x:f>
        <x:v>MAIN ONLY</x:v>
      </x:c>
      <x:c r="P255" s="14" t="str">
        <x:v>0285_</x:v>
      </x:c>
      <x:c r="Q255" s="14" t="str">
        <x:v>https://mb1advancedsolutions.github.io/mb1-catalog/index.html?design=0285</x:v>
      </x:c>
      <x:c r="R255" s="14" t="str"/>
    </x:row>
    <x:row r="256">
      <x:c r="A256" s="13" t="str">
        <x:v>MB1-0286</x:v>
      </x:c>
      <x:c r="B256" s="13" t="str">
        <x:v>MB1-0286</x:v>
      </x:c>
      <x:c r="C256" s="14" t="str">
        <x:v>EAGLE 14</x:v>
      </x:c>
      <x:c r="D256" s="14" t="str">
        <x:v>wildlife and outdoors</x:v>
      </x:c>
      <x:c r="E256" s="14" t="str">
        <x:v>https://res.cloudinary.com/oxygre42/image/upload/f_auto,q_auto,c_pad,b_white,w_1200,h_1200/v1788349223/0286_EAGLE_14.png</x:v>
      </x:c>
      <x:c r="F256" s="14" t="str"/>
      <x:c r="G256" s="14" t="str">
        <x:v>Lifestyle</x:v>
      </x:c>
      <x:c r="H256" s="14" t="str"/>
      <x:c r="I256" s="14" t="str">
        <x:v>Detail</x:v>
      </x:c>
      <x:c r="J256" s="14" t="str"/>
      <x:c r="K256" s="14" t="str">
        <x:v>Scale</x:v>
      </x:c>
      <x:c r="L256" s="14" t="str"/>
      <x:c r="M256" s="14" t="str">
        <x:v>Alternate</x:v>
      </x:c>
      <x:c r="N256" s="14" t="n">
        <x:f>IF(E256&lt;&gt;"",1,0)+IF(F256&lt;&gt;"",1,0)+IF(H256&lt;&gt;"",1,0)+IF(J256&lt;&gt;"",1,0)+IF(L256&lt;&gt;"",1,0)</x:f>
        <x:v>1</x:v>
      </x:c>
      <x:c r="O256" s="14" t="str">
        <x:f>IF(E256="","MISSING MAIN",IF(N256=1,"MAIN ONLY","MULTI-PHOTO"))</x:f>
        <x:v>MAIN ONLY</x:v>
      </x:c>
      <x:c r="P256" s="14" t="str">
        <x:v>0286_</x:v>
      </x:c>
      <x:c r="Q256" s="14" t="str">
        <x:v>https://mb1advancedsolutions.github.io/mb1-catalog/index.html?design=0286</x:v>
      </x:c>
      <x:c r="R256" s="14" t="str"/>
    </x:row>
    <x:row r="257">
      <x:c r="A257" s="13" t="str">
        <x:v>MB1-0287</x:v>
      </x:c>
      <x:c r="B257" s="13" t="str">
        <x:v>MB1-0287</x:v>
      </x:c>
      <x:c r="C257" s="14" t="str">
        <x:v>EAGLE 15</x:v>
      </x:c>
      <x:c r="D257" s="14" t="str">
        <x:v>wildlife and outdoors</x:v>
      </x:c>
      <x:c r="E257" s="14" t="str">
        <x:v>https://res.cloudinary.com/oxygre42/image/upload/f_auto,q_auto,c_pad,b_white,w_1200,h_1200/v1788349225/0287_EAGLE_15.png</x:v>
      </x:c>
      <x:c r="F257" s="14" t="str"/>
      <x:c r="G257" s="14" t="str">
        <x:v>Lifestyle</x:v>
      </x:c>
      <x:c r="H257" s="14" t="str"/>
      <x:c r="I257" s="14" t="str">
        <x:v>Detail</x:v>
      </x:c>
      <x:c r="J257" s="14" t="str"/>
      <x:c r="K257" s="14" t="str">
        <x:v>Scale</x:v>
      </x:c>
      <x:c r="L257" s="14" t="str"/>
      <x:c r="M257" s="14" t="str">
        <x:v>Alternate</x:v>
      </x:c>
      <x:c r="N257" s="14" t="n">
        <x:f>IF(E257&lt;&gt;"",1,0)+IF(F257&lt;&gt;"",1,0)+IF(H257&lt;&gt;"",1,0)+IF(J257&lt;&gt;"",1,0)+IF(L257&lt;&gt;"",1,0)</x:f>
        <x:v>1</x:v>
      </x:c>
      <x:c r="O257" s="14" t="str">
        <x:f>IF(E257="","MISSING MAIN",IF(N257=1,"MAIN ONLY","MULTI-PHOTO"))</x:f>
        <x:v>MAIN ONLY</x:v>
      </x:c>
      <x:c r="P257" s="14" t="str">
        <x:v>0287_</x:v>
      </x:c>
      <x:c r="Q257" s="14" t="str">
        <x:v>https://mb1advancedsolutions.github.io/mb1-catalog/index.html?design=0287</x:v>
      </x:c>
      <x:c r="R257" s="14" t="str"/>
    </x:row>
    <x:row r="258">
      <x:c r="A258" s="13" t="str">
        <x:v>MB1-0288</x:v>
      </x:c>
      <x:c r="B258" s="13" t="str">
        <x:v>MB1-0288</x:v>
      </x:c>
      <x:c r="C258" s="14" t="str">
        <x:v>EAGLE 16</x:v>
      </x:c>
      <x:c r="D258" s="14" t="str">
        <x:v>wildlife and outdoors</x:v>
      </x:c>
      <x:c r="E258" s="14" t="str">
        <x:v>https://res.cloudinary.com/oxygre42/image/upload/f_auto,q_auto,c_pad,b_white,w_1200,h_1200/v1788349227/0288_EAGLE_16.png</x:v>
      </x:c>
      <x:c r="F258" s="14" t="str"/>
      <x:c r="G258" s="14" t="str">
        <x:v>Lifestyle</x:v>
      </x:c>
      <x:c r="H258" s="14" t="str"/>
      <x:c r="I258" s="14" t="str">
        <x:v>Detail</x:v>
      </x:c>
      <x:c r="J258" s="14" t="str"/>
      <x:c r="K258" s="14" t="str">
        <x:v>Scale</x:v>
      </x:c>
      <x:c r="L258" s="14" t="str"/>
      <x:c r="M258" s="14" t="str">
        <x:v>Alternate</x:v>
      </x:c>
      <x:c r="N258" s="14" t="n">
        <x:f>IF(E258&lt;&gt;"",1,0)+IF(F258&lt;&gt;"",1,0)+IF(H258&lt;&gt;"",1,0)+IF(J258&lt;&gt;"",1,0)+IF(L258&lt;&gt;"",1,0)</x:f>
        <x:v>1</x:v>
      </x:c>
      <x:c r="O258" s="14" t="str">
        <x:f>IF(E258="","MISSING MAIN",IF(N258=1,"MAIN ONLY","MULTI-PHOTO"))</x:f>
        <x:v>MAIN ONLY</x:v>
      </x:c>
      <x:c r="P258" s="14" t="str">
        <x:v>0288_</x:v>
      </x:c>
      <x:c r="Q258" s="14" t="str">
        <x:v>https://mb1advancedsolutions.github.io/mb1-catalog/index.html?design=0288</x:v>
      </x:c>
      <x:c r="R258" s="14" t="str"/>
    </x:row>
    <x:row r="259">
      <x:c r="A259" s="13" t="str">
        <x:v>MB1-0289</x:v>
      </x:c>
      <x:c r="B259" s="13" t="str">
        <x:v>MB1-0289</x:v>
      </x:c>
      <x:c r="C259" s="14" t="str">
        <x:v>EAGLE 17</x:v>
      </x:c>
      <x:c r="D259" s="14" t="str">
        <x:v>wildlife and outdoors</x:v>
      </x:c>
      <x:c r="E259" s="14" t="str">
        <x:v>https://res.cloudinary.com/oxygre42/image/upload/f_auto,q_auto,c_pad,b_white,w_1200,h_1200/v1788349229/0289_EAGLE_17.png</x:v>
      </x:c>
      <x:c r="F259" s="14" t="str"/>
      <x:c r="G259" s="14" t="str">
        <x:v>Lifestyle</x:v>
      </x:c>
      <x:c r="H259" s="14" t="str"/>
      <x:c r="I259" s="14" t="str">
        <x:v>Detail</x:v>
      </x:c>
      <x:c r="J259" s="14" t="str"/>
      <x:c r="K259" s="14" t="str">
        <x:v>Scale</x:v>
      </x:c>
      <x:c r="L259" s="14" t="str"/>
      <x:c r="M259" s="14" t="str">
        <x:v>Alternate</x:v>
      </x:c>
      <x:c r="N259" s="14" t="n">
        <x:f>IF(E259&lt;&gt;"",1,0)+IF(F259&lt;&gt;"",1,0)+IF(H259&lt;&gt;"",1,0)+IF(J259&lt;&gt;"",1,0)+IF(L259&lt;&gt;"",1,0)</x:f>
        <x:v>1</x:v>
      </x:c>
      <x:c r="O259" s="14" t="str">
        <x:f>IF(E259="","MISSING MAIN",IF(N259=1,"MAIN ONLY","MULTI-PHOTO"))</x:f>
        <x:v>MAIN ONLY</x:v>
      </x:c>
      <x:c r="P259" s="14" t="str">
        <x:v>0289_</x:v>
      </x:c>
      <x:c r="Q259" s="14" t="str">
        <x:v>https://mb1advancedsolutions.github.io/mb1-catalog/index.html?design=0289</x:v>
      </x:c>
      <x:c r="R259" s="14" t="str"/>
    </x:row>
    <x:row r="260">
      <x:c r="A260" s="13" t="str">
        <x:v>MB1-0290</x:v>
      </x:c>
      <x:c r="B260" s="13" t="str">
        <x:v>MB1-0290</x:v>
      </x:c>
      <x:c r="C260" s="14" t="str">
        <x:v>EAGLE 18</x:v>
      </x:c>
      <x:c r="D260" s="14" t="str">
        <x:v>wildlife and outdoors</x:v>
      </x:c>
      <x:c r="E260" s="14" t="str">
        <x:v>https://res.cloudinary.com/oxygre42/image/upload/f_auto,q_auto,c_pad,b_white,w_1200,h_1200/v1788349231/0290_EAGLE_18.png</x:v>
      </x:c>
      <x:c r="F260" s="14" t="str"/>
      <x:c r="G260" s="14" t="str">
        <x:v>Lifestyle</x:v>
      </x:c>
      <x:c r="H260" s="14" t="str"/>
      <x:c r="I260" s="14" t="str">
        <x:v>Detail</x:v>
      </x:c>
      <x:c r="J260" s="14" t="str"/>
      <x:c r="K260" s="14" t="str">
        <x:v>Scale</x:v>
      </x:c>
      <x:c r="L260" s="14" t="str"/>
      <x:c r="M260" s="14" t="str">
        <x:v>Alternate</x:v>
      </x:c>
      <x:c r="N260" s="14" t="n">
        <x:f>IF(E260&lt;&gt;"",1,0)+IF(F260&lt;&gt;"",1,0)+IF(H260&lt;&gt;"",1,0)+IF(J260&lt;&gt;"",1,0)+IF(L260&lt;&gt;"",1,0)</x:f>
        <x:v>1</x:v>
      </x:c>
      <x:c r="O260" s="14" t="str">
        <x:f>IF(E260="","MISSING MAIN",IF(N260=1,"MAIN ONLY","MULTI-PHOTO"))</x:f>
        <x:v>MAIN ONLY</x:v>
      </x:c>
      <x:c r="P260" s="14" t="str">
        <x:v>0290_</x:v>
      </x:c>
      <x:c r="Q260" s="14" t="str">
        <x:v>https://mb1advancedsolutions.github.io/mb1-catalog/index.html?design=0290</x:v>
      </x:c>
      <x:c r="R260" s="14" t="str"/>
    </x:row>
    <x:row r="261">
      <x:c r="A261" s="13" t="str">
        <x:v>MB1-0291</x:v>
      </x:c>
      <x:c r="B261" s="13" t="str">
        <x:v>MB1-0291</x:v>
      </x:c>
      <x:c r="C261" s="14" t="str">
        <x:v>EAGLE 19 SVG LASER</x:v>
      </x:c>
      <x:c r="D261" s="14" t="str">
        <x:v>wildlife and outdoors</x:v>
      </x:c>
      <x:c r="E261" s="14" t="str">
        <x:v>https://res.cloudinary.com/oxygre42/image/upload/f_auto,q_auto,c_pad,b_white,w_1200,h_1200/v1788349233/0291_EAGLE_19_SVG_LASER.png</x:v>
      </x:c>
      <x:c r="F261" s="14" t="str"/>
      <x:c r="G261" s="14" t="str">
        <x:v>Lifestyle</x:v>
      </x:c>
      <x:c r="H261" s="14" t="str"/>
      <x:c r="I261" s="14" t="str">
        <x:v>Detail</x:v>
      </x:c>
      <x:c r="J261" s="14" t="str"/>
      <x:c r="K261" s="14" t="str">
        <x:v>Scale</x:v>
      </x:c>
      <x:c r="L261" s="14" t="str"/>
      <x:c r="M261" s="14" t="str">
        <x:v>Alternate</x:v>
      </x:c>
      <x:c r="N261" s="14" t="n">
        <x:f>IF(E261&lt;&gt;"",1,0)+IF(F261&lt;&gt;"",1,0)+IF(H261&lt;&gt;"",1,0)+IF(J261&lt;&gt;"",1,0)+IF(L261&lt;&gt;"",1,0)</x:f>
        <x:v>1</x:v>
      </x:c>
      <x:c r="O261" s="14" t="str">
        <x:f>IF(E261="","MISSING MAIN",IF(N261=1,"MAIN ONLY","MULTI-PHOTO"))</x:f>
        <x:v>MAIN ONLY</x:v>
      </x:c>
      <x:c r="P261" s="14" t="str">
        <x:v>0291_</x:v>
      </x:c>
      <x:c r="Q261" s="14" t="str">
        <x:v>https://mb1advancedsolutions.github.io/mb1-catalog/index.html?design=0291</x:v>
      </x:c>
      <x:c r="R261" s="14" t="str"/>
    </x:row>
    <x:row r="262">
      <x:c r="A262" s="13" t="str">
        <x:v>MB1-0292</x:v>
      </x:c>
      <x:c r="B262" s="13" t="str">
        <x:v>MB1-0292</x:v>
      </x:c>
      <x:c r="C262" s="14" t="str">
        <x:v>EAGLE 19</x:v>
      </x:c>
      <x:c r="D262" s="14" t="str">
        <x:v>wildlife and outdoors</x:v>
      </x:c>
      <x:c r="E262" s="14" t="str">
        <x:v>https://res.cloudinary.com/oxygre42/image/upload/f_auto,q_auto,c_pad,b_white,w_1200,h_1200/v1788349235/0292_EAGLE_19.png</x:v>
      </x:c>
      <x:c r="F262" s="14" t="str"/>
      <x:c r="G262" s="14" t="str">
        <x:v>Lifestyle</x:v>
      </x:c>
      <x:c r="H262" s="14" t="str"/>
      <x:c r="I262" s="14" t="str">
        <x:v>Detail</x:v>
      </x:c>
      <x:c r="J262" s="14" t="str"/>
      <x:c r="K262" s="14" t="str">
        <x:v>Scale</x:v>
      </x:c>
      <x:c r="L262" s="14" t="str"/>
      <x:c r="M262" s="14" t="str">
        <x:v>Alternate</x:v>
      </x:c>
      <x:c r="N262" s="14" t="n">
        <x:f>IF(E262&lt;&gt;"",1,0)+IF(F262&lt;&gt;"",1,0)+IF(H262&lt;&gt;"",1,0)+IF(J262&lt;&gt;"",1,0)+IF(L262&lt;&gt;"",1,0)</x:f>
        <x:v>1</x:v>
      </x:c>
      <x:c r="O262" s="14" t="str">
        <x:f>IF(E262="","MISSING MAIN",IF(N262=1,"MAIN ONLY","MULTI-PHOTO"))</x:f>
        <x:v>MAIN ONLY</x:v>
      </x:c>
      <x:c r="P262" s="14" t="str">
        <x:v>0292_</x:v>
      </x:c>
      <x:c r="Q262" s="14" t="str">
        <x:v>https://mb1advancedsolutions.github.io/mb1-catalog/index.html?design=0292</x:v>
      </x:c>
      <x:c r="R262" s="14" t="str"/>
    </x:row>
    <x:row r="263">
      <x:c r="A263" s="13" t="str">
        <x:v>MB1-0293</x:v>
      </x:c>
      <x:c r="B263" s="13" t="str">
        <x:v>MB1-0293</x:v>
      </x:c>
      <x:c r="C263" s="14" t="str">
        <x:v>EAGLE 2</x:v>
      </x:c>
      <x:c r="D263" s="14" t="str">
        <x:v>wildlife and outdoors</x:v>
      </x:c>
      <x:c r="E263" s="14" t="str">
        <x:v>https://res.cloudinary.com/oxygre42/image/upload/f_auto,q_auto,c_pad,b_white,w_1200,h_1200/v1788349237/0293_EAGLE_2.png</x:v>
      </x:c>
      <x:c r="F263" s="14" t="str"/>
      <x:c r="G263" s="14" t="str">
        <x:v>Lifestyle</x:v>
      </x:c>
      <x:c r="H263" s="14" t="str"/>
      <x:c r="I263" s="14" t="str">
        <x:v>Detail</x:v>
      </x:c>
      <x:c r="J263" s="14" t="str"/>
      <x:c r="K263" s="14" t="str">
        <x:v>Scale</x:v>
      </x:c>
      <x:c r="L263" s="14" t="str"/>
      <x:c r="M263" s="14" t="str">
        <x:v>Alternate</x:v>
      </x:c>
      <x:c r="N263" s="14" t="n">
        <x:f>IF(E263&lt;&gt;"",1,0)+IF(F263&lt;&gt;"",1,0)+IF(H263&lt;&gt;"",1,0)+IF(J263&lt;&gt;"",1,0)+IF(L263&lt;&gt;"",1,0)</x:f>
        <x:v>1</x:v>
      </x:c>
      <x:c r="O263" s="14" t="str">
        <x:f>IF(E263="","MISSING MAIN",IF(N263=1,"MAIN ONLY","MULTI-PHOTO"))</x:f>
        <x:v>MAIN ONLY</x:v>
      </x:c>
      <x:c r="P263" s="14" t="str">
        <x:v>0293_</x:v>
      </x:c>
      <x:c r="Q263" s="14" t="str">
        <x:v>https://mb1advancedsolutions.github.io/mb1-catalog/index.html?design=0293</x:v>
      </x:c>
      <x:c r="R263" s="14" t="str"/>
    </x:row>
    <x:row r="264">
      <x:c r="A264" s="13" t="str">
        <x:v>MB1-0294</x:v>
      </x:c>
      <x:c r="B264" s="13" t="str">
        <x:v>MB1-0294</x:v>
      </x:c>
      <x:c r="C264" s="14" t="str">
        <x:v>EAGLE 21 SVG LASER</x:v>
      </x:c>
      <x:c r="D264" s="14" t="str">
        <x:v>wildlife and outdoors</x:v>
      </x:c>
      <x:c r="E264" s="14" t="str">
        <x:v>https://res.cloudinary.com/oxygre42/image/upload/f_auto,q_auto,c_pad,b_white,w_1200,h_1200/v1788349239/0294_EAGLE_21_SVG_LASER.png</x:v>
      </x:c>
      <x:c r="F264" s="14" t="str"/>
      <x:c r="G264" s="14" t="str">
        <x:v>Lifestyle</x:v>
      </x:c>
      <x:c r="H264" s="14" t="str"/>
      <x:c r="I264" s="14" t="str">
        <x:v>Detail</x:v>
      </x:c>
      <x:c r="J264" s="14" t="str"/>
      <x:c r="K264" s="14" t="str">
        <x:v>Scale</x:v>
      </x:c>
      <x:c r="L264" s="14" t="str"/>
      <x:c r="M264" s="14" t="str">
        <x:v>Alternate</x:v>
      </x:c>
      <x:c r="N264" s="14" t="n">
        <x:f>IF(E264&lt;&gt;"",1,0)+IF(F264&lt;&gt;"",1,0)+IF(H264&lt;&gt;"",1,0)+IF(J264&lt;&gt;"",1,0)+IF(L264&lt;&gt;"",1,0)</x:f>
        <x:v>1</x:v>
      </x:c>
      <x:c r="O264" s="14" t="str">
        <x:f>IF(E264="","MISSING MAIN",IF(N264=1,"MAIN ONLY","MULTI-PHOTO"))</x:f>
        <x:v>MAIN ONLY</x:v>
      </x:c>
      <x:c r="P264" s="14" t="str">
        <x:v>0294_</x:v>
      </x:c>
      <x:c r="Q264" s="14" t="str">
        <x:v>https://mb1advancedsolutions.github.io/mb1-catalog/index.html?design=0294</x:v>
      </x:c>
      <x:c r="R264" s="14" t="str"/>
    </x:row>
    <x:row r="265">
      <x:c r="A265" s="13" t="str">
        <x:v>MB1-0295</x:v>
      </x:c>
      <x:c r="B265" s="13" t="str">
        <x:v>MB1-0295</x:v>
      </x:c>
      <x:c r="C265" s="14" t="str">
        <x:v>EAGLE 3</x:v>
      </x:c>
      <x:c r="D265" s="14" t="str">
        <x:v>wildlife and outdoors</x:v>
      </x:c>
      <x:c r="E265" s="14" t="str">
        <x:v>https://res.cloudinary.com/oxygre42/image/upload/f_auto,q_auto,c_pad,b_white,w_1200,h_1200/v1788349241/0295_EAGLE_3.png</x:v>
      </x:c>
      <x:c r="F265" s="14" t="str"/>
      <x:c r="G265" s="14" t="str">
        <x:v>Lifestyle</x:v>
      </x:c>
      <x:c r="H265" s="14" t="str"/>
      <x:c r="I265" s="14" t="str">
        <x:v>Detail</x:v>
      </x:c>
      <x:c r="J265" s="14" t="str"/>
      <x:c r="K265" s="14" t="str">
        <x:v>Scale</x:v>
      </x:c>
      <x:c r="L265" s="14" t="str"/>
      <x:c r="M265" s="14" t="str">
        <x:v>Alternate</x:v>
      </x:c>
      <x:c r="N265" s="14" t="n">
        <x:f>IF(E265&lt;&gt;"",1,0)+IF(F265&lt;&gt;"",1,0)+IF(H265&lt;&gt;"",1,0)+IF(J265&lt;&gt;"",1,0)+IF(L265&lt;&gt;"",1,0)</x:f>
        <x:v>1</x:v>
      </x:c>
      <x:c r="O265" s="14" t="str">
        <x:f>IF(E265="","MISSING MAIN",IF(N265=1,"MAIN ONLY","MULTI-PHOTO"))</x:f>
        <x:v>MAIN ONLY</x:v>
      </x:c>
      <x:c r="P265" s="14" t="str">
        <x:v>0295_</x:v>
      </x:c>
      <x:c r="Q265" s="14" t="str">
        <x:v>https://mb1advancedsolutions.github.io/mb1-catalog/index.html?design=0295</x:v>
      </x:c>
      <x:c r="R265" s="14" t="str"/>
    </x:row>
    <x:row r="266">
      <x:c r="A266" s="13" t="str">
        <x:v>MB1-0296</x:v>
      </x:c>
      <x:c r="B266" s="13" t="str">
        <x:v>MB1-0296</x:v>
      </x:c>
      <x:c r="C266" s="14" t="str">
        <x:v>EAGLE 4</x:v>
      </x:c>
      <x:c r="D266" s="14" t="str">
        <x:v>wildlife and outdoors</x:v>
      </x:c>
      <x:c r="E266" s="14" t="str">
        <x:v>https://res.cloudinary.com/oxygre42/image/upload/f_auto,q_auto,c_pad,b_white,w_1200,h_1200/v1788349243/0296_EAGLE_4.png</x:v>
      </x:c>
      <x:c r="F266" s="14" t="str"/>
      <x:c r="G266" s="14" t="str">
        <x:v>Lifestyle</x:v>
      </x:c>
      <x:c r="H266" s="14" t="str"/>
      <x:c r="I266" s="14" t="str">
        <x:v>Detail</x:v>
      </x:c>
      <x:c r="J266" s="14" t="str"/>
      <x:c r="K266" s="14" t="str">
        <x:v>Scale</x:v>
      </x:c>
      <x:c r="L266" s="14" t="str"/>
      <x:c r="M266" s="14" t="str">
        <x:v>Alternate</x:v>
      </x:c>
      <x:c r="N266" s="14" t="n">
        <x:f>IF(E266&lt;&gt;"",1,0)+IF(F266&lt;&gt;"",1,0)+IF(H266&lt;&gt;"",1,0)+IF(J266&lt;&gt;"",1,0)+IF(L266&lt;&gt;"",1,0)</x:f>
        <x:v>1</x:v>
      </x:c>
      <x:c r="O266" s="14" t="str">
        <x:f>IF(E266="","MISSING MAIN",IF(N266=1,"MAIN ONLY","MULTI-PHOTO"))</x:f>
        <x:v>MAIN ONLY</x:v>
      </x:c>
      <x:c r="P266" s="14" t="str">
        <x:v>0296_</x:v>
      </x:c>
      <x:c r="Q266" s="14" t="str">
        <x:v>https://mb1advancedsolutions.github.io/mb1-catalog/index.html?design=0296</x:v>
      </x:c>
      <x:c r="R266" s="14" t="str"/>
    </x:row>
    <x:row r="267">
      <x:c r="A267" s="13" t="str">
        <x:v>MB1-0297</x:v>
      </x:c>
      <x:c r="B267" s="13" t="str">
        <x:v>MB1-0297</x:v>
      </x:c>
      <x:c r="C267" s="14" t="str">
        <x:v>EAGLE 5</x:v>
      </x:c>
      <x:c r="D267" s="14" t="str">
        <x:v>wildlife and outdoors</x:v>
      </x:c>
      <x:c r="E267" s="14" t="str">
        <x:v>https://res.cloudinary.com/oxygre42/image/upload/f_auto,q_auto,c_pad,b_white,w_1200,h_1200/v1788349244/0297_EAGLE_5.png</x:v>
      </x:c>
      <x:c r="F267" s="14" t="str"/>
      <x:c r="G267" s="14" t="str">
        <x:v>Lifestyle</x:v>
      </x:c>
      <x:c r="H267" s="14" t="str"/>
      <x:c r="I267" s="14" t="str">
        <x:v>Detail</x:v>
      </x:c>
      <x:c r="J267" s="14" t="str"/>
      <x:c r="K267" s="14" t="str">
        <x:v>Scale</x:v>
      </x:c>
      <x:c r="L267" s="14" t="str"/>
      <x:c r="M267" s="14" t="str">
        <x:v>Alternate</x:v>
      </x:c>
      <x:c r="N267" s="14" t="n">
        <x:f>IF(E267&lt;&gt;"",1,0)+IF(F267&lt;&gt;"",1,0)+IF(H267&lt;&gt;"",1,0)+IF(J267&lt;&gt;"",1,0)+IF(L267&lt;&gt;"",1,0)</x:f>
        <x:v>1</x:v>
      </x:c>
      <x:c r="O267" s="14" t="str">
        <x:f>IF(E267="","MISSING MAIN",IF(N267=1,"MAIN ONLY","MULTI-PHOTO"))</x:f>
        <x:v>MAIN ONLY</x:v>
      </x:c>
      <x:c r="P267" s="14" t="str">
        <x:v>0297_</x:v>
      </x:c>
      <x:c r="Q267" s="14" t="str">
        <x:v>https://mb1advancedsolutions.github.io/mb1-catalog/index.html?design=0297</x:v>
      </x:c>
      <x:c r="R267" s="14" t="str"/>
    </x:row>
    <x:row r="268">
      <x:c r="A268" s="13" t="str">
        <x:v>MB1-0298</x:v>
      </x:c>
      <x:c r="B268" s="13" t="str">
        <x:v>MB1-0298</x:v>
      </x:c>
      <x:c r="C268" s="14" t="str">
        <x:v>EAGLE 6</x:v>
      </x:c>
      <x:c r="D268" s="14" t="str">
        <x:v>wildlife and outdoors</x:v>
      </x:c>
      <x:c r="E268" s="14" t="str">
        <x:v>https://res.cloudinary.com/oxygre42/image/upload/f_auto,q_auto,c_pad,b_white,w_1200,h_1200/v1788349246/0298_EAGLE_6.png</x:v>
      </x:c>
      <x:c r="F268" s="14" t="str"/>
      <x:c r="G268" s="14" t="str">
        <x:v>Lifestyle</x:v>
      </x:c>
      <x:c r="H268" s="14" t="str"/>
      <x:c r="I268" s="14" t="str">
        <x:v>Detail</x:v>
      </x:c>
      <x:c r="J268" s="14" t="str"/>
      <x:c r="K268" s="14" t="str">
        <x:v>Scale</x:v>
      </x:c>
      <x:c r="L268" s="14" t="str"/>
      <x:c r="M268" s="14" t="str">
        <x:v>Alternate</x:v>
      </x:c>
      <x:c r="N268" s="14" t="n">
        <x:f>IF(E268&lt;&gt;"",1,0)+IF(F268&lt;&gt;"",1,0)+IF(H268&lt;&gt;"",1,0)+IF(J268&lt;&gt;"",1,0)+IF(L268&lt;&gt;"",1,0)</x:f>
        <x:v>1</x:v>
      </x:c>
      <x:c r="O268" s="14" t="str">
        <x:f>IF(E268="","MISSING MAIN",IF(N268=1,"MAIN ONLY","MULTI-PHOTO"))</x:f>
        <x:v>MAIN ONLY</x:v>
      </x:c>
      <x:c r="P268" s="14" t="str">
        <x:v>0298_</x:v>
      </x:c>
      <x:c r="Q268" s="14" t="str">
        <x:v>https://mb1advancedsolutions.github.io/mb1-catalog/index.html?design=0298</x:v>
      </x:c>
      <x:c r="R268" s="14" t="str"/>
    </x:row>
    <x:row r="269">
      <x:c r="A269" s="13" t="str">
        <x:v>MB1-0299</x:v>
      </x:c>
      <x:c r="B269" s="13" t="str">
        <x:v>MB1-0299</x:v>
      </x:c>
      <x:c r="C269" s="14" t="str">
        <x:v>EAGLE 7</x:v>
      </x:c>
      <x:c r="D269" s="14" t="str">
        <x:v>wildlife and outdoors</x:v>
      </x:c>
      <x:c r="E269" s="14" t="str">
        <x:v>https://res.cloudinary.com/oxygre42/image/upload/f_auto,q_auto,c_pad,b_white,w_1200,h_1200/v1788349248/0299_EAGLE_7.png</x:v>
      </x:c>
      <x:c r="F269" s="14" t="str"/>
      <x:c r="G269" s="14" t="str">
        <x:v>Lifestyle</x:v>
      </x:c>
      <x:c r="H269" s="14" t="str"/>
      <x:c r="I269" s="14" t="str">
        <x:v>Detail</x:v>
      </x:c>
      <x:c r="J269" s="14" t="str"/>
      <x:c r="K269" s="14" t="str">
        <x:v>Scale</x:v>
      </x:c>
      <x:c r="L269" s="14" t="str"/>
      <x:c r="M269" s="14" t="str">
        <x:v>Alternate</x:v>
      </x:c>
      <x:c r="N269" s="14" t="n">
        <x:f>IF(E269&lt;&gt;"",1,0)+IF(F269&lt;&gt;"",1,0)+IF(H269&lt;&gt;"",1,0)+IF(J269&lt;&gt;"",1,0)+IF(L269&lt;&gt;"",1,0)</x:f>
        <x:v>1</x:v>
      </x:c>
      <x:c r="O269" s="14" t="str">
        <x:f>IF(E269="","MISSING MAIN",IF(N269=1,"MAIN ONLY","MULTI-PHOTO"))</x:f>
        <x:v>MAIN ONLY</x:v>
      </x:c>
      <x:c r="P269" s="14" t="str">
        <x:v>0299_</x:v>
      </x:c>
      <x:c r="Q269" s="14" t="str">
        <x:v>https://mb1advancedsolutions.github.io/mb1-catalog/index.html?design=0299</x:v>
      </x:c>
      <x:c r="R269" s="14" t="str"/>
    </x:row>
    <x:row r="270">
      <x:c r="A270" s="13" t="str">
        <x:v>MB1-0300</x:v>
      </x:c>
      <x:c r="B270" s="13" t="str">
        <x:v>MB1-0300</x:v>
      </x:c>
      <x:c r="C270" s="14" t="str">
        <x:v>EAGLE 8</x:v>
      </x:c>
      <x:c r="D270" s="14" t="str">
        <x:v>wildlife and outdoors</x:v>
      </x:c>
      <x:c r="E270" s="14" t="str">
        <x:v>https://res.cloudinary.com/oxygre42/image/upload/f_auto,q_auto,c_pad,b_white,w_1200,h_1200/v1788349250/0300_EAGLE_8.png</x:v>
      </x:c>
      <x:c r="F270" s="14" t="str"/>
      <x:c r="G270" s="14" t="str">
        <x:v>Lifestyle</x:v>
      </x:c>
      <x:c r="H270" s="14" t="str"/>
      <x:c r="I270" s="14" t="str">
        <x:v>Detail</x:v>
      </x:c>
      <x:c r="J270" s="14" t="str"/>
      <x:c r="K270" s="14" t="str">
        <x:v>Scale</x:v>
      </x:c>
      <x:c r="L270" s="14" t="str"/>
      <x:c r="M270" s="14" t="str">
        <x:v>Alternate</x:v>
      </x:c>
      <x:c r="N270" s="14" t="n">
        <x:f>IF(E270&lt;&gt;"",1,0)+IF(F270&lt;&gt;"",1,0)+IF(H270&lt;&gt;"",1,0)+IF(J270&lt;&gt;"",1,0)+IF(L270&lt;&gt;"",1,0)</x:f>
        <x:v>1</x:v>
      </x:c>
      <x:c r="O270" s="14" t="str">
        <x:f>IF(E270="","MISSING MAIN",IF(N270=1,"MAIN ONLY","MULTI-PHOTO"))</x:f>
        <x:v>MAIN ONLY</x:v>
      </x:c>
      <x:c r="P270" s="14" t="str">
        <x:v>0300_</x:v>
      </x:c>
      <x:c r="Q270" s="14" t="str">
        <x:v>https://mb1advancedsolutions.github.io/mb1-catalog/index.html?design=0300</x:v>
      </x:c>
      <x:c r="R270" s="14" t="str"/>
    </x:row>
    <x:row r="271">
      <x:c r="A271" s="13" t="str">
        <x:v>MB1-0301</x:v>
      </x:c>
      <x:c r="B271" s="13" t="str">
        <x:v>MB1-0301</x:v>
      </x:c>
      <x:c r="C271" s="14" t="str">
        <x:v>EAGLE 9</x:v>
      </x:c>
      <x:c r="D271" s="14" t="str">
        <x:v>wildlife and outdoors</x:v>
      </x:c>
      <x:c r="E271" s="14" t="str">
        <x:v>https://res.cloudinary.com/oxygre42/image/upload/f_auto,q_auto,c_pad,b_white,w_1200,h_1200/v1788349252/0301_EAGLE_9.png</x:v>
      </x:c>
      <x:c r="F271" s="14" t="str"/>
      <x:c r="G271" s="14" t="str">
        <x:v>Lifestyle</x:v>
      </x:c>
      <x:c r="H271" s="14" t="str"/>
      <x:c r="I271" s="14" t="str">
        <x:v>Detail</x:v>
      </x:c>
      <x:c r="J271" s="14" t="str"/>
      <x:c r="K271" s="14" t="str">
        <x:v>Scale</x:v>
      </x:c>
      <x:c r="L271" s="14" t="str"/>
      <x:c r="M271" s="14" t="str">
        <x:v>Alternate</x:v>
      </x:c>
      <x:c r="N271" s="14" t="n">
        <x:f>IF(E271&lt;&gt;"",1,0)+IF(F271&lt;&gt;"",1,0)+IF(H271&lt;&gt;"",1,0)+IF(J271&lt;&gt;"",1,0)+IF(L271&lt;&gt;"",1,0)</x:f>
        <x:v>1</x:v>
      </x:c>
      <x:c r="O271" s="14" t="str">
        <x:f>IF(E271="","MISSING MAIN",IF(N271=1,"MAIN ONLY","MULTI-PHOTO"))</x:f>
        <x:v>MAIN ONLY</x:v>
      </x:c>
      <x:c r="P271" s="14" t="str">
        <x:v>0301_</x:v>
      </x:c>
      <x:c r="Q271" s="14" t="str">
        <x:v>https://mb1advancedsolutions.github.io/mb1-catalog/index.html?design=0301</x:v>
      </x:c>
      <x:c r="R271" s="14" t="str"/>
    </x:row>
    <x:row r="272">
      <x:c r="A272" s="13" t="str">
        <x:v>MB1-0302</x:v>
      </x:c>
      <x:c r="B272" s="13" t="str">
        <x:v>MB1-0302</x:v>
      </x:c>
      <x:c r="C272" s="14" t="str">
        <x:v>FALL 1</x:v>
      </x:c>
      <x:c r="D272" s="14" t="str">
        <x:v>seasonal and holiday</x:v>
      </x:c>
      <x:c r="E272" s="14" t="str">
        <x:v>https://res.cloudinary.com/oxygre42/image/upload/f_auto,q_auto,c_pad,b_white,w_1200,h_1200/v1788349254/0302_FALL_1.png</x:v>
      </x:c>
      <x:c r="F272" s="14" t="str"/>
      <x:c r="G272" s="14" t="str">
        <x:v>Lifestyle</x:v>
      </x:c>
      <x:c r="H272" s="14" t="str"/>
      <x:c r="I272" s="14" t="str">
        <x:v>Detail</x:v>
      </x:c>
      <x:c r="J272" s="14" t="str"/>
      <x:c r="K272" s="14" t="str">
        <x:v>Scale</x:v>
      </x:c>
      <x:c r="L272" s="14" t="str"/>
      <x:c r="M272" s="14" t="str">
        <x:v>Alternate</x:v>
      </x:c>
      <x:c r="N272" s="14" t="n">
        <x:f>IF(E272&lt;&gt;"",1,0)+IF(F272&lt;&gt;"",1,0)+IF(H272&lt;&gt;"",1,0)+IF(J272&lt;&gt;"",1,0)+IF(L272&lt;&gt;"",1,0)</x:f>
        <x:v>1</x:v>
      </x:c>
      <x:c r="O272" s="14" t="str">
        <x:f>IF(E272="","MISSING MAIN",IF(N272=1,"MAIN ONLY","MULTI-PHOTO"))</x:f>
        <x:v>MAIN ONLY</x:v>
      </x:c>
      <x:c r="P272" s="14" t="str">
        <x:v>0302_</x:v>
      </x:c>
      <x:c r="Q272" s="14" t="str">
        <x:v>https://mb1advancedsolutions.github.io/mb1-catalog/index.html?design=0302</x:v>
      </x:c>
      <x:c r="R272" s="14" t="str"/>
    </x:row>
    <x:row r="273">
      <x:c r="A273" s="13" t="str">
        <x:v>MB1-0303</x:v>
      </x:c>
      <x:c r="B273" s="13" t="str">
        <x:v>MB1-0303</x:v>
      </x:c>
      <x:c r="C273" s="14" t="str">
        <x:v>FALL 2</x:v>
      </x:c>
      <x:c r="D273" s="14" t="str">
        <x:v>seasonal and holiday</x:v>
      </x:c>
      <x:c r="E273" s="14" t="str">
        <x:v>https://res.cloudinary.com/oxygre42/image/upload/f_auto,q_auto,c_pad,b_white,w_1200,h_1200/v1788349257/0303_FALL_2.png</x:v>
      </x:c>
      <x:c r="F273" s="14" t="str"/>
      <x:c r="G273" s="14" t="str">
        <x:v>Lifestyle</x:v>
      </x:c>
      <x:c r="H273" s="14" t="str"/>
      <x:c r="I273" s="14" t="str">
        <x:v>Detail</x:v>
      </x:c>
      <x:c r="J273" s="14" t="str"/>
      <x:c r="K273" s="14" t="str">
        <x:v>Scale</x:v>
      </x:c>
      <x:c r="L273" s="14" t="str"/>
      <x:c r="M273" s="14" t="str">
        <x:v>Alternate</x:v>
      </x:c>
      <x:c r="N273" s="14" t="n">
        <x:f>IF(E273&lt;&gt;"",1,0)+IF(F273&lt;&gt;"",1,0)+IF(H273&lt;&gt;"",1,0)+IF(J273&lt;&gt;"",1,0)+IF(L273&lt;&gt;"",1,0)</x:f>
        <x:v>1</x:v>
      </x:c>
      <x:c r="O273" s="14" t="str">
        <x:f>IF(E273="","MISSING MAIN",IF(N273=1,"MAIN ONLY","MULTI-PHOTO"))</x:f>
        <x:v>MAIN ONLY</x:v>
      </x:c>
      <x:c r="P273" s="14" t="str">
        <x:v>0303_</x:v>
      </x:c>
      <x:c r="Q273" s="14" t="str">
        <x:v>https://mb1advancedsolutions.github.io/mb1-catalog/index.html?design=0303</x:v>
      </x:c>
      <x:c r="R273" s="14" t="str"/>
    </x:row>
    <x:row r="274">
      <x:c r="A274" s="13" t="str">
        <x:v>MB1-0304</x:v>
      </x:c>
      <x:c r="B274" s="13" t="str">
        <x:v>MB1-0304</x:v>
      </x:c>
      <x:c r="C274" s="14" t="str">
        <x:v>FALL 3</x:v>
      </x:c>
      <x:c r="D274" s="14" t="str">
        <x:v>seasonal and holiday</x:v>
      </x:c>
      <x:c r="E274" s="14" t="str">
        <x:v>https://res.cloudinary.com/oxygre42/image/upload/f_auto,q_auto,c_pad,b_white,w_1200,h_1200/v1788349259/0304_FALL_3.png</x:v>
      </x:c>
      <x:c r="F274" s="14" t="str"/>
      <x:c r="G274" s="14" t="str">
        <x:v>Lifestyle</x:v>
      </x:c>
      <x:c r="H274" s="14" t="str"/>
      <x:c r="I274" s="14" t="str">
        <x:v>Detail</x:v>
      </x:c>
      <x:c r="J274" s="14" t="str"/>
      <x:c r="K274" s="14" t="str">
        <x:v>Scale</x:v>
      </x:c>
      <x:c r="L274" s="14" t="str"/>
      <x:c r="M274" s="14" t="str">
        <x:v>Alternate</x:v>
      </x:c>
      <x:c r="N274" s="14" t="n">
        <x:f>IF(E274&lt;&gt;"",1,0)+IF(F274&lt;&gt;"",1,0)+IF(H274&lt;&gt;"",1,0)+IF(J274&lt;&gt;"",1,0)+IF(L274&lt;&gt;"",1,0)</x:f>
        <x:v>1</x:v>
      </x:c>
      <x:c r="O274" s="14" t="str">
        <x:f>IF(E274="","MISSING MAIN",IF(N274=1,"MAIN ONLY","MULTI-PHOTO"))</x:f>
        <x:v>MAIN ONLY</x:v>
      </x:c>
      <x:c r="P274" s="14" t="str">
        <x:v>0304_</x:v>
      </x:c>
      <x:c r="Q274" s="14" t="str">
        <x:v>https://mb1advancedsolutions.github.io/mb1-catalog/index.html?design=0304</x:v>
      </x:c>
      <x:c r="R274" s="14" t="str"/>
    </x:row>
    <x:row r="275">
      <x:c r="A275" s="13" t="str">
        <x:v>MB1-0305</x:v>
      </x:c>
      <x:c r="B275" s="13" t="str">
        <x:v>MB1-0305</x:v>
      </x:c>
      <x:c r="C275" s="14" t="str">
        <x:v>FALL 4</x:v>
      </x:c>
      <x:c r="D275" s="14" t="str">
        <x:v>seasonal and holiday</x:v>
      </x:c>
      <x:c r="E275" s="14" t="str">
        <x:v>https://res.cloudinary.com/oxygre42/image/upload/f_auto,q_auto,c_pad,b_white,w_1200,h_1200/v1788349261/0305_FALL_4.png</x:v>
      </x:c>
      <x:c r="F275" s="14" t="str"/>
      <x:c r="G275" s="14" t="str">
        <x:v>Lifestyle</x:v>
      </x:c>
      <x:c r="H275" s="14" t="str"/>
      <x:c r="I275" s="14" t="str">
        <x:v>Detail</x:v>
      </x:c>
      <x:c r="J275" s="14" t="str"/>
      <x:c r="K275" s="14" t="str">
        <x:v>Scale</x:v>
      </x:c>
      <x:c r="L275" s="14" t="str"/>
      <x:c r="M275" s="14" t="str">
        <x:v>Alternate</x:v>
      </x:c>
      <x:c r="N275" s="14" t="n">
        <x:f>IF(E275&lt;&gt;"",1,0)+IF(F275&lt;&gt;"",1,0)+IF(H275&lt;&gt;"",1,0)+IF(J275&lt;&gt;"",1,0)+IF(L275&lt;&gt;"",1,0)</x:f>
        <x:v>1</x:v>
      </x:c>
      <x:c r="O275" s="14" t="str">
        <x:f>IF(E275="","MISSING MAIN",IF(N275=1,"MAIN ONLY","MULTI-PHOTO"))</x:f>
        <x:v>MAIN ONLY</x:v>
      </x:c>
      <x:c r="P275" s="14" t="str">
        <x:v>0305_</x:v>
      </x:c>
      <x:c r="Q275" s="14" t="str">
        <x:v>https://mb1advancedsolutions.github.io/mb1-catalog/index.html?design=0305</x:v>
      </x:c>
      <x:c r="R275" s="14" t="str"/>
    </x:row>
    <x:row r="276">
      <x:c r="A276" s="13" t="str">
        <x:v>MB1-0306</x:v>
      </x:c>
      <x:c r="B276" s="13" t="str">
        <x:v>MB1-0306</x:v>
      </x:c>
      <x:c r="C276" s="14" t="str">
        <x:v>FALL 5</x:v>
      </x:c>
      <x:c r="D276" s="14" t="str">
        <x:v>seasonal and holiday</x:v>
      </x:c>
      <x:c r="E276" s="14" t="str">
        <x:v>https://res.cloudinary.com/oxygre42/image/upload/f_auto,q_auto,c_pad,b_white,w_1200,h_1200/v1788349263/0306_FALL_5.png</x:v>
      </x:c>
      <x:c r="F276" s="14" t="str"/>
      <x:c r="G276" s="14" t="str">
        <x:v>Lifestyle</x:v>
      </x:c>
      <x:c r="H276" s="14" t="str"/>
      <x:c r="I276" s="14" t="str">
        <x:v>Detail</x:v>
      </x:c>
      <x:c r="J276" s="14" t="str"/>
      <x:c r="K276" s="14" t="str">
        <x:v>Scale</x:v>
      </x:c>
      <x:c r="L276" s="14" t="str"/>
      <x:c r="M276" s="14" t="str">
        <x:v>Alternate</x:v>
      </x:c>
      <x:c r="N276" s="14" t="n">
        <x:f>IF(E276&lt;&gt;"",1,0)+IF(F276&lt;&gt;"",1,0)+IF(H276&lt;&gt;"",1,0)+IF(J276&lt;&gt;"",1,0)+IF(L276&lt;&gt;"",1,0)</x:f>
        <x:v>1</x:v>
      </x:c>
      <x:c r="O276" s="14" t="str">
        <x:f>IF(E276="","MISSING MAIN",IF(N276=1,"MAIN ONLY","MULTI-PHOTO"))</x:f>
        <x:v>MAIN ONLY</x:v>
      </x:c>
      <x:c r="P276" s="14" t="str">
        <x:v>0306_</x:v>
      </x:c>
      <x:c r="Q276" s="14" t="str">
        <x:v>https://mb1advancedsolutions.github.io/mb1-catalog/index.html?design=0306</x:v>
      </x:c>
      <x:c r="R276" s="14" t="str"/>
    </x:row>
    <x:row r="277">
      <x:c r="A277" s="13" t="str">
        <x:v>MB1-0307</x:v>
      </x:c>
      <x:c r="B277" s="13" t="str">
        <x:v>MB1-0307</x:v>
      </x:c>
      <x:c r="C277" s="14" t="str">
        <x:v>FALL 6</x:v>
      </x:c>
      <x:c r="D277" s="14" t="str">
        <x:v>seasonal and holiday</x:v>
      </x:c>
      <x:c r="E277" s="14" t="str">
        <x:v>https://res.cloudinary.com/oxygre42/image/upload/f_auto,q_auto,c_pad,b_white,w_1200,h_1200/v1788349265/0307_FALL_6.png</x:v>
      </x:c>
      <x:c r="F277" s="14" t="str"/>
      <x:c r="G277" s="14" t="str">
        <x:v>Lifestyle</x:v>
      </x:c>
      <x:c r="H277" s="14" t="str"/>
      <x:c r="I277" s="14" t="str">
        <x:v>Detail</x:v>
      </x:c>
      <x:c r="J277" s="14" t="str"/>
      <x:c r="K277" s="14" t="str">
        <x:v>Scale</x:v>
      </x:c>
      <x:c r="L277" s="14" t="str"/>
      <x:c r="M277" s="14" t="str">
        <x:v>Alternate</x:v>
      </x:c>
      <x:c r="N277" s="14" t="n">
        <x:f>IF(E277&lt;&gt;"",1,0)+IF(F277&lt;&gt;"",1,0)+IF(H277&lt;&gt;"",1,0)+IF(J277&lt;&gt;"",1,0)+IF(L277&lt;&gt;"",1,0)</x:f>
        <x:v>1</x:v>
      </x:c>
      <x:c r="O277" s="14" t="str">
        <x:f>IF(E277="","MISSING MAIN",IF(N277=1,"MAIN ONLY","MULTI-PHOTO"))</x:f>
        <x:v>MAIN ONLY</x:v>
      </x:c>
      <x:c r="P277" s="14" t="str">
        <x:v>0307_</x:v>
      </x:c>
      <x:c r="Q277" s="14" t="str">
        <x:v>https://mb1advancedsolutions.github.io/mb1-catalog/index.html?design=0307</x:v>
      </x:c>
      <x:c r="R277" s="14" t="str"/>
    </x:row>
    <x:row r="278">
      <x:c r="A278" s="13" t="str">
        <x:v>MB1-0308</x:v>
      </x:c>
      <x:c r="B278" s="13" t="str">
        <x:v>MB1-0308</x:v>
      </x:c>
      <x:c r="C278" s="14" t="str">
        <x:v>FALL 7</x:v>
      </x:c>
      <x:c r="D278" s="14" t="str">
        <x:v>seasonal and holiday</x:v>
      </x:c>
      <x:c r="E278" s="14" t="str">
        <x:v>https://res.cloudinary.com/oxygre42/image/upload/f_auto,q_auto,c_pad,b_white,w_1200,h_1200/v1788349267/0308_FALL_7.png</x:v>
      </x:c>
      <x:c r="F278" s="14" t="str"/>
      <x:c r="G278" s="14" t="str">
        <x:v>Lifestyle</x:v>
      </x:c>
      <x:c r="H278" s="14" t="str"/>
      <x:c r="I278" s="14" t="str">
        <x:v>Detail</x:v>
      </x:c>
      <x:c r="J278" s="14" t="str"/>
      <x:c r="K278" s="14" t="str">
        <x:v>Scale</x:v>
      </x:c>
      <x:c r="L278" s="14" t="str"/>
      <x:c r="M278" s="14" t="str">
        <x:v>Alternate</x:v>
      </x:c>
      <x:c r="N278" s="14" t="n">
        <x:f>IF(E278&lt;&gt;"",1,0)+IF(F278&lt;&gt;"",1,0)+IF(H278&lt;&gt;"",1,0)+IF(J278&lt;&gt;"",1,0)+IF(L278&lt;&gt;"",1,0)</x:f>
        <x:v>1</x:v>
      </x:c>
      <x:c r="O278" s="14" t="str">
        <x:f>IF(E278="","MISSING MAIN",IF(N278=1,"MAIN ONLY","MULTI-PHOTO"))</x:f>
        <x:v>MAIN ONLY</x:v>
      </x:c>
      <x:c r="P278" s="14" t="str">
        <x:v>0308_</x:v>
      </x:c>
      <x:c r="Q278" s="14" t="str">
        <x:v>https://mb1advancedsolutions.github.io/mb1-catalog/index.html?design=0308</x:v>
      </x:c>
      <x:c r="R278" s="14" t="str"/>
    </x:row>
    <x:row r="279">
      <x:c r="A279" s="13" t="str">
        <x:v>MB1-0309</x:v>
      </x:c>
      <x:c r="B279" s="13" t="str">
        <x:v>MB1-0309</x:v>
      </x:c>
      <x:c r="C279" s="14" t="str">
        <x:v>FALL 8</x:v>
      </x:c>
      <x:c r="D279" s="14" t="str">
        <x:v>seasonal and holiday</x:v>
      </x:c>
      <x:c r="E279" s="14" t="str">
        <x:v>https://res.cloudinary.com/oxygre42/image/upload/f_auto,q_auto,c_pad,b_white,w_1200,h_1200/v1788349268/0309_FALL_8.png</x:v>
      </x:c>
      <x:c r="F279" s="14" t="str"/>
      <x:c r="G279" s="14" t="str">
        <x:v>Lifestyle</x:v>
      </x:c>
      <x:c r="H279" s="14" t="str"/>
      <x:c r="I279" s="14" t="str">
        <x:v>Detail</x:v>
      </x:c>
      <x:c r="J279" s="14" t="str"/>
      <x:c r="K279" s="14" t="str">
        <x:v>Scale</x:v>
      </x:c>
      <x:c r="L279" s="14" t="str"/>
      <x:c r="M279" s="14" t="str">
        <x:v>Alternate</x:v>
      </x:c>
      <x:c r="N279" s="14" t="n">
        <x:f>IF(E279&lt;&gt;"",1,0)+IF(F279&lt;&gt;"",1,0)+IF(H279&lt;&gt;"",1,0)+IF(J279&lt;&gt;"",1,0)+IF(L279&lt;&gt;"",1,0)</x:f>
        <x:v>1</x:v>
      </x:c>
      <x:c r="O279" s="14" t="str">
        <x:f>IF(E279="","MISSING MAIN",IF(N279=1,"MAIN ONLY","MULTI-PHOTO"))</x:f>
        <x:v>MAIN ONLY</x:v>
      </x:c>
      <x:c r="P279" s="14" t="str">
        <x:v>0309_</x:v>
      </x:c>
      <x:c r="Q279" s="14" t="str">
        <x:v>https://mb1advancedsolutions.github.io/mb1-catalog/index.html?design=0309</x:v>
      </x:c>
      <x:c r="R279" s="14" t="str"/>
    </x:row>
    <x:row r="280">
      <x:c r="A280" s="13" t="str">
        <x:v>MB1-0311</x:v>
      </x:c>
      <x:c r="B280" s="13" t="str">
        <x:v>MB1-0311</x:v>
      </x:c>
      <x:c r="C280" s="14" t="str">
        <x:v>all time best dad</x:v>
      </x:c>
      <x:c r="D280" s="14" t="str">
        <x:v>family &amp; name</x:v>
      </x:c>
      <x:c r="E280" s="14" t="str">
        <x:v>https://res.cloudinary.com/oxygre42/image/upload/f_auto,q_auto,c_pad,b_white,w_1200,h_1200/v1788349270/0311_all_time_best_dad.png</x:v>
      </x:c>
      <x:c r="F280" s="14" t="str"/>
      <x:c r="G280" s="14" t="str">
        <x:v>Lifestyle</x:v>
      </x:c>
      <x:c r="H280" s="14" t="str"/>
      <x:c r="I280" s="14" t="str">
        <x:v>Detail</x:v>
      </x:c>
      <x:c r="J280" s="14" t="str"/>
      <x:c r="K280" s="14" t="str">
        <x:v>Scale</x:v>
      </x:c>
      <x:c r="L280" s="14" t="str"/>
      <x:c r="M280" s="14" t="str">
        <x:v>Alternate</x:v>
      </x:c>
      <x:c r="N280" s="14" t="n">
        <x:f>IF(E280&lt;&gt;"",1,0)+IF(F280&lt;&gt;"",1,0)+IF(H280&lt;&gt;"",1,0)+IF(J280&lt;&gt;"",1,0)+IF(L280&lt;&gt;"",1,0)</x:f>
        <x:v>1</x:v>
      </x:c>
      <x:c r="O280" s="14" t="str">
        <x:f>IF(E280="","MISSING MAIN",IF(N280=1,"MAIN ONLY","MULTI-PHOTO"))</x:f>
        <x:v>MAIN ONLY</x:v>
      </x:c>
      <x:c r="P280" s="14" t="str">
        <x:v>0311_</x:v>
      </x:c>
      <x:c r="Q280" s="14" t="str">
        <x:v>https://mb1advancedsolutions.github.io/mb1-catalog/index.html?design=0311</x:v>
      </x:c>
      <x:c r="R280" s="14" t="str"/>
    </x:row>
    <x:row r="281">
      <x:c r="A281" s="13" t="str">
        <x:v>MB1-0312</x:v>
      </x:c>
      <x:c r="B281" s="13" t="str">
        <x:v>MB1-0312</x:v>
      </x:c>
      <x:c r="C281" s="14" t="str">
        <x:v>best dad ever fishing</x:v>
      </x:c>
      <x:c r="D281" s="14" t="str">
        <x:v>sports and hobbies</x:v>
      </x:c>
      <x:c r="E281" s="14" t="str">
        <x:v>https://res.cloudinary.com/oxygre42/image/upload/f_auto,q_auto,c_pad,b_white,w_1200,h_1200/v1788349272/0312_best_dad_ever_fishing.png</x:v>
      </x:c>
      <x:c r="F281" s="14" t="str"/>
      <x:c r="G281" s="14" t="str">
        <x:v>Lifestyle</x:v>
      </x:c>
      <x:c r="H281" s="14" t="str"/>
      <x:c r="I281" s="14" t="str">
        <x:v>Detail</x:v>
      </x:c>
      <x:c r="J281" s="14" t="str"/>
      <x:c r="K281" s="14" t="str">
        <x:v>Scale</x:v>
      </x:c>
      <x:c r="L281" s="14" t="str"/>
      <x:c r="M281" s="14" t="str">
        <x:v>Alternate</x:v>
      </x:c>
      <x:c r="N281" s="14" t="n">
        <x:f>IF(E281&lt;&gt;"",1,0)+IF(F281&lt;&gt;"",1,0)+IF(H281&lt;&gt;"",1,0)+IF(J281&lt;&gt;"",1,0)+IF(L281&lt;&gt;"",1,0)</x:f>
        <x:v>1</x:v>
      </x:c>
      <x:c r="O281" s="14" t="str">
        <x:f>IF(E281="","MISSING MAIN",IF(N281=1,"MAIN ONLY","MULTI-PHOTO"))</x:f>
        <x:v>MAIN ONLY</x:v>
      </x:c>
      <x:c r="P281" s="14" t="str">
        <x:v>0312_</x:v>
      </x:c>
      <x:c r="Q281" s="14" t="str">
        <x:v>https://mb1advancedsolutions.github.io/mb1-catalog/index.html?design=0312</x:v>
      </x:c>
      <x:c r="R281" s="14" t="str"/>
    </x:row>
    <x:row r="282">
      <x:c r="A282" s="13" t="str">
        <x:v>MB1-0313</x:v>
      </x:c>
      <x:c r="B282" s="13" t="str">
        <x:v>MB1-0313</x:v>
      </x:c>
      <x:c r="C282" s="14" t="str">
        <x:v>best dad in the galaxy(1)</x:v>
      </x:c>
      <x:c r="D282" s="14" t="str">
        <x:v>family &amp; name</x:v>
      </x:c>
      <x:c r="E282" s="14" t="str">
        <x:v>https://res.cloudinary.com/oxygre42/image/upload/f_auto,q_auto,c_pad,b_white,w_1200,h_1200/v1788349275/0313_best_dad_in_the_galaxy_1.png</x:v>
      </x:c>
      <x:c r="F282" s="14" t="str"/>
      <x:c r="G282" s="14" t="str">
        <x:v>Lifestyle</x:v>
      </x:c>
      <x:c r="H282" s="14" t="str"/>
      <x:c r="I282" s="14" t="str">
        <x:v>Detail</x:v>
      </x:c>
      <x:c r="J282" s="14" t="str"/>
      <x:c r="K282" s="14" t="str">
        <x:v>Scale</x:v>
      </x:c>
      <x:c r="L282" s="14" t="str"/>
      <x:c r="M282" s="14" t="str">
        <x:v>Alternate</x:v>
      </x:c>
      <x:c r="N282" s="14" t="n">
        <x:f>IF(E282&lt;&gt;"",1,0)+IF(F282&lt;&gt;"",1,0)+IF(H282&lt;&gt;"",1,0)+IF(J282&lt;&gt;"",1,0)+IF(L282&lt;&gt;"",1,0)</x:f>
        <x:v>1</x:v>
      </x:c>
      <x:c r="O282" s="14" t="str">
        <x:f>IF(E282="","MISSING MAIN",IF(N282=1,"MAIN ONLY","MULTI-PHOTO"))</x:f>
        <x:v>MAIN ONLY</x:v>
      </x:c>
      <x:c r="P282" s="14" t="str">
        <x:v>0313_</x:v>
      </x:c>
      <x:c r="Q282" s="14" t="str">
        <x:v>https://mb1advancedsolutions.github.io/mb1-catalog/index.html?design=0313</x:v>
      </x:c>
      <x:c r="R282" s="14" t="str"/>
    </x:row>
    <x:row r="283">
      <x:c r="A283" s="13" t="str">
        <x:v>MB1-0314</x:v>
      </x:c>
      <x:c r="B283" s="13" t="str">
        <x:v>MB1-0314</x:v>
      </x:c>
      <x:c r="C283" s="14" t="str">
        <x:v>best dad in the galaxy</x:v>
      </x:c>
      <x:c r="D283" s="14" t="str">
        <x:v>family &amp; name</x:v>
      </x:c>
      <x:c r="E283" s="14" t="str">
        <x:v>https://res.cloudinary.com/oxygre42/image/upload/f_auto,q_auto,c_pad,b_white,w_1200,h_1200/v1788349276/0314_best_dad_in_the_galaxy.png</x:v>
      </x:c>
      <x:c r="F283" s="14" t="str"/>
      <x:c r="G283" s="14" t="str">
        <x:v>Lifestyle</x:v>
      </x:c>
      <x:c r="H283" s="14" t="str"/>
      <x:c r="I283" s="14" t="str">
        <x:v>Detail</x:v>
      </x:c>
      <x:c r="J283" s="14" t="str"/>
      <x:c r="K283" s="14" t="str">
        <x:v>Scale</x:v>
      </x:c>
      <x:c r="L283" s="14" t="str"/>
      <x:c r="M283" s="14" t="str">
        <x:v>Alternate</x:v>
      </x:c>
      <x:c r="N283" s="14" t="n">
        <x:f>IF(E283&lt;&gt;"",1,0)+IF(F283&lt;&gt;"",1,0)+IF(H283&lt;&gt;"",1,0)+IF(J283&lt;&gt;"",1,0)+IF(L283&lt;&gt;"",1,0)</x:f>
        <x:v>1</x:v>
      </x:c>
      <x:c r="O283" s="14" t="str">
        <x:f>IF(E283="","MISSING MAIN",IF(N283=1,"MAIN ONLY","MULTI-PHOTO"))</x:f>
        <x:v>MAIN ONLY</x:v>
      </x:c>
      <x:c r="P283" s="14" t="str">
        <x:v>0314_</x:v>
      </x:c>
      <x:c r="Q283" s="14" t="str">
        <x:v>https://mb1advancedsolutions.github.io/mb1-catalog/index.html?design=0314</x:v>
      </x:c>
      <x:c r="R283" s="14" t="str"/>
    </x:row>
    <x:row r="284">
      <x:c r="A284" s="13" t="str">
        <x:v>MB1-0315</x:v>
      </x:c>
      <x:c r="B284" s="13" t="str">
        <x:v>MB1-0315</x:v>
      </x:c>
      <x:c r="C284" s="14" t="str">
        <x:v>dad life</x:v>
      </x:c>
      <x:c r="D284" s="14" t="str">
        <x:v>family &amp; name</x:v>
      </x:c>
      <x:c r="E284" s="14" t="str">
        <x:v>https://res.cloudinary.com/oxygre42/image/upload/f_auto,q_auto,c_pad,b_white,w_1200,h_1200/v1788349278/0315_dad_life.jpg</x:v>
      </x:c>
      <x:c r="F284" s="14" t="str"/>
      <x:c r="G284" s="14" t="str">
        <x:v>Lifestyle</x:v>
      </x:c>
      <x:c r="H284" s="14" t="str"/>
      <x:c r="I284" s="14" t="str">
        <x:v>Detail</x:v>
      </x:c>
      <x:c r="J284" s="14" t="str"/>
      <x:c r="K284" s="14" t="str">
        <x:v>Scale</x:v>
      </x:c>
      <x:c r="L284" s="14" t="str"/>
      <x:c r="M284" s="14" t="str">
        <x:v>Alternate</x:v>
      </x:c>
      <x:c r="N284" s="14" t="n">
        <x:f>IF(E284&lt;&gt;"",1,0)+IF(F284&lt;&gt;"",1,0)+IF(H284&lt;&gt;"",1,0)+IF(J284&lt;&gt;"",1,0)+IF(L284&lt;&gt;"",1,0)</x:f>
        <x:v>1</x:v>
      </x:c>
      <x:c r="O284" s="14" t="str">
        <x:f>IF(E284="","MISSING MAIN",IF(N284=1,"MAIN ONLY","MULTI-PHOTO"))</x:f>
        <x:v>MAIN ONLY</x:v>
      </x:c>
      <x:c r="P284" s="14" t="str">
        <x:v>0315_</x:v>
      </x:c>
      <x:c r="Q284" s="14" t="str">
        <x:v>https://mb1advancedsolutions.github.io/mb1-catalog/index.html?design=0315</x:v>
      </x:c>
      <x:c r="R284" s="14" t="str"/>
    </x:row>
    <x:row r="285">
      <x:c r="A285" s="13" t="str">
        <x:v>MB1-0316</x:v>
      </x:c>
      <x:c r="B285" s="13" t="str">
        <x:v>MB1-0316</x:v>
      </x:c>
      <x:c r="C285" s="14" t="str">
        <x:v>dad teacher </x:v>
      </x:c>
      <x:c r="D285" s="14" t="str">
        <x:v>family &amp; name</x:v>
      </x:c>
      <x:c r="E285" s="14" t="str">
        <x:v>https://res.cloudinary.com/oxygre42/image/upload/f_auto,q_auto,c_pad,b_white,w_1200,h_1200/v1788349280/0316_dad_teacher.jpg</x:v>
      </x:c>
      <x:c r="F285" s="14" t="str"/>
      <x:c r="G285" s="14" t="str">
        <x:v>Lifestyle</x:v>
      </x:c>
      <x:c r="H285" s="14" t="str"/>
      <x:c r="I285" s="14" t="str">
        <x:v>Detail</x:v>
      </x:c>
      <x:c r="J285" s="14" t="str"/>
      <x:c r="K285" s="14" t="str">
        <x:v>Scale</x:v>
      </x:c>
      <x:c r="L285" s="14" t="str"/>
      <x:c r="M285" s="14" t="str">
        <x:v>Alternate</x:v>
      </x:c>
      <x:c r="N285" s="14" t="n">
        <x:f>IF(E285&lt;&gt;"",1,0)+IF(F285&lt;&gt;"",1,0)+IF(H285&lt;&gt;"",1,0)+IF(J285&lt;&gt;"",1,0)+IF(L285&lt;&gt;"",1,0)</x:f>
        <x:v>1</x:v>
      </x:c>
      <x:c r="O285" s="14" t="str">
        <x:f>IF(E285="","MISSING MAIN",IF(N285=1,"MAIN ONLY","MULTI-PHOTO"))</x:f>
        <x:v>MAIN ONLY</x:v>
      </x:c>
      <x:c r="P285" s="14" t="str">
        <x:v>0316_</x:v>
      </x:c>
      <x:c r="Q285" s="14" t="str">
        <x:v>https://mb1advancedsolutions.github.io/mb1-catalog/index.html?design=0316</x:v>
      </x:c>
      <x:c r="R285" s="14" t="str"/>
    </x:row>
    <x:row r="286">
      <x:c r="A286" s="13" t="str">
        <x:v>MB1-0317</x:v>
      </x:c>
      <x:c r="B286" s="13" t="str">
        <x:v>MB1-0317</x:v>
      </x:c>
      <x:c r="C286" s="14" t="str">
        <x:v>dad the man the myth the legend</x:v>
      </x:c>
      <x:c r="D286" s="14" t="str">
        <x:v>family &amp; name</x:v>
      </x:c>
      <x:c r="E286" s="14" t="str">
        <x:v>https://res.cloudinary.com/oxygre42/image/upload/f_auto,q_auto,c_pad,b_white,w_1200,h_1200/v1788349281/0317_dad_the_man_the_myth_the_legend.png</x:v>
      </x:c>
      <x:c r="F286" s="14" t="str"/>
      <x:c r="G286" s="14" t="str">
        <x:v>Lifestyle</x:v>
      </x:c>
      <x:c r="H286" s="14" t="str"/>
      <x:c r="I286" s="14" t="str">
        <x:v>Detail</x:v>
      </x:c>
      <x:c r="J286" s="14" t="str"/>
      <x:c r="K286" s="14" t="str">
        <x:v>Scale</x:v>
      </x:c>
      <x:c r="L286" s="14" t="str"/>
      <x:c r="M286" s="14" t="str">
        <x:v>Alternate</x:v>
      </x:c>
      <x:c r="N286" s="14" t="n">
        <x:f>IF(E286&lt;&gt;"",1,0)+IF(F286&lt;&gt;"",1,0)+IF(H286&lt;&gt;"",1,0)+IF(J286&lt;&gt;"",1,0)+IF(L286&lt;&gt;"",1,0)</x:f>
        <x:v>1</x:v>
      </x:c>
      <x:c r="O286" s="14" t="str">
        <x:f>IF(E286="","MISSING MAIN",IF(N286=1,"MAIN ONLY","MULTI-PHOTO"))</x:f>
        <x:v>MAIN ONLY</x:v>
      </x:c>
      <x:c r="P286" s="14" t="str">
        <x:v>0317_</x:v>
      </x:c>
      <x:c r="Q286" s="14" t="str">
        <x:v>https://mb1advancedsolutions.github.io/mb1-catalog/index.html?design=0317</x:v>
      </x:c>
      <x:c r="R286" s="14" t="str"/>
    </x:row>
    <x:row r="287">
      <x:c r="A287" s="13" t="str">
        <x:v>MB1-0318</x:v>
      </x:c>
      <x:c r="B287" s="13" t="str">
        <x:v>MB1-0318</x:v>
      </x:c>
      <x:c r="C287" s="14" t="str">
        <x:v>Worlds Greatest Dad 1</x:v>
      </x:c>
      <x:c r="D287" s="14" t="str">
        <x:v>family &amp; name</x:v>
      </x:c>
      <x:c r="E287" s="14" t="str">
        <x:v>https://res.cloudinary.com/oxygre42/image/upload/f_auto,q_auto,c_pad,b_white,w_1200,h_1200/v1788349283/0318_Worlds_Greatest_Dad_1.png</x:v>
      </x:c>
      <x:c r="F287" s="14" t="str"/>
      <x:c r="G287" s="14" t="str">
        <x:v>Lifestyle</x:v>
      </x:c>
      <x:c r="H287" s="14" t="str"/>
      <x:c r="I287" s="14" t="str">
        <x:v>Detail</x:v>
      </x:c>
      <x:c r="J287" s="14" t="str"/>
      <x:c r="K287" s="14" t="str">
        <x:v>Scale</x:v>
      </x:c>
      <x:c r="L287" s="14" t="str"/>
      <x:c r="M287" s="14" t="str">
        <x:v>Alternate</x:v>
      </x:c>
      <x:c r="N287" s="14" t="n">
        <x:f>IF(E287&lt;&gt;"",1,0)+IF(F287&lt;&gt;"",1,0)+IF(H287&lt;&gt;"",1,0)+IF(J287&lt;&gt;"",1,0)+IF(L287&lt;&gt;"",1,0)</x:f>
        <x:v>1</x:v>
      </x:c>
      <x:c r="O287" s="14" t="str">
        <x:f>IF(E287="","MISSING MAIN",IF(N287=1,"MAIN ONLY","MULTI-PHOTO"))</x:f>
        <x:v>MAIN ONLY</x:v>
      </x:c>
      <x:c r="P287" s="14" t="str">
        <x:v>0318_</x:v>
      </x:c>
      <x:c r="Q287" s="14" t="str">
        <x:v>https://mb1advancedsolutions.github.io/mb1-catalog/index.html?design=0318</x:v>
      </x:c>
      <x:c r="R287" s="14" t="str"/>
    </x:row>
    <x:row r="288">
      <x:c r="A288" s="13" t="str">
        <x:v>MB1-0319</x:v>
      </x:c>
      <x:c r="B288" s="13" t="str">
        <x:v>MB1-0319</x:v>
      </x:c>
      <x:c r="C288" s="14" t="str">
        <x:v>father's day 1</x:v>
      </x:c>
      <x:c r="D288" s="14" t="str">
        <x:v>seasonal and holiday</x:v>
      </x:c>
      <x:c r="E288" s="14" t="str">
        <x:v>https://res.cloudinary.com/oxygre42/image/upload/f_auto,q_auto,c_pad,b_white,w_1200,h_1200/v1788349285/0319_father_s_day_1.png</x:v>
      </x:c>
      <x:c r="F288" s="14" t="str"/>
      <x:c r="G288" s="14" t="str">
        <x:v>Lifestyle</x:v>
      </x:c>
      <x:c r="H288" s="14" t="str"/>
      <x:c r="I288" s="14" t="str">
        <x:v>Detail</x:v>
      </x:c>
      <x:c r="J288" s="14" t="str"/>
      <x:c r="K288" s="14" t="str">
        <x:v>Scale</x:v>
      </x:c>
      <x:c r="L288" s="14" t="str"/>
      <x:c r="M288" s="14" t="str">
        <x:v>Alternate</x:v>
      </x:c>
      <x:c r="N288" s="14" t="n">
        <x:f>IF(E288&lt;&gt;"",1,0)+IF(F288&lt;&gt;"",1,0)+IF(H288&lt;&gt;"",1,0)+IF(J288&lt;&gt;"",1,0)+IF(L288&lt;&gt;"",1,0)</x:f>
        <x:v>1</x:v>
      </x:c>
      <x:c r="O288" s="14" t="str">
        <x:f>IF(E288="","MISSING MAIN",IF(N288=1,"MAIN ONLY","MULTI-PHOTO"))</x:f>
        <x:v>MAIN ONLY</x:v>
      </x:c>
      <x:c r="P288" s="14" t="str">
        <x:v>0319_</x:v>
      </x:c>
      <x:c r="Q288" s="14" t="str">
        <x:v>https://mb1advancedsolutions.github.io/mb1-catalog/index.html?design=0319</x:v>
      </x:c>
      <x:c r="R288" s="14" t="str"/>
    </x:row>
    <x:row r="289">
      <x:c r="A289" s="13" t="str">
        <x:v>MB1-0320</x:v>
      </x:c>
      <x:c r="B289" s="13" t="str">
        <x:v>MB1-0320</x:v>
      </x:c>
      <x:c r="C289" s="14" t="str">
        <x:v>father's day 2</x:v>
      </x:c>
      <x:c r="D289" s="14" t="str">
        <x:v>seasonal and holiday</x:v>
      </x:c>
      <x:c r="E289" s="14" t="str">
        <x:v>https://res.cloudinary.com/oxygre42/image/upload/f_auto,q_auto,c_pad,b_white,w_1200,h_1200/v1788349287/0320_father_s_day_2.png</x:v>
      </x:c>
      <x:c r="F289" s="14" t="str"/>
      <x:c r="G289" s="14" t="str">
        <x:v>Lifestyle</x:v>
      </x:c>
      <x:c r="H289" s="14" t="str"/>
      <x:c r="I289" s="14" t="str">
        <x:v>Detail</x:v>
      </x:c>
      <x:c r="J289" s="14" t="str"/>
      <x:c r="K289" s="14" t="str">
        <x:v>Scale</x:v>
      </x:c>
      <x:c r="L289" s="14" t="str"/>
      <x:c r="M289" s="14" t="str">
        <x:v>Alternate</x:v>
      </x:c>
      <x:c r="N289" s="14" t="n">
        <x:f>IF(E289&lt;&gt;"",1,0)+IF(F289&lt;&gt;"",1,0)+IF(H289&lt;&gt;"",1,0)+IF(J289&lt;&gt;"",1,0)+IF(L289&lt;&gt;"",1,0)</x:f>
        <x:v>1</x:v>
      </x:c>
      <x:c r="O289" s="14" t="str">
        <x:f>IF(E289="","MISSING MAIN",IF(N289=1,"MAIN ONLY","MULTI-PHOTO"))</x:f>
        <x:v>MAIN ONLY</x:v>
      </x:c>
      <x:c r="P289" s="14" t="str">
        <x:v>0320_</x:v>
      </x:c>
      <x:c r="Q289" s="14" t="str">
        <x:v>https://mb1advancedsolutions.github.io/mb1-catalog/index.html?design=0320</x:v>
      </x:c>
      <x:c r="R289" s="14" t="str"/>
    </x:row>
    <x:row r="290">
      <x:c r="A290" s="13" t="str">
        <x:v>MB1-0321</x:v>
      </x:c>
      <x:c r="B290" s="13" t="str">
        <x:v>MB1-0321</x:v>
      </x:c>
      <x:c r="C290" s="14" t="str">
        <x:v>father's day 3</x:v>
      </x:c>
      <x:c r="D290" s="14" t="str">
        <x:v>seasonal and holiday</x:v>
      </x:c>
      <x:c r="E290" s="14" t="str">
        <x:v>https://res.cloudinary.com/oxygre42/image/upload/f_auto,q_auto,c_pad,b_white,w_1200,h_1200/v1788349289/0321_father_s_day_3.png</x:v>
      </x:c>
      <x:c r="F290" s="14" t="str"/>
      <x:c r="G290" s="14" t="str">
        <x:v>Lifestyle</x:v>
      </x:c>
      <x:c r="H290" s="14" t="str"/>
      <x:c r="I290" s="14" t="str">
        <x:v>Detail</x:v>
      </x:c>
      <x:c r="J290" s="14" t="str"/>
      <x:c r="K290" s="14" t="str">
        <x:v>Scale</x:v>
      </x:c>
      <x:c r="L290" s="14" t="str"/>
      <x:c r="M290" s="14" t="str">
        <x:v>Alternate</x:v>
      </x:c>
      <x:c r="N290" s="14" t="n">
        <x:f>IF(E290&lt;&gt;"",1,0)+IF(F290&lt;&gt;"",1,0)+IF(H290&lt;&gt;"",1,0)+IF(J290&lt;&gt;"",1,0)+IF(L290&lt;&gt;"",1,0)</x:f>
        <x:v>1</x:v>
      </x:c>
      <x:c r="O290" s="14" t="str">
        <x:f>IF(E290="","MISSING MAIN",IF(N290=1,"MAIN ONLY","MULTI-PHOTO"))</x:f>
        <x:v>MAIN ONLY</x:v>
      </x:c>
      <x:c r="P290" s="14" t="str">
        <x:v>0321_</x:v>
      </x:c>
      <x:c r="Q290" s="14" t="str">
        <x:v>https://mb1advancedsolutions.github.io/mb1-catalog/index.html?design=0321</x:v>
      </x:c>
      <x:c r="R290" s="14" t="str"/>
    </x:row>
    <x:row r="291">
      <x:c r="A291" s="13" t="str">
        <x:v>MB1-0322</x:v>
      </x:c>
      <x:c r="B291" s="13" t="str">
        <x:v>MB1-0322</x:v>
      </x:c>
      <x:c r="C291" s="14" t="str">
        <x:v>father's day 4</x:v>
      </x:c>
      <x:c r="D291" s="14" t="str">
        <x:v>seasonal and holiday</x:v>
      </x:c>
      <x:c r="E291" s="14" t="str">
        <x:v>https://res.cloudinary.com/oxygre42/image/upload/f_auto,q_auto,c_pad,b_white,w_1200,h_1200/v1788349291/0322_father_s_day_4.png</x:v>
      </x:c>
      <x:c r="F291" s="14" t="str"/>
      <x:c r="G291" s="14" t="str">
        <x:v>Lifestyle</x:v>
      </x:c>
      <x:c r="H291" s="14" t="str"/>
      <x:c r="I291" s="14" t="str">
        <x:v>Detail</x:v>
      </x:c>
      <x:c r="J291" s="14" t="str"/>
      <x:c r="K291" s="14" t="str">
        <x:v>Scale</x:v>
      </x:c>
      <x:c r="L291" s="14" t="str"/>
      <x:c r="M291" s="14" t="str">
        <x:v>Alternate</x:v>
      </x:c>
      <x:c r="N291" s="14" t="n">
        <x:f>IF(E291&lt;&gt;"",1,0)+IF(F291&lt;&gt;"",1,0)+IF(H291&lt;&gt;"",1,0)+IF(J291&lt;&gt;"",1,0)+IF(L291&lt;&gt;"",1,0)</x:f>
        <x:v>1</x:v>
      </x:c>
      <x:c r="O291" s="14" t="str">
        <x:f>IF(E291="","MISSING MAIN",IF(N291=1,"MAIN ONLY","MULTI-PHOTO"))</x:f>
        <x:v>MAIN ONLY</x:v>
      </x:c>
      <x:c r="P291" s="14" t="str">
        <x:v>0322_</x:v>
      </x:c>
      <x:c r="Q291" s="14" t="str">
        <x:v>https://mb1advancedsolutions.github.io/mb1-catalog/index.html?design=0322</x:v>
      </x:c>
      <x:c r="R291" s="14" t="str"/>
    </x:row>
    <x:row r="292">
      <x:c r="A292" s="13" t="str">
        <x:v>MB1-0323</x:v>
      </x:c>
      <x:c r="B292" s="13" t="str">
        <x:v>MB1-0323</x:v>
      </x:c>
      <x:c r="C292" s="14" t="str">
        <x:v>father's day 5</x:v>
      </x:c>
      <x:c r="D292" s="14" t="str">
        <x:v>seasonal and holiday</x:v>
      </x:c>
      <x:c r="E292" s="14" t="str">
        <x:v>https://res.cloudinary.com/oxygre42/image/upload/f_auto,q_auto,c_pad,b_white,w_1200,h_1200/v1788349293/0323_father_s_day_5.png</x:v>
      </x:c>
      <x:c r="F292" s="14" t="str"/>
      <x:c r="G292" s="14" t="str">
        <x:v>Lifestyle</x:v>
      </x:c>
      <x:c r="H292" s="14" t="str"/>
      <x:c r="I292" s="14" t="str">
        <x:v>Detail</x:v>
      </x:c>
      <x:c r="J292" s="14" t="str"/>
      <x:c r="K292" s="14" t="str">
        <x:v>Scale</x:v>
      </x:c>
      <x:c r="L292" s="14" t="str"/>
      <x:c r="M292" s="14" t="str">
        <x:v>Alternate</x:v>
      </x:c>
      <x:c r="N292" s="14" t="n">
        <x:f>IF(E292&lt;&gt;"",1,0)+IF(F292&lt;&gt;"",1,0)+IF(H292&lt;&gt;"",1,0)+IF(J292&lt;&gt;"",1,0)+IF(L292&lt;&gt;"",1,0)</x:f>
        <x:v>1</x:v>
      </x:c>
      <x:c r="O292" s="14" t="str">
        <x:f>IF(E292="","MISSING MAIN",IF(N292=1,"MAIN ONLY","MULTI-PHOTO"))</x:f>
        <x:v>MAIN ONLY</x:v>
      </x:c>
      <x:c r="P292" s="14" t="str">
        <x:v>0323_</x:v>
      </x:c>
      <x:c r="Q292" s="14" t="str">
        <x:v>https://mb1advancedsolutions.github.io/mb1-catalog/index.html?design=0323</x:v>
      </x:c>
      <x:c r="R292" s="14" t="str"/>
    </x:row>
    <x:row r="293">
      <x:c r="A293" s="13" t="str">
        <x:v>MB1-0324</x:v>
      </x:c>
      <x:c r="B293" s="13" t="str">
        <x:v>MB1-0324</x:v>
      </x:c>
      <x:c r="C293" s="14" t="str">
        <x:v>father's day 6</x:v>
      </x:c>
      <x:c r="D293" s="14" t="str">
        <x:v>seasonal and holiday</x:v>
      </x:c>
      <x:c r="E293" s="14" t="str">
        <x:v>https://res.cloudinary.com/oxygre42/image/upload/f_auto,q_auto,c_pad,b_white,w_1200,h_1200/v1788349294/0324_father_s_day_6.png</x:v>
      </x:c>
      <x:c r="F293" s="14" t="str"/>
      <x:c r="G293" s="14" t="str">
        <x:v>Lifestyle</x:v>
      </x:c>
      <x:c r="H293" s="14" t="str"/>
      <x:c r="I293" s="14" t="str">
        <x:v>Detail</x:v>
      </x:c>
      <x:c r="J293" s="14" t="str"/>
      <x:c r="K293" s="14" t="str">
        <x:v>Scale</x:v>
      </x:c>
      <x:c r="L293" s="14" t="str"/>
      <x:c r="M293" s="14" t="str">
        <x:v>Alternate</x:v>
      </x:c>
      <x:c r="N293" s="14" t="n">
        <x:f>IF(E293&lt;&gt;"",1,0)+IF(F293&lt;&gt;"",1,0)+IF(H293&lt;&gt;"",1,0)+IF(J293&lt;&gt;"",1,0)+IF(L293&lt;&gt;"",1,0)</x:f>
        <x:v>1</x:v>
      </x:c>
      <x:c r="O293" s="14" t="str">
        <x:f>IF(E293="","MISSING MAIN",IF(N293=1,"MAIN ONLY","MULTI-PHOTO"))</x:f>
        <x:v>MAIN ONLY</x:v>
      </x:c>
      <x:c r="P293" s="14" t="str">
        <x:v>0324_</x:v>
      </x:c>
      <x:c r="Q293" s="14" t="str">
        <x:v>https://mb1advancedsolutions.github.io/mb1-catalog/index.html?design=0324</x:v>
      </x:c>
      <x:c r="R293" s="14" t="str"/>
    </x:row>
    <x:row r="294">
      <x:c r="A294" s="13" t="str">
        <x:v>MB1-0325</x:v>
      </x:c>
      <x:c r="B294" s="13" t="str">
        <x:v>MB1-0325</x:v>
      </x:c>
      <x:c r="C294" s="14" t="str">
        <x:v>father's day 7</x:v>
      </x:c>
      <x:c r="D294" s="14" t="str">
        <x:v>seasonal and holiday</x:v>
      </x:c>
      <x:c r="E294" s="14" t="str">
        <x:v>https://res.cloudinary.com/oxygre42/image/upload/f_auto,q_auto,c_pad,b_white,w_1200,h_1200/v1788349296/0325_father_s_day_7.png</x:v>
      </x:c>
      <x:c r="F294" s="14" t="str"/>
      <x:c r="G294" s="14" t="str">
        <x:v>Lifestyle</x:v>
      </x:c>
      <x:c r="H294" s="14" t="str"/>
      <x:c r="I294" s="14" t="str">
        <x:v>Detail</x:v>
      </x:c>
      <x:c r="J294" s="14" t="str"/>
      <x:c r="K294" s="14" t="str">
        <x:v>Scale</x:v>
      </x:c>
      <x:c r="L294" s="14" t="str"/>
      <x:c r="M294" s="14" t="str">
        <x:v>Alternate</x:v>
      </x:c>
      <x:c r="N294" s="14" t="n">
        <x:f>IF(E294&lt;&gt;"",1,0)+IF(F294&lt;&gt;"",1,0)+IF(H294&lt;&gt;"",1,0)+IF(J294&lt;&gt;"",1,0)+IF(L294&lt;&gt;"",1,0)</x:f>
        <x:v>1</x:v>
      </x:c>
      <x:c r="O294" s="14" t="str">
        <x:f>IF(E294="","MISSING MAIN",IF(N294=1,"MAIN ONLY","MULTI-PHOTO"))</x:f>
        <x:v>MAIN ONLY</x:v>
      </x:c>
      <x:c r="P294" s="14" t="str">
        <x:v>0325_</x:v>
      </x:c>
      <x:c r="Q294" s="14" t="str">
        <x:v>https://mb1advancedsolutions.github.io/mb1-catalog/index.html?design=0325</x:v>
      </x:c>
      <x:c r="R294" s="14" t="str"/>
    </x:row>
    <x:row r="295">
      <x:c r="A295" s="13" t="str">
        <x:v>MB1-0326</x:v>
      </x:c>
      <x:c r="B295" s="13" t="str">
        <x:v>MB1-0326</x:v>
      </x:c>
      <x:c r="C295" s="14" t="str">
        <x:v>father's day 8</x:v>
      </x:c>
      <x:c r="D295" s="14" t="str">
        <x:v>seasonal and holiday</x:v>
      </x:c>
      <x:c r="E295" s="14" t="str">
        <x:v>https://res.cloudinary.com/oxygre42/image/upload/f_auto,q_auto,c_pad,b_white,w_1200,h_1200/v1788349298/0326_father_s_day_8.png</x:v>
      </x:c>
      <x:c r="F295" s="14" t="str"/>
      <x:c r="G295" s="14" t="str">
        <x:v>Lifestyle</x:v>
      </x:c>
      <x:c r="H295" s="14" t="str"/>
      <x:c r="I295" s="14" t="str">
        <x:v>Detail</x:v>
      </x:c>
      <x:c r="J295" s="14" t="str"/>
      <x:c r="K295" s="14" t="str">
        <x:v>Scale</x:v>
      </x:c>
      <x:c r="L295" s="14" t="str"/>
      <x:c r="M295" s="14" t="str">
        <x:v>Alternate</x:v>
      </x:c>
      <x:c r="N295" s="14" t="n">
        <x:f>IF(E295&lt;&gt;"",1,0)+IF(F295&lt;&gt;"",1,0)+IF(H295&lt;&gt;"",1,0)+IF(J295&lt;&gt;"",1,0)+IF(L295&lt;&gt;"",1,0)</x:f>
        <x:v>1</x:v>
      </x:c>
      <x:c r="O295" s="14" t="str">
        <x:f>IF(E295="","MISSING MAIN",IF(N295=1,"MAIN ONLY","MULTI-PHOTO"))</x:f>
        <x:v>MAIN ONLY</x:v>
      </x:c>
      <x:c r="P295" s="14" t="str">
        <x:v>0326_</x:v>
      </x:c>
      <x:c r="Q295" s="14" t="str">
        <x:v>https://mb1advancedsolutions.github.io/mb1-catalog/index.html?design=0326</x:v>
      </x:c>
      <x:c r="R295" s="14" t="str"/>
    </x:row>
    <x:row r="296">
      <x:c r="A296" s="13" t="str">
        <x:v>MB1-0327</x:v>
      </x:c>
      <x:c r="B296" s="13" t="str">
        <x:v>MB1-0327</x:v>
      </x:c>
      <x:c r="C296" s="14" t="str">
        <x:v>father's day 9</x:v>
      </x:c>
      <x:c r="D296" s="14" t="str">
        <x:v>seasonal and holiday</x:v>
      </x:c>
      <x:c r="E296" s="14" t="str">
        <x:v>https://res.cloudinary.com/oxygre42/image/upload/f_auto,q_auto,c_pad,b_white,w_1200,h_1200/v1788349300/0327_father_s_day_9.png</x:v>
      </x:c>
      <x:c r="F296" s="14" t="str"/>
      <x:c r="G296" s="14" t="str">
        <x:v>Lifestyle</x:v>
      </x:c>
      <x:c r="H296" s="14" t="str"/>
      <x:c r="I296" s="14" t="str">
        <x:v>Detail</x:v>
      </x:c>
      <x:c r="J296" s="14" t="str"/>
      <x:c r="K296" s="14" t="str">
        <x:v>Scale</x:v>
      </x:c>
      <x:c r="L296" s="14" t="str"/>
      <x:c r="M296" s="14" t="str">
        <x:v>Alternate</x:v>
      </x:c>
      <x:c r="N296" s="14" t="n">
        <x:f>IF(E296&lt;&gt;"",1,0)+IF(F296&lt;&gt;"",1,0)+IF(H296&lt;&gt;"",1,0)+IF(J296&lt;&gt;"",1,0)+IF(L296&lt;&gt;"",1,0)</x:f>
        <x:v>1</x:v>
      </x:c>
      <x:c r="O296" s="14" t="str">
        <x:f>IF(E296="","MISSING MAIN",IF(N296=1,"MAIN ONLY","MULTI-PHOTO"))</x:f>
        <x:v>MAIN ONLY</x:v>
      </x:c>
      <x:c r="P296" s="14" t="str">
        <x:v>0327_</x:v>
      </x:c>
      <x:c r="Q296" s="14" t="str">
        <x:v>https://mb1advancedsolutions.github.io/mb1-catalog/index.html?design=0327</x:v>
      </x:c>
      <x:c r="R296" s="14" t="str"/>
    </x:row>
    <x:row r="297">
      <x:c r="A297" s="13" t="str">
        <x:v>MB1-0328</x:v>
      </x:c>
      <x:c r="B297" s="13" t="str">
        <x:v>MB1-0328</x:v>
      </x:c>
      <x:c r="C297" s="14" t="str">
        <x:v>world's coolest dad</x:v>
      </x:c>
      <x:c r="D297" s="14" t="str">
        <x:v>family &amp; name</x:v>
      </x:c>
      <x:c r="E297" s="14" t="str">
        <x:v>https://res.cloudinary.com/oxygre42/image/upload/f_auto,q_auto,c_pad,b_white,w_1200,h_1200/v1788349303/0328_world_s_coolest_dad.png</x:v>
      </x:c>
      <x:c r="F297" s="14" t="str"/>
      <x:c r="G297" s="14" t="str">
        <x:v>Lifestyle</x:v>
      </x:c>
      <x:c r="H297" s="14" t="str"/>
      <x:c r="I297" s="14" t="str">
        <x:v>Detail</x:v>
      </x:c>
      <x:c r="J297" s="14" t="str"/>
      <x:c r="K297" s="14" t="str">
        <x:v>Scale</x:v>
      </x:c>
      <x:c r="L297" s="14" t="str"/>
      <x:c r="M297" s="14" t="str">
        <x:v>Alternate</x:v>
      </x:c>
      <x:c r="N297" s="14" t="n">
        <x:f>IF(E297&lt;&gt;"",1,0)+IF(F297&lt;&gt;"",1,0)+IF(H297&lt;&gt;"",1,0)+IF(J297&lt;&gt;"",1,0)+IF(L297&lt;&gt;"",1,0)</x:f>
        <x:v>1</x:v>
      </x:c>
      <x:c r="O297" s="14" t="str">
        <x:f>IF(E297="","MISSING MAIN",IF(N297=1,"MAIN ONLY","MULTI-PHOTO"))</x:f>
        <x:v>MAIN ONLY</x:v>
      </x:c>
      <x:c r="P297" s="14" t="str">
        <x:v>0328_</x:v>
      </x:c>
      <x:c r="Q297" s="14" t="str">
        <x:v>https://mb1advancedsolutions.github.io/mb1-catalog/index.html?design=0328</x:v>
      </x:c>
      <x:c r="R297" s="14" t="str"/>
    </x:row>
    <x:row r="298">
      <x:c r="A298" s="13" t="str">
        <x:v>MB1-0329</x:v>
      </x:c>
      <x:c r="B298" s="13" t="str">
        <x:v>MB1-0329</x:v>
      </x:c>
      <x:c r="C298" s="14" t="str">
        <x:v>happy father_s day 2</x:v>
      </x:c>
      <x:c r="D298" s="14" t="str">
        <x:v>seasonal and holiday</x:v>
      </x:c>
      <x:c r="E298" s="14" t="str">
        <x:v>https://res.cloudinary.com/oxygre42/image/upload/f_auto,q_auto,c_pad,b_white,w_1200,h_1200/v1788349306/0329_happy_father_s_day_2.jpg</x:v>
      </x:c>
      <x:c r="F298" s="14" t="str"/>
      <x:c r="G298" s="14" t="str">
        <x:v>Lifestyle</x:v>
      </x:c>
      <x:c r="H298" s="14" t="str"/>
      <x:c r="I298" s="14" t="str">
        <x:v>Detail</x:v>
      </x:c>
      <x:c r="J298" s="14" t="str"/>
      <x:c r="K298" s="14" t="str">
        <x:v>Scale</x:v>
      </x:c>
      <x:c r="L298" s="14" t="str"/>
      <x:c r="M298" s="14" t="str">
        <x:v>Alternate</x:v>
      </x:c>
      <x:c r="N298" s="14" t="n">
        <x:f>IF(E298&lt;&gt;"",1,0)+IF(F298&lt;&gt;"",1,0)+IF(H298&lt;&gt;"",1,0)+IF(J298&lt;&gt;"",1,0)+IF(L298&lt;&gt;"",1,0)</x:f>
        <x:v>1</x:v>
      </x:c>
      <x:c r="O298" s="14" t="str">
        <x:f>IF(E298="","MISSING MAIN",IF(N298=1,"MAIN ONLY","MULTI-PHOTO"))</x:f>
        <x:v>MAIN ONLY</x:v>
      </x:c>
      <x:c r="P298" s="14" t="str">
        <x:v>0329_</x:v>
      </x:c>
      <x:c r="Q298" s="14" t="str">
        <x:v>https://mb1advancedsolutions.github.io/mb1-catalog/index.html?design=0329</x:v>
      </x:c>
      <x:c r="R298" s="14" t="str"/>
    </x:row>
    <x:row r="299">
      <x:c r="A299" s="13" t="str">
        <x:v>MB1-0330</x:v>
      </x:c>
      <x:c r="B299" s="13" t="str">
        <x:v>MB1-0330</x:v>
      </x:c>
      <x:c r="C299" s="14" t="str">
        <x:v>happy father_s day</x:v>
      </x:c>
      <x:c r="D299" s="14" t="str">
        <x:v>seasonal and holiday</x:v>
      </x:c>
      <x:c r="E299" s="14" t="str">
        <x:v>https://res.cloudinary.com/oxygre42/image/upload/f_auto,q_auto,c_pad,b_white,w_1200,h_1200/v1788349307/0330_happy_father_s_day.jpg</x:v>
      </x:c>
      <x:c r="F299" s="14" t="str"/>
      <x:c r="G299" s="14" t="str">
        <x:v>Lifestyle</x:v>
      </x:c>
      <x:c r="H299" s="14" t="str"/>
      <x:c r="I299" s="14" t="str">
        <x:v>Detail</x:v>
      </x:c>
      <x:c r="J299" s="14" t="str"/>
      <x:c r="K299" s="14" t="str">
        <x:v>Scale</x:v>
      </x:c>
      <x:c r="L299" s="14" t="str"/>
      <x:c r="M299" s="14" t="str">
        <x:v>Alternate</x:v>
      </x:c>
      <x:c r="N299" s="14" t="n">
        <x:f>IF(E299&lt;&gt;"",1,0)+IF(F299&lt;&gt;"",1,0)+IF(H299&lt;&gt;"",1,0)+IF(J299&lt;&gt;"",1,0)+IF(L299&lt;&gt;"",1,0)</x:f>
        <x:v>1</x:v>
      </x:c>
      <x:c r="O299" s="14" t="str">
        <x:f>IF(E299="","MISSING MAIN",IF(N299=1,"MAIN ONLY","MULTI-PHOTO"))</x:f>
        <x:v>MAIN ONLY</x:v>
      </x:c>
      <x:c r="P299" s="14" t="str">
        <x:v>0330_</x:v>
      </x:c>
      <x:c r="Q299" s="14" t="str">
        <x:v>https://mb1advancedsolutions.github.io/mb1-catalog/index.html?design=0330</x:v>
      </x:c>
      <x:c r="R299" s="14" t="str"/>
    </x:row>
    <x:row r="300">
      <x:c r="A300" s="13" t="str">
        <x:v>MB1-0331</x:v>
      </x:c>
      <x:c r="B300" s="13" t="str">
        <x:v>MB1-0331</x:v>
      </x:c>
      <x:c r="C300" s="14" t="str">
        <x:v>papa the man the myth the legend</x:v>
      </x:c>
      <x:c r="D300" s="14" t="str">
        <x:v>family &amp; name</x:v>
      </x:c>
      <x:c r="E300" s="14" t="str">
        <x:v>https://res.cloudinary.com/oxygre42/image/upload/f_auto,q_auto,c_pad,b_white,w_1200,h_1200/v1788349309/0331_papa_the_man_the_myth_the_legend.jpg</x:v>
      </x:c>
      <x:c r="F300" s="14" t="str"/>
      <x:c r="G300" s="14" t="str">
        <x:v>Lifestyle</x:v>
      </x:c>
      <x:c r="H300" s="14" t="str"/>
      <x:c r="I300" s="14" t="str">
        <x:v>Detail</x:v>
      </x:c>
      <x:c r="J300" s="14" t="str"/>
      <x:c r="K300" s="14" t="str">
        <x:v>Scale</x:v>
      </x:c>
      <x:c r="L300" s="14" t="str"/>
      <x:c r="M300" s="14" t="str">
        <x:v>Alternate</x:v>
      </x:c>
      <x:c r="N300" s="14" t="n">
        <x:f>IF(E300&lt;&gt;"",1,0)+IF(F300&lt;&gt;"",1,0)+IF(H300&lt;&gt;"",1,0)+IF(J300&lt;&gt;"",1,0)+IF(L300&lt;&gt;"",1,0)</x:f>
        <x:v>1</x:v>
      </x:c>
      <x:c r="O300" s="14" t="str">
        <x:f>IF(E300="","MISSING MAIN",IF(N300=1,"MAIN ONLY","MULTI-PHOTO"))</x:f>
        <x:v>MAIN ONLY</x:v>
      </x:c>
      <x:c r="P300" s="14" t="str">
        <x:v>0331_</x:v>
      </x:c>
      <x:c r="Q300" s="14" t="str">
        <x:v>https://mb1advancedsolutions.github.io/mb1-catalog/index.html?design=0331</x:v>
      </x:c>
      <x:c r="R300" s="14" t="str"/>
    </x:row>
    <x:row r="301">
      <x:c r="A301" s="13" t="str">
        <x:v>MB1-0332</x:v>
      </x:c>
      <x:c r="B301" s="13" t="str">
        <x:v>MB1-0332</x:v>
      </x:c>
      <x:c r="C301" s="14" t="str">
        <x:v>top dad</x:v>
      </x:c>
      <x:c r="D301" s="14" t="str">
        <x:v>family &amp; name</x:v>
      </x:c>
      <x:c r="E301" s="14" t="str">
        <x:v>https://res.cloudinary.com/oxygre42/image/upload/f_auto,q_auto,c_pad,b_white,w_1200,h_1200/v1788349310/0332_top_dad.png</x:v>
      </x:c>
      <x:c r="F301" s="14" t="str"/>
      <x:c r="G301" s="14" t="str">
        <x:v>Lifestyle</x:v>
      </x:c>
      <x:c r="H301" s="14" t="str"/>
      <x:c r="I301" s="14" t="str">
        <x:v>Detail</x:v>
      </x:c>
      <x:c r="J301" s="14" t="str"/>
      <x:c r="K301" s="14" t="str">
        <x:v>Scale</x:v>
      </x:c>
      <x:c r="L301" s="14" t="str"/>
      <x:c r="M301" s="14" t="str">
        <x:v>Alternate</x:v>
      </x:c>
      <x:c r="N301" s="14" t="n">
        <x:f>IF(E301&lt;&gt;"",1,0)+IF(F301&lt;&gt;"",1,0)+IF(H301&lt;&gt;"",1,0)+IF(J301&lt;&gt;"",1,0)+IF(L301&lt;&gt;"",1,0)</x:f>
        <x:v>1</x:v>
      </x:c>
      <x:c r="O301" s="14" t="str">
        <x:f>IF(E301="","MISSING MAIN",IF(N301=1,"MAIN ONLY","MULTI-PHOTO"))</x:f>
        <x:v>MAIN ONLY</x:v>
      </x:c>
      <x:c r="P301" s="14" t="str">
        <x:v>0332_</x:v>
      </x:c>
      <x:c r="Q301" s="14" t="str">
        <x:v>https://mb1advancedsolutions.github.io/mb1-catalog/index.html?design=0332</x:v>
      </x:c>
      <x:c r="R301" s="14" t="str"/>
    </x:row>
    <x:row r="302">
      <x:c r="A302" s="13" t="str">
        <x:v>MB1-0333</x:v>
      </x:c>
      <x:c r="B302" s="13" t="str">
        <x:v>MB1-0333</x:v>
      </x:c>
      <x:c r="C302" s="14" t="str">
        <x:v>world_s greatest father</x:v>
      </x:c>
      <x:c r="D302" s="14" t="str">
        <x:v>family &amp; name</x:v>
      </x:c>
      <x:c r="E302" s="14" t="str">
        <x:v>https://res.cloudinary.com/oxygre42/image/upload/f_auto,q_auto,c_pad,b_white,w_1200,h_1200/v1788349313/0333_world_s_greatest_father.jpg</x:v>
      </x:c>
      <x:c r="F302" s="14" t="str"/>
      <x:c r="G302" s="14" t="str">
        <x:v>Lifestyle</x:v>
      </x:c>
      <x:c r="H302" s="14" t="str"/>
      <x:c r="I302" s="14" t="str">
        <x:v>Detail</x:v>
      </x:c>
      <x:c r="J302" s="14" t="str"/>
      <x:c r="K302" s="14" t="str">
        <x:v>Scale</x:v>
      </x:c>
      <x:c r="L302" s="14" t="str"/>
      <x:c r="M302" s="14" t="str">
        <x:v>Alternate</x:v>
      </x:c>
      <x:c r="N302" s="14" t="n">
        <x:f>IF(E302&lt;&gt;"",1,0)+IF(F302&lt;&gt;"",1,0)+IF(H302&lt;&gt;"",1,0)+IF(J302&lt;&gt;"",1,0)+IF(L302&lt;&gt;"",1,0)</x:f>
        <x:v>1</x:v>
      </x:c>
      <x:c r="O302" s="14" t="str">
        <x:f>IF(E302="","MISSING MAIN",IF(N302=1,"MAIN ONLY","MULTI-PHOTO"))</x:f>
        <x:v>MAIN ONLY</x:v>
      </x:c>
      <x:c r="P302" s="14" t="str">
        <x:v>0333_</x:v>
      </x:c>
      <x:c r="Q302" s="14" t="str">
        <x:v>https://mb1advancedsolutions.github.io/mb1-catalog/index.html?design=0333</x:v>
      </x:c>
      <x:c r="R302" s="14" t="str"/>
    </x:row>
    <x:row r="303">
      <x:c r="A303" s="13" t="str">
        <x:v>MB1-0334</x:v>
      </x:c>
      <x:c r="B303" s="13" t="str">
        <x:v>MB1-0334</x:v>
      </x:c>
      <x:c r="C303" s="14" t="str">
        <x:v>FLAG 10</x:v>
      </x:c>
      <x:c r="D303" s="14" t="str">
        <x:v>seasonal and holiday</x:v>
      </x:c>
      <x:c r="E303" s="14" t="str">
        <x:v>https://res.cloudinary.com/oxygre42/image/upload/f_auto,q_auto,c_pad,b_white,w_1200,h_1200/v1788349314/0334_FLAG_10.png</x:v>
      </x:c>
      <x:c r="F303" s="14" t="str"/>
      <x:c r="G303" s="14" t="str">
        <x:v>Lifestyle</x:v>
      </x:c>
      <x:c r="H303" s="14" t="str"/>
      <x:c r="I303" s="14" t="str">
        <x:v>Detail</x:v>
      </x:c>
      <x:c r="J303" s="14" t="str"/>
      <x:c r="K303" s="14" t="str">
        <x:v>Scale</x:v>
      </x:c>
      <x:c r="L303" s="14" t="str"/>
      <x:c r="M303" s="14" t="str">
        <x:v>Alternate</x:v>
      </x:c>
      <x:c r="N303" s="14" t="n">
        <x:f>IF(E303&lt;&gt;"",1,0)+IF(F303&lt;&gt;"",1,0)+IF(H303&lt;&gt;"",1,0)+IF(J303&lt;&gt;"",1,0)+IF(L303&lt;&gt;"",1,0)</x:f>
        <x:v>1</x:v>
      </x:c>
      <x:c r="O303" s="14" t="str">
        <x:f>IF(E303="","MISSING MAIN",IF(N303=1,"MAIN ONLY","MULTI-PHOTO"))</x:f>
        <x:v>MAIN ONLY</x:v>
      </x:c>
      <x:c r="P303" s="14" t="str">
        <x:v>0334_</x:v>
      </x:c>
      <x:c r="Q303" s="14" t="str">
        <x:v>https://mb1advancedsolutions.github.io/mb1-catalog/index.html?design=0334</x:v>
      </x:c>
      <x:c r="R303" s="14" t="str"/>
    </x:row>
    <x:row r="304">
      <x:c r="A304" s="13" t="str">
        <x:v>MB1-0335</x:v>
      </x:c>
      <x:c r="B304" s="13" t="str">
        <x:v>MB1-0335</x:v>
      </x:c>
      <x:c r="C304" s="14" t="str">
        <x:v>SPLIT MONOGRAM 5</x:v>
      </x:c>
      <x:c r="D304" s="14" t="str">
        <x:v>family &amp; name</x:v>
      </x:c>
      <x:c r="E304" s="14" t="str">
        <x:v>https://res.cloudinary.com/oxygre42/image/upload/f_auto,q_auto,c_pad,b_white,w_1200,h_1200/v1788349316/0335_SPLIT_MONOGRAM_5.png</x:v>
      </x:c>
      <x:c r="F304" s="14" t="str"/>
      <x:c r="G304" s="14" t="str">
        <x:v>Lifestyle</x:v>
      </x:c>
      <x:c r="H304" s="14" t="str"/>
      <x:c r="I304" s="14" t="str">
        <x:v>Detail</x:v>
      </x:c>
      <x:c r="J304" s="14" t="str"/>
      <x:c r="K304" s="14" t="str">
        <x:v>Scale</x:v>
      </x:c>
      <x:c r="L304" s="14" t="str"/>
      <x:c r="M304" s="14" t="str">
        <x:v>Alternate</x:v>
      </x:c>
      <x:c r="N304" s="14" t="n">
        <x:f>IF(E304&lt;&gt;"",1,0)+IF(F304&lt;&gt;"",1,0)+IF(H304&lt;&gt;"",1,0)+IF(J304&lt;&gt;"",1,0)+IF(L304&lt;&gt;"",1,0)</x:f>
        <x:v>1</x:v>
      </x:c>
      <x:c r="O304" s="14" t="str">
        <x:f>IF(E304="","MISSING MAIN",IF(N304=1,"MAIN ONLY","MULTI-PHOTO"))</x:f>
        <x:v>MAIN ONLY</x:v>
      </x:c>
      <x:c r="P304" s="14" t="str">
        <x:v>0335_</x:v>
      </x:c>
      <x:c r="Q304" s="14" t="str">
        <x:v>https://mb1advancedsolutions.github.io/mb1-catalog/index.html?design=0335</x:v>
      </x:c>
      <x:c r="R304" s="14" t="str"/>
    </x:row>
    <x:row r="305">
      <x:c r="A305" s="13" t="str">
        <x:v>MB1-0336</x:v>
      </x:c>
      <x:c r="B305" s="13" t="str">
        <x:v>MB1-0336</x:v>
      </x:c>
      <x:c r="C305" s="14" t="str">
        <x:v>SPLIT MONOGRAM 6</x:v>
      </x:c>
      <x:c r="D305" s="14" t="str">
        <x:v>family &amp; name</x:v>
      </x:c>
      <x:c r="E305" s="14" t="str">
        <x:v>https://res.cloudinary.com/oxygre42/image/upload/f_auto,q_auto,c_pad,b_white,w_1200,h_1200/v1788349318/0336_SPLIT_MONOGRAM_6.png</x:v>
      </x:c>
      <x:c r="F305" s="14" t="str"/>
      <x:c r="G305" s="14" t="str">
        <x:v>Lifestyle</x:v>
      </x:c>
      <x:c r="H305" s="14" t="str"/>
      <x:c r="I305" s="14" t="str">
        <x:v>Detail</x:v>
      </x:c>
      <x:c r="J305" s="14" t="str"/>
      <x:c r="K305" s="14" t="str">
        <x:v>Scale</x:v>
      </x:c>
      <x:c r="L305" s="14" t="str"/>
      <x:c r="M305" s="14" t="str">
        <x:v>Alternate</x:v>
      </x:c>
      <x:c r="N305" s="14" t="n">
        <x:f>IF(E305&lt;&gt;"",1,0)+IF(F305&lt;&gt;"",1,0)+IF(H305&lt;&gt;"",1,0)+IF(J305&lt;&gt;"",1,0)+IF(L305&lt;&gt;"",1,0)</x:f>
        <x:v>1</x:v>
      </x:c>
      <x:c r="O305" s="14" t="str">
        <x:f>IF(E305="","MISSING MAIN",IF(N305=1,"MAIN ONLY","MULTI-PHOTO"))</x:f>
        <x:v>MAIN ONLY</x:v>
      </x:c>
      <x:c r="P305" s="14" t="str">
        <x:v>0336_</x:v>
      </x:c>
      <x:c r="Q305" s="14" t="str">
        <x:v>https://mb1advancedsolutions.github.io/mb1-catalog/index.html?design=0336</x:v>
      </x:c>
      <x:c r="R305" s="14" t="str"/>
    </x:row>
    <x:row r="306">
      <x:c r="A306" s="13" t="str">
        <x:v>MB1-0337</x:v>
      </x:c>
      <x:c r="B306" s="13" t="str">
        <x:v>MB1-0337</x:v>
      </x:c>
      <x:c r="C306" s="14" t="str">
        <x:v>fire dept 1</x:v>
      </x:c>
      <x:c r="D306" s="14" t="str">
        <x:v>memorial and tribute</x:v>
      </x:c>
      <x:c r="E306" s="14" t="str">
        <x:v>https://res.cloudinary.com/oxygre42/image/upload/f_auto,q_auto,c_pad,b_white,w_1200,h_1200/v1788349320/0337_fire_dept_1.png</x:v>
      </x:c>
      <x:c r="F306" s="14" t="str"/>
      <x:c r="G306" s="14" t="str">
        <x:v>Lifestyle</x:v>
      </x:c>
      <x:c r="H306" s="14" t="str"/>
      <x:c r="I306" s="14" t="str">
        <x:v>Detail</x:v>
      </x:c>
      <x:c r="J306" s="14" t="str"/>
      <x:c r="K306" s="14" t="str">
        <x:v>Scale</x:v>
      </x:c>
      <x:c r="L306" s="14" t="str"/>
      <x:c r="M306" s="14" t="str">
        <x:v>Alternate</x:v>
      </x:c>
      <x:c r="N306" s="14" t="n">
        <x:f>IF(E306&lt;&gt;"",1,0)+IF(F306&lt;&gt;"",1,0)+IF(H306&lt;&gt;"",1,0)+IF(J306&lt;&gt;"",1,0)+IF(L306&lt;&gt;"",1,0)</x:f>
        <x:v>1</x:v>
      </x:c>
      <x:c r="O306" s="14" t="str">
        <x:f>IF(E306="","MISSING MAIN",IF(N306=1,"MAIN ONLY","MULTI-PHOTO"))</x:f>
        <x:v>MAIN ONLY</x:v>
      </x:c>
      <x:c r="P306" s="14" t="str">
        <x:v>0337_</x:v>
      </x:c>
      <x:c r="Q306" s="14" t="str">
        <x:v>https://mb1advancedsolutions.github.io/mb1-catalog/index.html?design=0337</x:v>
      </x:c>
      <x:c r="R306" s="14" t="str"/>
    </x:row>
    <x:row r="307">
      <x:c r="A307" s="13" t="str">
        <x:v>MB1-0338</x:v>
      </x:c>
      <x:c r="B307" s="13" t="str">
        <x:v>MB1-0338</x:v>
      </x:c>
      <x:c r="C307" s="14" t="str">
        <x:v>fire dept 2</x:v>
      </x:c>
      <x:c r="D307" s="14" t="str">
        <x:v>memorial and tribute</x:v>
      </x:c>
      <x:c r="E307" s="14" t="str">
        <x:v>https://res.cloudinary.com/oxygre42/image/upload/f_auto,q_auto,c_pad,b_white,w_1200,h_1200/v1788349322/0338_fire_dept_2.png</x:v>
      </x:c>
      <x:c r="F307" s="14" t="str"/>
      <x:c r="G307" s="14" t="str">
        <x:v>Lifestyle</x:v>
      </x:c>
      <x:c r="H307" s="14" t="str"/>
      <x:c r="I307" s="14" t="str">
        <x:v>Detail</x:v>
      </x:c>
      <x:c r="J307" s="14" t="str"/>
      <x:c r="K307" s="14" t="str">
        <x:v>Scale</x:v>
      </x:c>
      <x:c r="L307" s="14" t="str"/>
      <x:c r="M307" s="14" t="str">
        <x:v>Alternate</x:v>
      </x:c>
      <x:c r="N307" s="14" t="n">
        <x:f>IF(E307&lt;&gt;"",1,0)+IF(F307&lt;&gt;"",1,0)+IF(H307&lt;&gt;"",1,0)+IF(J307&lt;&gt;"",1,0)+IF(L307&lt;&gt;"",1,0)</x:f>
        <x:v>1</x:v>
      </x:c>
      <x:c r="O307" s="14" t="str">
        <x:f>IF(E307="","MISSING MAIN",IF(N307=1,"MAIN ONLY","MULTI-PHOTO"))</x:f>
        <x:v>MAIN ONLY</x:v>
      </x:c>
      <x:c r="P307" s="14" t="str">
        <x:v>0338_</x:v>
      </x:c>
      <x:c r="Q307" s="14" t="str">
        <x:v>https://mb1advancedsolutions.github.io/mb1-catalog/index.html?design=0338</x:v>
      </x:c>
      <x:c r="R307" s="14" t="str"/>
    </x:row>
    <x:row r="308">
      <x:c r="A308" s="13" t="str">
        <x:v>MB1-0339</x:v>
      </x:c>
      <x:c r="B308" s="13" t="str">
        <x:v>MB1-0339</x:v>
      </x:c>
      <x:c r="C308" s="14" t="str">
        <x:v>fire dept 3</x:v>
      </x:c>
      <x:c r="D308" s="14" t="str">
        <x:v>memorial and tribute</x:v>
      </x:c>
      <x:c r="E308" s="14" t="str">
        <x:v>https://res.cloudinary.com/oxygre42/image/upload/f_auto,q_auto,c_pad,b_white,w_1200,h_1200/v1788349323/0339_fire_dept_3.png</x:v>
      </x:c>
      <x:c r="F308" s="14" t="str"/>
      <x:c r="G308" s="14" t="str">
        <x:v>Lifestyle</x:v>
      </x:c>
      <x:c r="H308" s="14" t="str"/>
      <x:c r="I308" s="14" t="str">
        <x:v>Detail</x:v>
      </x:c>
      <x:c r="J308" s="14" t="str"/>
      <x:c r="K308" s="14" t="str">
        <x:v>Scale</x:v>
      </x:c>
      <x:c r="L308" s="14" t="str"/>
      <x:c r="M308" s="14" t="str">
        <x:v>Alternate</x:v>
      </x:c>
      <x:c r="N308" s="14" t="n">
        <x:f>IF(E308&lt;&gt;"",1,0)+IF(F308&lt;&gt;"",1,0)+IF(H308&lt;&gt;"",1,0)+IF(J308&lt;&gt;"",1,0)+IF(L308&lt;&gt;"",1,0)</x:f>
        <x:v>1</x:v>
      </x:c>
      <x:c r="O308" s="14" t="str">
        <x:f>IF(E308="","MISSING MAIN",IF(N308=1,"MAIN ONLY","MULTI-PHOTO"))</x:f>
        <x:v>MAIN ONLY</x:v>
      </x:c>
      <x:c r="P308" s="14" t="str">
        <x:v>0339_</x:v>
      </x:c>
      <x:c r="Q308" s="14" t="str">
        <x:v>https://mb1advancedsolutions.github.io/mb1-catalog/index.html?design=0339</x:v>
      </x:c>
      <x:c r="R308" s="14" t="str"/>
    </x:row>
    <x:row r="309">
      <x:c r="A309" s="13" t="str">
        <x:v>MB1-0340</x:v>
      </x:c>
      <x:c r="B309" s="13" t="str">
        <x:v>MB1-0340</x:v>
      </x:c>
      <x:c r="C309" s="14" t="str">
        <x:v>fire dept 4</x:v>
      </x:c>
      <x:c r="D309" s="14" t="str">
        <x:v>memorial and tribute</x:v>
      </x:c>
      <x:c r="E309" s="14" t="str">
        <x:v>https://res.cloudinary.com/oxygre42/image/upload/f_auto,q_auto,c_pad,b_white,w_1200,h_1200/v1788349325/0340_fire_dept_4.png</x:v>
      </x:c>
      <x:c r="F309" s="14" t="str"/>
      <x:c r="G309" s="14" t="str">
        <x:v>Lifestyle</x:v>
      </x:c>
      <x:c r="H309" s="14" t="str"/>
      <x:c r="I309" s="14" t="str">
        <x:v>Detail</x:v>
      </x:c>
      <x:c r="J309" s="14" t="str"/>
      <x:c r="K309" s="14" t="str">
        <x:v>Scale</x:v>
      </x:c>
      <x:c r="L309" s="14" t="str"/>
      <x:c r="M309" s="14" t="str">
        <x:v>Alternate</x:v>
      </x:c>
      <x:c r="N309" s="14" t="n">
        <x:f>IF(E309&lt;&gt;"",1,0)+IF(F309&lt;&gt;"",1,0)+IF(H309&lt;&gt;"",1,0)+IF(J309&lt;&gt;"",1,0)+IF(L309&lt;&gt;"",1,0)</x:f>
        <x:v>1</x:v>
      </x:c>
      <x:c r="O309" s="14" t="str">
        <x:f>IF(E309="","MISSING MAIN",IF(N309=1,"MAIN ONLY","MULTI-PHOTO"))</x:f>
        <x:v>MAIN ONLY</x:v>
      </x:c>
      <x:c r="P309" s="14" t="str">
        <x:v>0340_</x:v>
      </x:c>
      <x:c r="Q309" s="14" t="str">
        <x:v>https://mb1advancedsolutions.github.io/mb1-catalog/index.html?design=0340</x:v>
      </x:c>
      <x:c r="R309" s="14" t="str"/>
    </x:row>
    <x:row r="310">
      <x:c r="A310" s="13" t="str">
        <x:v>MB1-0341</x:v>
      </x:c>
      <x:c r="B310" s="13" t="str">
        <x:v>MB1-0341</x:v>
      </x:c>
      <x:c r="C310" s="14" t="str">
        <x:v>fire dept 5</x:v>
      </x:c>
      <x:c r="D310" s="14" t="str">
        <x:v>memorial and tribute</x:v>
      </x:c>
      <x:c r="E310" s="14" t="str">
        <x:v>https://res.cloudinary.com/oxygre42/image/upload/f_auto,q_auto,c_pad,b_white,w_1200,h_1200/v1788349327/0341_fire_dept_5.png</x:v>
      </x:c>
      <x:c r="F310" s="14" t="str"/>
      <x:c r="G310" s="14" t="str">
        <x:v>Lifestyle</x:v>
      </x:c>
      <x:c r="H310" s="14" t="str"/>
      <x:c r="I310" s="14" t="str">
        <x:v>Detail</x:v>
      </x:c>
      <x:c r="J310" s="14" t="str"/>
      <x:c r="K310" s="14" t="str">
        <x:v>Scale</x:v>
      </x:c>
      <x:c r="L310" s="14" t="str"/>
      <x:c r="M310" s="14" t="str">
        <x:v>Alternate</x:v>
      </x:c>
      <x:c r="N310" s="14" t="n">
        <x:f>IF(E310&lt;&gt;"",1,0)+IF(F310&lt;&gt;"",1,0)+IF(H310&lt;&gt;"",1,0)+IF(J310&lt;&gt;"",1,0)+IF(L310&lt;&gt;"",1,0)</x:f>
        <x:v>1</x:v>
      </x:c>
      <x:c r="O310" s="14" t="str">
        <x:f>IF(E310="","MISSING MAIN",IF(N310=1,"MAIN ONLY","MULTI-PHOTO"))</x:f>
        <x:v>MAIN ONLY</x:v>
      </x:c>
      <x:c r="P310" s="14" t="str">
        <x:v>0341_</x:v>
      </x:c>
      <x:c r="Q310" s="14" t="str">
        <x:v>https://mb1advancedsolutions.github.io/mb1-catalog/index.html?design=0341</x:v>
      </x:c>
      <x:c r="R310" s="14" t="str"/>
    </x:row>
    <x:row r="311">
      <x:c r="A311" s="13" t="str">
        <x:v>MB1-0342</x:v>
      </x:c>
      <x:c r="B311" s="13" t="str">
        <x:v>MB1-0342</x:v>
      </x:c>
      <x:c r="C311" s="14" t="str">
        <x:v>fire fighter helmet 1</x:v>
      </x:c>
      <x:c r="D311" s="14" t="str">
        <x:v>sports and hobbies</x:v>
      </x:c>
      <x:c r="E311" s="14" t="str">
        <x:v>https://res.cloudinary.com/oxygre42/image/upload/f_auto,q_auto,c_pad,b_white,w_1200,h_1200/v1788349329/0342_fire_fighter_helmet_1.png</x:v>
      </x:c>
      <x:c r="F311" s="14" t="str"/>
      <x:c r="G311" s="14" t="str">
        <x:v>Lifestyle</x:v>
      </x:c>
      <x:c r="H311" s="14" t="str"/>
      <x:c r="I311" s="14" t="str">
        <x:v>Detail</x:v>
      </x:c>
      <x:c r="J311" s="14" t="str"/>
      <x:c r="K311" s="14" t="str">
        <x:v>Scale</x:v>
      </x:c>
      <x:c r="L311" s="14" t="str"/>
      <x:c r="M311" s="14" t="str">
        <x:v>Alternate</x:v>
      </x:c>
      <x:c r="N311" s="14" t="n">
        <x:f>IF(E311&lt;&gt;"",1,0)+IF(F311&lt;&gt;"",1,0)+IF(H311&lt;&gt;"",1,0)+IF(J311&lt;&gt;"",1,0)+IF(L311&lt;&gt;"",1,0)</x:f>
        <x:v>1</x:v>
      </x:c>
      <x:c r="O311" s="14" t="str">
        <x:f>IF(E311="","MISSING MAIN",IF(N311=1,"MAIN ONLY","MULTI-PHOTO"))</x:f>
        <x:v>MAIN ONLY</x:v>
      </x:c>
      <x:c r="P311" s="14" t="str">
        <x:v>0342_</x:v>
      </x:c>
      <x:c r="Q311" s="14" t="str">
        <x:v>https://mb1advancedsolutions.github.io/mb1-catalog/index.html?design=0342</x:v>
      </x:c>
      <x:c r="R311" s="14" t="str"/>
    </x:row>
    <x:row r="312">
      <x:c r="A312" s="13" t="str">
        <x:v>MB1-0343</x:v>
      </x:c>
      <x:c r="B312" s="13" t="str">
        <x:v>MB1-0343</x:v>
      </x:c>
      <x:c r="C312" s="14" t="str">
        <x:v>fire fighter helmet 2</x:v>
      </x:c>
      <x:c r="D312" s="14" t="str">
        <x:v>sports and hobbies</x:v>
      </x:c>
      <x:c r="E312" s="14" t="str">
        <x:v>https://res.cloudinary.com/oxygre42/image/upload/f_auto,q_auto,c_pad,b_white,w_1200,h_1200/v1788349331/0343_fire_fighter_helmet_2.png</x:v>
      </x:c>
      <x:c r="F312" s="14" t="str"/>
      <x:c r="G312" s="14" t="str">
        <x:v>Lifestyle</x:v>
      </x:c>
      <x:c r="H312" s="14" t="str"/>
      <x:c r="I312" s="14" t="str">
        <x:v>Detail</x:v>
      </x:c>
      <x:c r="J312" s="14" t="str"/>
      <x:c r="K312" s="14" t="str">
        <x:v>Scale</x:v>
      </x:c>
      <x:c r="L312" s="14" t="str"/>
      <x:c r="M312" s="14" t="str">
        <x:v>Alternate</x:v>
      </x:c>
      <x:c r="N312" s="14" t="n">
        <x:f>IF(E312&lt;&gt;"",1,0)+IF(F312&lt;&gt;"",1,0)+IF(H312&lt;&gt;"",1,0)+IF(J312&lt;&gt;"",1,0)+IF(L312&lt;&gt;"",1,0)</x:f>
        <x:v>1</x:v>
      </x:c>
      <x:c r="O312" s="14" t="str">
        <x:f>IF(E312="","MISSING MAIN",IF(N312=1,"MAIN ONLY","MULTI-PHOTO"))</x:f>
        <x:v>MAIN ONLY</x:v>
      </x:c>
      <x:c r="P312" s="14" t="str">
        <x:v>0343_</x:v>
      </x:c>
      <x:c r="Q312" s="14" t="str">
        <x:v>https://mb1advancedsolutions.github.io/mb1-catalog/index.html?design=0343</x:v>
      </x:c>
      <x:c r="R312" s="14" t="str"/>
    </x:row>
    <x:row r="313">
      <x:c r="A313" s="13" t="str">
        <x:v>MB1-0344</x:v>
      </x:c>
      <x:c r="B313" s="13" t="str">
        <x:v>MB1-0344</x:v>
      </x:c>
      <x:c r="C313" s="14" t="str">
        <x:v>fire fighter helmet 3</x:v>
      </x:c>
      <x:c r="D313" s="14" t="str">
        <x:v>sports and hobbies</x:v>
      </x:c>
      <x:c r="E313" s="14" t="str">
        <x:v>https://res.cloudinary.com/oxygre42/image/upload/f_auto,q_auto,c_pad,b_white,w_1200,h_1200/v1788349333/0344_fire_fighter_helmet_3.png</x:v>
      </x:c>
      <x:c r="F313" s="14" t="str"/>
      <x:c r="G313" s="14" t="str">
        <x:v>Lifestyle</x:v>
      </x:c>
      <x:c r="H313" s="14" t="str"/>
      <x:c r="I313" s="14" t="str">
        <x:v>Detail</x:v>
      </x:c>
      <x:c r="J313" s="14" t="str"/>
      <x:c r="K313" s="14" t="str">
        <x:v>Scale</x:v>
      </x:c>
      <x:c r="L313" s="14" t="str"/>
      <x:c r="M313" s="14" t="str">
        <x:v>Alternate</x:v>
      </x:c>
      <x:c r="N313" s="14" t="n">
        <x:f>IF(E313&lt;&gt;"",1,0)+IF(F313&lt;&gt;"",1,0)+IF(H313&lt;&gt;"",1,0)+IF(J313&lt;&gt;"",1,0)+IF(L313&lt;&gt;"",1,0)</x:f>
        <x:v>1</x:v>
      </x:c>
      <x:c r="O313" s="14" t="str">
        <x:f>IF(E313="","MISSING MAIN",IF(N313=1,"MAIN ONLY","MULTI-PHOTO"))</x:f>
        <x:v>MAIN ONLY</x:v>
      </x:c>
      <x:c r="P313" s="14" t="str">
        <x:v>0344_</x:v>
      </x:c>
      <x:c r="Q313" s="14" t="str">
        <x:v>https://mb1advancedsolutions.github.io/mb1-catalog/index.html?design=0344</x:v>
      </x:c>
      <x:c r="R313" s="14" t="str"/>
    </x:row>
    <x:row r="314">
      <x:c r="A314" s="13" t="str">
        <x:v>MB1-0345</x:v>
      </x:c>
      <x:c r="B314" s="13" t="str">
        <x:v>MB1-0345</x:v>
      </x:c>
      <x:c r="C314" s="14" t="str">
        <x:v>fire fighter helmet 4</x:v>
      </x:c>
      <x:c r="D314" s="14" t="str">
        <x:v>sports and hobbies</x:v>
      </x:c>
      <x:c r="E314" s="14" t="str">
        <x:v>https://res.cloudinary.com/oxygre42/image/upload/f_auto,q_auto,c_pad,b_white,w_1200,h_1200/v1788349335/0345_fire_fighter_helmet_4.png</x:v>
      </x:c>
      <x:c r="F314" s="14" t="str"/>
      <x:c r="G314" s="14" t="str">
        <x:v>Lifestyle</x:v>
      </x:c>
      <x:c r="H314" s="14" t="str"/>
      <x:c r="I314" s="14" t="str">
        <x:v>Detail</x:v>
      </x:c>
      <x:c r="J314" s="14" t="str"/>
      <x:c r="K314" s="14" t="str">
        <x:v>Scale</x:v>
      </x:c>
      <x:c r="L314" s="14" t="str"/>
      <x:c r="M314" s="14" t="str">
        <x:v>Alternate</x:v>
      </x:c>
      <x:c r="N314" s="14" t="n">
        <x:f>IF(E314&lt;&gt;"",1,0)+IF(F314&lt;&gt;"",1,0)+IF(H314&lt;&gt;"",1,0)+IF(J314&lt;&gt;"",1,0)+IF(L314&lt;&gt;"",1,0)</x:f>
        <x:v>1</x:v>
      </x:c>
      <x:c r="O314" s="14" t="str">
        <x:f>IF(E314="","MISSING MAIN",IF(N314=1,"MAIN ONLY","MULTI-PHOTO"))</x:f>
        <x:v>MAIN ONLY</x:v>
      </x:c>
      <x:c r="P314" s="14" t="str">
        <x:v>0345_</x:v>
      </x:c>
      <x:c r="Q314" s="14" t="str">
        <x:v>https://mb1advancedsolutions.github.io/mb1-catalog/index.html?design=0345</x:v>
      </x:c>
      <x:c r="R314" s="14" t="str"/>
    </x:row>
    <x:row r="315">
      <x:c r="A315" s="13" t="str">
        <x:v>MB1-0346</x:v>
      </x:c>
      <x:c r="B315" s="13" t="str">
        <x:v>MB1-0346</x:v>
      </x:c>
      <x:c r="C315" s="14" t="str">
        <x:v>fire fighter helmet 5</x:v>
      </x:c>
      <x:c r="D315" s="14" t="str">
        <x:v>sports and hobbies</x:v>
      </x:c>
      <x:c r="E315" s="14" t="str">
        <x:v>https://res.cloudinary.com/oxygre42/image/upload/f_auto,q_auto,c_pad,b_white,w_1200,h_1200/v1788349337/0346_fire_fighter_helmet_5.png</x:v>
      </x:c>
      <x:c r="F315" s="14" t="str"/>
      <x:c r="G315" s="14" t="str">
        <x:v>Lifestyle</x:v>
      </x:c>
      <x:c r="H315" s="14" t="str"/>
      <x:c r="I315" s="14" t="str">
        <x:v>Detail</x:v>
      </x:c>
      <x:c r="J315" s="14" t="str"/>
      <x:c r="K315" s="14" t="str">
        <x:v>Scale</x:v>
      </x:c>
      <x:c r="L315" s="14" t="str"/>
      <x:c r="M315" s="14" t="str">
        <x:v>Alternate</x:v>
      </x:c>
      <x:c r="N315" s="14" t="n">
        <x:f>IF(E315&lt;&gt;"",1,0)+IF(F315&lt;&gt;"",1,0)+IF(H315&lt;&gt;"",1,0)+IF(J315&lt;&gt;"",1,0)+IF(L315&lt;&gt;"",1,0)</x:f>
        <x:v>1</x:v>
      </x:c>
      <x:c r="O315" s="14" t="str">
        <x:f>IF(E315="","MISSING MAIN",IF(N315=1,"MAIN ONLY","MULTI-PHOTO"))</x:f>
        <x:v>MAIN ONLY</x:v>
      </x:c>
      <x:c r="P315" s="14" t="str">
        <x:v>0346_</x:v>
      </x:c>
      <x:c r="Q315" s="14" t="str">
        <x:v>https://mb1advancedsolutions.github.io/mb1-catalog/index.html?design=0346</x:v>
      </x:c>
      <x:c r="R315" s="14" t="str"/>
    </x:row>
    <x:row r="316">
      <x:c r="A316" s="13" t="str">
        <x:v>MB1-0347</x:v>
      </x:c>
      <x:c r="B316" s="13" t="str">
        <x:v>MB1-0347</x:v>
      </x:c>
      <x:c r="C316" s="14" t="str">
        <x:v>fire hydrant</x:v>
      </x:c>
      <x:c r="D316" s="14" t="str">
        <x:v>home decor and inspirational</x:v>
      </x:c>
      <x:c r="E316" s="14" t="str">
        <x:v>https://res.cloudinary.com/oxygre42/image/upload/f_auto,q_auto,c_pad,b_white,w_1200,h_1200/v1788349340/0347_fire_hydrant.png</x:v>
      </x:c>
      <x:c r="F316" s="14" t="str"/>
      <x:c r="G316" s="14" t="str">
        <x:v>Lifestyle</x:v>
      </x:c>
      <x:c r="H316" s="14" t="str"/>
      <x:c r="I316" s="14" t="str">
        <x:v>Detail</x:v>
      </x:c>
      <x:c r="J316" s="14" t="str"/>
      <x:c r="K316" s="14" t="str">
        <x:v>Scale</x:v>
      </x:c>
      <x:c r="L316" s="14" t="str"/>
      <x:c r="M316" s="14" t="str">
        <x:v>Alternate</x:v>
      </x:c>
      <x:c r="N316" s="14" t="n">
        <x:f>IF(E316&lt;&gt;"",1,0)+IF(F316&lt;&gt;"",1,0)+IF(H316&lt;&gt;"",1,0)+IF(J316&lt;&gt;"",1,0)+IF(L316&lt;&gt;"",1,0)</x:f>
        <x:v>1</x:v>
      </x:c>
      <x:c r="O316" s="14" t="str">
        <x:f>IF(E316="","MISSING MAIN",IF(N316=1,"MAIN ONLY","MULTI-PHOTO"))</x:f>
        <x:v>MAIN ONLY</x:v>
      </x:c>
      <x:c r="P316" s="14" t="str">
        <x:v>0347_</x:v>
      </x:c>
      <x:c r="Q316" s="14" t="str">
        <x:v>https://mb1advancedsolutions.github.io/mb1-catalog/index.html?design=0347</x:v>
      </x:c>
      <x:c r="R316" s="14" t="str"/>
    </x:row>
    <x:row r="317">
      <x:c r="A317" s="13" t="str">
        <x:v>MB1-0348</x:v>
      </x:c>
      <x:c r="B317" s="13" t="str">
        <x:v>MB1-0348</x:v>
      </x:c>
      <x:c r="C317" s="14" t="str">
        <x:v>FISH 1</x:v>
      </x:c>
      <x:c r="D317" s="14" t="str">
        <x:v>wildlife and outdoors</x:v>
      </x:c>
      <x:c r="E317" s="14" t="str">
        <x:v>https://res.cloudinary.com/oxygre42/image/upload/f_auto,q_auto,c_pad,b_white,w_1200,h_1200/v1788349342/0348_FISH_1.png</x:v>
      </x:c>
      <x:c r="F317" s="14" t="str"/>
      <x:c r="G317" s="14" t="str">
        <x:v>Lifestyle</x:v>
      </x:c>
      <x:c r="H317" s="14" t="str"/>
      <x:c r="I317" s="14" t="str">
        <x:v>Detail</x:v>
      </x:c>
      <x:c r="J317" s="14" t="str"/>
      <x:c r="K317" s="14" t="str">
        <x:v>Scale</x:v>
      </x:c>
      <x:c r="L317" s="14" t="str"/>
      <x:c r="M317" s="14" t="str">
        <x:v>Alternate</x:v>
      </x:c>
      <x:c r="N317" s="14" t="n">
        <x:f>IF(E317&lt;&gt;"",1,0)+IF(F317&lt;&gt;"",1,0)+IF(H317&lt;&gt;"",1,0)+IF(J317&lt;&gt;"",1,0)+IF(L317&lt;&gt;"",1,0)</x:f>
        <x:v>1</x:v>
      </x:c>
      <x:c r="O317" s="14" t="str">
        <x:f>IF(E317="","MISSING MAIN",IF(N317=1,"MAIN ONLY","MULTI-PHOTO"))</x:f>
        <x:v>MAIN ONLY</x:v>
      </x:c>
      <x:c r="P317" s="14" t="str">
        <x:v>0348_</x:v>
      </x:c>
      <x:c r="Q317" s="14" t="str">
        <x:v>https://mb1advancedsolutions.github.io/mb1-catalog/index.html?design=0348</x:v>
      </x:c>
      <x:c r="R317" s="14" t="str"/>
    </x:row>
    <x:row r="318">
      <x:c r="A318" s="13" t="str">
        <x:v>MB1-0349</x:v>
      </x:c>
      <x:c r="B318" s="13" t="str">
        <x:v>MB1-0349</x:v>
      </x:c>
      <x:c r="C318" s="14" t="str">
        <x:v>FISH 10</x:v>
      </x:c>
      <x:c r="D318" s="14" t="str">
        <x:v>wildlife and outdoors</x:v>
      </x:c>
      <x:c r="E318" s="14" t="str">
        <x:v>https://res.cloudinary.com/oxygre42/image/upload/f_auto,q_auto,c_pad,b_white,w_1200,h_1200/v1788349343/0349_FISH_10.png</x:v>
      </x:c>
      <x:c r="F318" s="14" t="str"/>
      <x:c r="G318" s="14" t="str">
        <x:v>Lifestyle</x:v>
      </x:c>
      <x:c r="H318" s="14" t="str"/>
      <x:c r="I318" s="14" t="str">
        <x:v>Detail</x:v>
      </x:c>
      <x:c r="J318" s="14" t="str"/>
      <x:c r="K318" s="14" t="str">
        <x:v>Scale</x:v>
      </x:c>
      <x:c r="L318" s="14" t="str"/>
      <x:c r="M318" s="14" t="str">
        <x:v>Alternate</x:v>
      </x:c>
      <x:c r="N318" s="14" t="n">
        <x:f>IF(E318&lt;&gt;"",1,0)+IF(F318&lt;&gt;"",1,0)+IF(H318&lt;&gt;"",1,0)+IF(J318&lt;&gt;"",1,0)+IF(L318&lt;&gt;"",1,0)</x:f>
        <x:v>1</x:v>
      </x:c>
      <x:c r="O318" s="14" t="str">
        <x:f>IF(E318="","MISSING MAIN",IF(N318=1,"MAIN ONLY","MULTI-PHOTO"))</x:f>
        <x:v>MAIN ONLY</x:v>
      </x:c>
      <x:c r="P318" s="14" t="str">
        <x:v>0349_</x:v>
      </x:c>
      <x:c r="Q318" s="14" t="str">
        <x:v>https://mb1advancedsolutions.github.io/mb1-catalog/index.html?design=0349</x:v>
      </x:c>
      <x:c r="R318" s="14" t="str"/>
    </x:row>
    <x:row r="319">
      <x:c r="A319" s="13" t="str">
        <x:v>MB1-0350</x:v>
      </x:c>
      <x:c r="B319" s="13" t="str">
        <x:v>MB1-0350</x:v>
      </x:c>
      <x:c r="C319" s="14" t="str">
        <x:v>FISH 11</x:v>
      </x:c>
      <x:c r="D319" s="14" t="str">
        <x:v>wildlife and outdoors</x:v>
      </x:c>
      <x:c r="E319" s="14" t="str">
        <x:v>https://res.cloudinary.com/oxygre42/image/upload/f_auto,q_auto,c_pad,b_white,w_1200,h_1200/v1788349345/0350_FISH_11.png</x:v>
      </x:c>
      <x:c r="F319" s="14" t="str"/>
      <x:c r="G319" s="14" t="str">
        <x:v>Lifestyle</x:v>
      </x:c>
      <x:c r="H319" s="14" t="str"/>
      <x:c r="I319" s="14" t="str">
        <x:v>Detail</x:v>
      </x:c>
      <x:c r="J319" s="14" t="str"/>
      <x:c r="K319" s="14" t="str">
        <x:v>Scale</x:v>
      </x:c>
      <x:c r="L319" s="14" t="str"/>
      <x:c r="M319" s="14" t="str">
        <x:v>Alternate</x:v>
      </x:c>
      <x:c r="N319" s="14" t="n">
        <x:f>IF(E319&lt;&gt;"",1,0)+IF(F319&lt;&gt;"",1,0)+IF(H319&lt;&gt;"",1,0)+IF(J319&lt;&gt;"",1,0)+IF(L319&lt;&gt;"",1,0)</x:f>
        <x:v>1</x:v>
      </x:c>
      <x:c r="O319" s="14" t="str">
        <x:f>IF(E319="","MISSING MAIN",IF(N319=1,"MAIN ONLY","MULTI-PHOTO"))</x:f>
        <x:v>MAIN ONLY</x:v>
      </x:c>
      <x:c r="P319" s="14" t="str">
        <x:v>0350_</x:v>
      </x:c>
      <x:c r="Q319" s="14" t="str">
        <x:v>https://mb1advancedsolutions.github.io/mb1-catalog/index.html?design=0350</x:v>
      </x:c>
      <x:c r="R319" s="14" t="str"/>
    </x:row>
    <x:row r="320">
      <x:c r="A320" s="13" t="str">
        <x:v>MB1-0351</x:v>
      </x:c>
      <x:c r="B320" s="13" t="str">
        <x:v>MB1-0351</x:v>
      </x:c>
      <x:c r="C320" s="14" t="str">
        <x:v>FISH 12</x:v>
      </x:c>
      <x:c r="D320" s="14" t="str">
        <x:v>wildlife and outdoors</x:v>
      </x:c>
      <x:c r="E320" s="14" t="str">
        <x:v>https://res.cloudinary.com/oxygre42/image/upload/f_auto,q_auto,c_pad,b_white,w_1200,h_1200/v1788349347/0351_FISH_12.png</x:v>
      </x:c>
      <x:c r="F320" s="14" t="str"/>
      <x:c r="G320" s="14" t="str">
        <x:v>Lifestyle</x:v>
      </x:c>
      <x:c r="H320" s="14" t="str"/>
      <x:c r="I320" s="14" t="str">
        <x:v>Detail</x:v>
      </x:c>
      <x:c r="J320" s="14" t="str"/>
      <x:c r="K320" s="14" t="str">
        <x:v>Scale</x:v>
      </x:c>
      <x:c r="L320" s="14" t="str"/>
      <x:c r="M320" s="14" t="str">
        <x:v>Alternate</x:v>
      </x:c>
      <x:c r="N320" s="14" t="n">
        <x:f>IF(E320&lt;&gt;"",1,0)+IF(F320&lt;&gt;"",1,0)+IF(H320&lt;&gt;"",1,0)+IF(J320&lt;&gt;"",1,0)+IF(L320&lt;&gt;"",1,0)</x:f>
        <x:v>1</x:v>
      </x:c>
      <x:c r="O320" s="14" t="str">
        <x:f>IF(E320="","MISSING MAIN",IF(N320=1,"MAIN ONLY","MULTI-PHOTO"))</x:f>
        <x:v>MAIN ONLY</x:v>
      </x:c>
      <x:c r="P320" s="14" t="str">
        <x:v>0351_</x:v>
      </x:c>
      <x:c r="Q320" s="14" t="str">
        <x:v>https://mb1advancedsolutions.github.io/mb1-catalog/index.html?design=0351</x:v>
      </x:c>
      <x:c r="R320" s="14" t="str"/>
    </x:row>
    <x:row r="321">
      <x:c r="A321" s="13" t="str">
        <x:v>MB1-0352</x:v>
      </x:c>
      <x:c r="B321" s="13" t="str">
        <x:v>MB1-0352</x:v>
      </x:c>
      <x:c r="C321" s="14" t="str">
        <x:v>FISH 13</x:v>
      </x:c>
      <x:c r="D321" s="14" t="str">
        <x:v>wildlife and outdoors</x:v>
      </x:c>
      <x:c r="E321" s="14" t="str">
        <x:v>https://res.cloudinary.com/oxygre42/image/upload/f_auto,q_auto,c_pad,b_white,w_1200,h_1200/v1788349349/0352_FISH_13.png</x:v>
      </x:c>
      <x:c r="F321" s="14" t="str"/>
      <x:c r="G321" s="14" t="str">
        <x:v>Lifestyle</x:v>
      </x:c>
      <x:c r="H321" s="14" t="str"/>
      <x:c r="I321" s="14" t="str">
        <x:v>Detail</x:v>
      </x:c>
      <x:c r="J321" s="14" t="str"/>
      <x:c r="K321" s="14" t="str">
        <x:v>Scale</x:v>
      </x:c>
      <x:c r="L321" s="14" t="str"/>
      <x:c r="M321" s="14" t="str">
        <x:v>Alternate</x:v>
      </x:c>
      <x:c r="N321" s="14" t="n">
        <x:f>IF(E321&lt;&gt;"",1,0)+IF(F321&lt;&gt;"",1,0)+IF(H321&lt;&gt;"",1,0)+IF(J321&lt;&gt;"",1,0)+IF(L321&lt;&gt;"",1,0)</x:f>
        <x:v>1</x:v>
      </x:c>
      <x:c r="O321" s="14" t="str">
        <x:f>IF(E321="","MISSING MAIN",IF(N321=1,"MAIN ONLY","MULTI-PHOTO"))</x:f>
        <x:v>MAIN ONLY</x:v>
      </x:c>
      <x:c r="P321" s="14" t="str">
        <x:v>0352_</x:v>
      </x:c>
      <x:c r="Q321" s="14" t="str">
        <x:v>https://mb1advancedsolutions.github.io/mb1-catalog/index.html?design=0352</x:v>
      </x:c>
      <x:c r="R321" s="14" t="str"/>
    </x:row>
    <x:row r="322">
      <x:c r="A322" s="13" t="str">
        <x:v>MB1-0353</x:v>
      </x:c>
      <x:c r="B322" s="13" t="str">
        <x:v>MB1-0353</x:v>
      </x:c>
      <x:c r="C322" s="14" t="str">
        <x:v>FISH 14</x:v>
      </x:c>
      <x:c r="D322" s="14" t="str">
        <x:v>wildlife and outdoors</x:v>
      </x:c>
      <x:c r="E322" s="14" t="str">
        <x:v>https://res.cloudinary.com/oxygre42/image/upload/f_auto,q_auto,c_pad,b_white,w_1200,h_1200/v1788349351/0353_FISH_14.png</x:v>
      </x:c>
      <x:c r="F322" s="14" t="str"/>
      <x:c r="G322" s="14" t="str">
        <x:v>Lifestyle</x:v>
      </x:c>
      <x:c r="H322" s="14" t="str"/>
      <x:c r="I322" s="14" t="str">
        <x:v>Detail</x:v>
      </x:c>
      <x:c r="J322" s="14" t="str"/>
      <x:c r="K322" s="14" t="str">
        <x:v>Scale</x:v>
      </x:c>
      <x:c r="L322" s="14" t="str"/>
      <x:c r="M322" s="14" t="str">
        <x:v>Alternate</x:v>
      </x:c>
      <x:c r="N322" s="14" t="n">
        <x:f>IF(E322&lt;&gt;"",1,0)+IF(F322&lt;&gt;"",1,0)+IF(H322&lt;&gt;"",1,0)+IF(J322&lt;&gt;"",1,0)+IF(L322&lt;&gt;"",1,0)</x:f>
        <x:v>1</x:v>
      </x:c>
      <x:c r="O322" s="14" t="str">
        <x:f>IF(E322="","MISSING MAIN",IF(N322=1,"MAIN ONLY","MULTI-PHOTO"))</x:f>
        <x:v>MAIN ONLY</x:v>
      </x:c>
      <x:c r="P322" s="14" t="str">
        <x:v>0353_</x:v>
      </x:c>
      <x:c r="Q322" s="14" t="str">
        <x:v>https://mb1advancedsolutions.github.io/mb1-catalog/index.html?design=0353</x:v>
      </x:c>
      <x:c r="R322" s="14" t="str"/>
    </x:row>
    <x:row r="323">
      <x:c r="A323" s="13" t="str">
        <x:v>MB1-0354</x:v>
      </x:c>
      <x:c r="B323" s="13" t="str">
        <x:v>MB1-0354</x:v>
      </x:c>
      <x:c r="C323" s="14" t="str">
        <x:v>FISH 15</x:v>
      </x:c>
      <x:c r="D323" s="14" t="str">
        <x:v>wildlife and outdoors</x:v>
      </x:c>
      <x:c r="E323" s="14" t="str">
        <x:v>https://res.cloudinary.com/oxygre42/image/upload/f_auto,q_auto,c_pad,b_white,w_1200,h_1200/v1788349353/0354_FISH_15.png</x:v>
      </x:c>
      <x:c r="F323" s="14" t="str"/>
      <x:c r="G323" s="14" t="str">
        <x:v>Lifestyle</x:v>
      </x:c>
      <x:c r="H323" s="14" t="str"/>
      <x:c r="I323" s="14" t="str">
        <x:v>Detail</x:v>
      </x:c>
      <x:c r="J323" s="14" t="str"/>
      <x:c r="K323" s="14" t="str">
        <x:v>Scale</x:v>
      </x:c>
      <x:c r="L323" s="14" t="str"/>
      <x:c r="M323" s="14" t="str">
        <x:v>Alternate</x:v>
      </x:c>
      <x:c r="N323" s="14" t="n">
        <x:f>IF(E323&lt;&gt;"",1,0)+IF(F323&lt;&gt;"",1,0)+IF(H323&lt;&gt;"",1,0)+IF(J323&lt;&gt;"",1,0)+IF(L323&lt;&gt;"",1,0)</x:f>
        <x:v>1</x:v>
      </x:c>
      <x:c r="O323" s="14" t="str">
        <x:f>IF(E323="","MISSING MAIN",IF(N323=1,"MAIN ONLY","MULTI-PHOTO"))</x:f>
        <x:v>MAIN ONLY</x:v>
      </x:c>
      <x:c r="P323" s="14" t="str">
        <x:v>0354_</x:v>
      </x:c>
      <x:c r="Q323" s="14" t="str">
        <x:v>https://mb1advancedsolutions.github.io/mb1-catalog/index.html?design=0354</x:v>
      </x:c>
      <x:c r="R323" s="14" t="str"/>
    </x:row>
    <x:row r="324">
      <x:c r="A324" s="13" t="str">
        <x:v>MB1-0355</x:v>
      </x:c>
      <x:c r="B324" s="13" t="str">
        <x:v>MB1-0355</x:v>
      </x:c>
      <x:c r="C324" s="14" t="str">
        <x:v>FISH 16</x:v>
      </x:c>
      <x:c r="D324" s="14" t="str">
        <x:v>wildlife and outdoors</x:v>
      </x:c>
      <x:c r="E324" s="14" t="str">
        <x:v>https://res.cloudinary.com/oxygre42/image/upload/f_auto,q_auto,c_pad,b_white,w_1200,h_1200/v1788349355/0355_FISH_16.png</x:v>
      </x:c>
      <x:c r="F324" s="14" t="str"/>
      <x:c r="G324" s="14" t="str">
        <x:v>Lifestyle</x:v>
      </x:c>
      <x:c r="H324" s="14" t="str"/>
      <x:c r="I324" s="14" t="str">
        <x:v>Detail</x:v>
      </x:c>
      <x:c r="J324" s="14" t="str"/>
      <x:c r="K324" s="14" t="str">
        <x:v>Scale</x:v>
      </x:c>
      <x:c r="L324" s="14" t="str"/>
      <x:c r="M324" s="14" t="str">
        <x:v>Alternate</x:v>
      </x:c>
      <x:c r="N324" s="14" t="n">
        <x:f>IF(E324&lt;&gt;"",1,0)+IF(F324&lt;&gt;"",1,0)+IF(H324&lt;&gt;"",1,0)+IF(J324&lt;&gt;"",1,0)+IF(L324&lt;&gt;"",1,0)</x:f>
        <x:v>1</x:v>
      </x:c>
      <x:c r="O324" s="14" t="str">
        <x:f>IF(E324="","MISSING MAIN",IF(N324=1,"MAIN ONLY","MULTI-PHOTO"))</x:f>
        <x:v>MAIN ONLY</x:v>
      </x:c>
      <x:c r="P324" s="14" t="str">
        <x:v>0355_</x:v>
      </x:c>
      <x:c r="Q324" s="14" t="str">
        <x:v>https://mb1advancedsolutions.github.io/mb1-catalog/index.html?design=0355</x:v>
      </x:c>
      <x:c r="R324" s="14" t="str"/>
    </x:row>
    <x:row r="325">
      <x:c r="A325" s="13" t="str">
        <x:v>MB1-0356</x:v>
      </x:c>
      <x:c r="B325" s="13" t="str">
        <x:v>MB1-0356</x:v>
      </x:c>
      <x:c r="C325" s="14" t="str">
        <x:v>FISH 17</x:v>
      </x:c>
      <x:c r="D325" s="14" t="str">
        <x:v>wildlife and outdoors</x:v>
      </x:c>
      <x:c r="E325" s="14" t="str">
        <x:v>https://res.cloudinary.com/oxygre42/image/upload/f_auto,q_auto,c_pad,b_white,w_1200,h_1200/v1788349356/0356_FISH_17.png</x:v>
      </x:c>
      <x:c r="F325" s="14" t="str"/>
      <x:c r="G325" s="14" t="str">
        <x:v>Lifestyle</x:v>
      </x:c>
      <x:c r="H325" s="14" t="str"/>
      <x:c r="I325" s="14" t="str">
        <x:v>Detail</x:v>
      </x:c>
      <x:c r="J325" s="14" t="str"/>
      <x:c r="K325" s="14" t="str">
        <x:v>Scale</x:v>
      </x:c>
      <x:c r="L325" s="14" t="str"/>
      <x:c r="M325" s="14" t="str">
        <x:v>Alternate</x:v>
      </x:c>
      <x:c r="N325" s="14" t="n">
        <x:f>IF(E325&lt;&gt;"",1,0)+IF(F325&lt;&gt;"",1,0)+IF(H325&lt;&gt;"",1,0)+IF(J325&lt;&gt;"",1,0)+IF(L325&lt;&gt;"",1,0)</x:f>
        <x:v>1</x:v>
      </x:c>
      <x:c r="O325" s="14" t="str">
        <x:f>IF(E325="","MISSING MAIN",IF(N325=1,"MAIN ONLY","MULTI-PHOTO"))</x:f>
        <x:v>MAIN ONLY</x:v>
      </x:c>
      <x:c r="P325" s="14" t="str">
        <x:v>0356_</x:v>
      </x:c>
      <x:c r="Q325" s="14" t="str">
        <x:v>https://mb1advancedsolutions.github.io/mb1-catalog/index.html?design=0356</x:v>
      </x:c>
      <x:c r="R325" s="14" t="str"/>
    </x:row>
    <x:row r="326">
      <x:c r="A326" s="13" t="str">
        <x:v>MB1-0357</x:v>
      </x:c>
      <x:c r="B326" s="13" t="str">
        <x:v>MB1-0357</x:v>
      </x:c>
      <x:c r="C326" s="14" t="str">
        <x:v>FISH 18 </x:v>
      </x:c>
      <x:c r="D326" s="14" t="str">
        <x:v>wildlife and outdoors</x:v>
      </x:c>
      <x:c r="E326" s="14" t="str">
        <x:v>https://res.cloudinary.com/oxygre42/image/upload/f_auto,q_auto,c_pad,b_white,w_1200,h_1200/v1788349358/0357_FISH_18.png</x:v>
      </x:c>
      <x:c r="F326" s="14" t="str"/>
      <x:c r="G326" s="14" t="str">
        <x:v>Lifestyle</x:v>
      </x:c>
      <x:c r="H326" s="14" t="str"/>
      <x:c r="I326" s="14" t="str">
        <x:v>Detail</x:v>
      </x:c>
      <x:c r="J326" s="14" t="str"/>
      <x:c r="K326" s="14" t="str">
        <x:v>Scale</x:v>
      </x:c>
      <x:c r="L326" s="14" t="str"/>
      <x:c r="M326" s="14" t="str">
        <x:v>Alternate</x:v>
      </x:c>
      <x:c r="N326" s="14" t="n">
        <x:f>IF(E326&lt;&gt;"",1,0)+IF(F326&lt;&gt;"",1,0)+IF(H326&lt;&gt;"",1,0)+IF(J326&lt;&gt;"",1,0)+IF(L326&lt;&gt;"",1,0)</x:f>
        <x:v>1</x:v>
      </x:c>
      <x:c r="O326" s="14" t="str">
        <x:f>IF(E326="","MISSING MAIN",IF(N326=1,"MAIN ONLY","MULTI-PHOTO"))</x:f>
        <x:v>MAIN ONLY</x:v>
      </x:c>
      <x:c r="P326" s="14" t="str">
        <x:v>0357_</x:v>
      </x:c>
      <x:c r="Q326" s="14" t="str">
        <x:v>https://mb1advancedsolutions.github.io/mb1-catalog/index.html?design=0357</x:v>
      </x:c>
      <x:c r="R326" s="14" t="str"/>
    </x:row>
    <x:row r="327">
      <x:c r="A327" s="13" t="str">
        <x:v>MB1-0358</x:v>
      </x:c>
      <x:c r="B327" s="13" t="str">
        <x:v>MB1-0358</x:v>
      </x:c>
      <x:c r="C327" s="14" t="str">
        <x:v>FISH 2</x:v>
      </x:c>
      <x:c r="D327" s="14" t="str">
        <x:v>wildlife and outdoors</x:v>
      </x:c>
      <x:c r="E327" s="14" t="str">
        <x:v>https://res.cloudinary.com/oxygre42/image/upload/f_auto,q_auto,c_pad,b_white,w_1200,h_1200/v1788349360/0358_FISH_2.png</x:v>
      </x:c>
      <x:c r="F327" s="14" t="str"/>
      <x:c r="G327" s="14" t="str">
        <x:v>Lifestyle</x:v>
      </x:c>
      <x:c r="H327" s="14" t="str"/>
      <x:c r="I327" s="14" t="str">
        <x:v>Detail</x:v>
      </x:c>
      <x:c r="J327" s="14" t="str"/>
      <x:c r="K327" s="14" t="str">
        <x:v>Scale</x:v>
      </x:c>
      <x:c r="L327" s="14" t="str"/>
      <x:c r="M327" s="14" t="str">
        <x:v>Alternate</x:v>
      </x:c>
      <x:c r="N327" s="14" t="n">
        <x:f>IF(E327&lt;&gt;"",1,0)+IF(F327&lt;&gt;"",1,0)+IF(H327&lt;&gt;"",1,0)+IF(J327&lt;&gt;"",1,0)+IF(L327&lt;&gt;"",1,0)</x:f>
        <x:v>1</x:v>
      </x:c>
      <x:c r="O327" s="14" t="str">
        <x:f>IF(E327="","MISSING MAIN",IF(N327=1,"MAIN ONLY","MULTI-PHOTO"))</x:f>
        <x:v>MAIN ONLY</x:v>
      </x:c>
      <x:c r="P327" s="14" t="str">
        <x:v>0358_</x:v>
      </x:c>
      <x:c r="Q327" s="14" t="str">
        <x:v>https://mb1advancedsolutions.github.io/mb1-catalog/index.html?design=0358</x:v>
      </x:c>
      <x:c r="R327" s="14" t="str"/>
    </x:row>
    <x:row r="328">
      <x:c r="A328" s="13" t="str">
        <x:v>MB1-0359</x:v>
      </x:c>
      <x:c r="B328" s="13" t="str">
        <x:v>MB1-0359</x:v>
      </x:c>
      <x:c r="C328" s="14" t="str">
        <x:v>FISH 3</x:v>
      </x:c>
      <x:c r="D328" s="14" t="str">
        <x:v>wildlife and outdoors</x:v>
      </x:c>
      <x:c r="E328" s="14" t="str">
        <x:v>https://res.cloudinary.com/oxygre42/image/upload/f_auto,q_auto,c_pad,b_white,w_1200,h_1200/v1788349362/0359_FISH_3.png</x:v>
      </x:c>
      <x:c r="F328" s="14" t="str"/>
      <x:c r="G328" s="14" t="str">
        <x:v>Lifestyle</x:v>
      </x:c>
      <x:c r="H328" s="14" t="str"/>
      <x:c r="I328" s="14" t="str">
        <x:v>Detail</x:v>
      </x:c>
      <x:c r="J328" s="14" t="str"/>
      <x:c r="K328" s="14" t="str">
        <x:v>Scale</x:v>
      </x:c>
      <x:c r="L328" s="14" t="str"/>
      <x:c r="M328" s="14" t="str">
        <x:v>Alternate</x:v>
      </x:c>
      <x:c r="N328" s="14" t="n">
        <x:f>IF(E328&lt;&gt;"",1,0)+IF(F328&lt;&gt;"",1,0)+IF(H328&lt;&gt;"",1,0)+IF(J328&lt;&gt;"",1,0)+IF(L328&lt;&gt;"",1,0)</x:f>
        <x:v>1</x:v>
      </x:c>
      <x:c r="O328" s="14" t="str">
        <x:f>IF(E328="","MISSING MAIN",IF(N328=1,"MAIN ONLY","MULTI-PHOTO"))</x:f>
        <x:v>MAIN ONLY</x:v>
      </x:c>
      <x:c r="P328" s="14" t="str">
        <x:v>0359_</x:v>
      </x:c>
      <x:c r="Q328" s="14" t="str">
        <x:v>https://mb1advancedsolutions.github.io/mb1-catalog/index.html?design=0359</x:v>
      </x:c>
      <x:c r="R328" s="14" t="str"/>
    </x:row>
    <x:row r="329">
      <x:c r="A329" s="13" t="str">
        <x:v>MB1-0360</x:v>
      </x:c>
      <x:c r="B329" s="13" t="str">
        <x:v>MB1-0360</x:v>
      </x:c>
      <x:c r="C329" s="14" t="str">
        <x:v>FISH 4</x:v>
      </x:c>
      <x:c r="D329" s="14" t="str">
        <x:v>wildlife and outdoors</x:v>
      </x:c>
      <x:c r="E329" s="14" t="str">
        <x:v>https://res.cloudinary.com/oxygre42/image/upload/f_auto,q_auto,c_pad,b_white,w_1200,h_1200/v1788349364/0360_FISH_4.png</x:v>
      </x:c>
      <x:c r="F329" s="14" t="str"/>
      <x:c r="G329" s="14" t="str">
        <x:v>Lifestyle</x:v>
      </x:c>
      <x:c r="H329" s="14" t="str"/>
      <x:c r="I329" s="14" t="str">
        <x:v>Detail</x:v>
      </x:c>
      <x:c r="J329" s="14" t="str"/>
      <x:c r="K329" s="14" t="str">
        <x:v>Scale</x:v>
      </x:c>
      <x:c r="L329" s="14" t="str"/>
      <x:c r="M329" s="14" t="str">
        <x:v>Alternate</x:v>
      </x:c>
      <x:c r="N329" s="14" t="n">
        <x:f>IF(E329&lt;&gt;"",1,0)+IF(F329&lt;&gt;"",1,0)+IF(H329&lt;&gt;"",1,0)+IF(J329&lt;&gt;"",1,0)+IF(L329&lt;&gt;"",1,0)</x:f>
        <x:v>1</x:v>
      </x:c>
      <x:c r="O329" s="14" t="str">
        <x:f>IF(E329="","MISSING MAIN",IF(N329=1,"MAIN ONLY","MULTI-PHOTO"))</x:f>
        <x:v>MAIN ONLY</x:v>
      </x:c>
      <x:c r="P329" s="14" t="str">
        <x:v>0360_</x:v>
      </x:c>
      <x:c r="Q329" s="14" t="str">
        <x:v>https://mb1advancedsolutions.github.io/mb1-catalog/index.html?design=0360</x:v>
      </x:c>
      <x:c r="R329" s="14" t="str"/>
    </x:row>
    <x:row r="330">
      <x:c r="A330" s="13" t="str">
        <x:v>MB1-0361</x:v>
      </x:c>
      <x:c r="B330" s="13" t="str">
        <x:v>MB1-0361</x:v>
      </x:c>
      <x:c r="C330" s="14" t="str">
        <x:v>FISH 5</x:v>
      </x:c>
      <x:c r="D330" s="14" t="str">
        <x:v>wildlife and outdoors</x:v>
      </x:c>
      <x:c r="E330" s="14" t="str">
        <x:v>https://res.cloudinary.com/oxygre42/image/upload/f_auto,q_auto,c_pad,b_white,w_1200,h_1200/v1788349366/0361_FISH_5.png</x:v>
      </x:c>
      <x:c r="F330" s="14" t="str"/>
      <x:c r="G330" s="14" t="str">
        <x:v>Lifestyle</x:v>
      </x:c>
      <x:c r="H330" s="14" t="str"/>
      <x:c r="I330" s="14" t="str">
        <x:v>Detail</x:v>
      </x:c>
      <x:c r="J330" s="14" t="str"/>
      <x:c r="K330" s="14" t="str">
        <x:v>Scale</x:v>
      </x:c>
      <x:c r="L330" s="14" t="str"/>
      <x:c r="M330" s="14" t="str">
        <x:v>Alternate</x:v>
      </x:c>
      <x:c r="N330" s="14" t="n">
        <x:f>IF(E330&lt;&gt;"",1,0)+IF(F330&lt;&gt;"",1,0)+IF(H330&lt;&gt;"",1,0)+IF(J330&lt;&gt;"",1,0)+IF(L330&lt;&gt;"",1,0)</x:f>
        <x:v>1</x:v>
      </x:c>
      <x:c r="O330" s="14" t="str">
        <x:f>IF(E330="","MISSING MAIN",IF(N330=1,"MAIN ONLY","MULTI-PHOTO"))</x:f>
        <x:v>MAIN ONLY</x:v>
      </x:c>
      <x:c r="P330" s="14" t="str">
        <x:v>0361_</x:v>
      </x:c>
      <x:c r="Q330" s="14" t="str">
        <x:v>https://mb1advancedsolutions.github.io/mb1-catalog/index.html?design=0361</x:v>
      </x:c>
      <x:c r="R330" s="14" t="str"/>
    </x:row>
    <x:row r="331">
      <x:c r="A331" s="13" t="str">
        <x:v>MB1-0362</x:v>
      </x:c>
      <x:c r="B331" s="13" t="str">
        <x:v>MB1-0362</x:v>
      </x:c>
      <x:c r="C331" s="14" t="str">
        <x:v>FISH 6</x:v>
      </x:c>
      <x:c r="D331" s="14" t="str">
        <x:v>wildlife and outdoors</x:v>
      </x:c>
      <x:c r="E331" s="14" t="str">
        <x:v>https://res.cloudinary.com/oxygre42/image/upload/f_auto,q_auto,c_pad,b_white,w_1200,h_1200/v1788349368/0362_FISH_6.png</x:v>
      </x:c>
      <x:c r="F331" s="14" t="str"/>
      <x:c r="G331" s="14" t="str">
        <x:v>Lifestyle</x:v>
      </x:c>
      <x:c r="H331" s="14" t="str"/>
      <x:c r="I331" s="14" t="str">
        <x:v>Detail</x:v>
      </x:c>
      <x:c r="J331" s="14" t="str"/>
      <x:c r="K331" s="14" t="str">
        <x:v>Scale</x:v>
      </x:c>
      <x:c r="L331" s="14" t="str"/>
      <x:c r="M331" s="14" t="str">
        <x:v>Alternate</x:v>
      </x:c>
      <x:c r="N331" s="14" t="n">
        <x:f>IF(E331&lt;&gt;"",1,0)+IF(F331&lt;&gt;"",1,0)+IF(H331&lt;&gt;"",1,0)+IF(J331&lt;&gt;"",1,0)+IF(L331&lt;&gt;"",1,0)</x:f>
        <x:v>1</x:v>
      </x:c>
      <x:c r="O331" s="14" t="str">
        <x:f>IF(E331="","MISSING MAIN",IF(N331=1,"MAIN ONLY","MULTI-PHOTO"))</x:f>
        <x:v>MAIN ONLY</x:v>
      </x:c>
      <x:c r="P331" s="14" t="str">
        <x:v>0362_</x:v>
      </x:c>
      <x:c r="Q331" s="14" t="str">
        <x:v>https://mb1advancedsolutions.github.io/mb1-catalog/index.html?design=0362</x:v>
      </x:c>
      <x:c r="R331" s="14" t="str"/>
    </x:row>
    <x:row r="332">
      <x:c r="A332" s="13" t="str">
        <x:v>MB1-0363</x:v>
      </x:c>
      <x:c r="B332" s="13" t="str">
        <x:v>MB1-0363</x:v>
      </x:c>
      <x:c r="C332" s="14" t="str">
        <x:v>FISH 7</x:v>
      </x:c>
      <x:c r="D332" s="14" t="str">
        <x:v>wildlife and outdoors</x:v>
      </x:c>
      <x:c r="E332" s="14" t="str">
        <x:v>https://res.cloudinary.com/oxygre42/image/upload/f_auto,q_auto,c_pad,b_white,w_1200,h_1200/v1788349370/0363_FISH_7.png</x:v>
      </x:c>
      <x:c r="F332" s="14" t="str"/>
      <x:c r="G332" s="14" t="str">
        <x:v>Lifestyle</x:v>
      </x:c>
      <x:c r="H332" s="14" t="str"/>
      <x:c r="I332" s="14" t="str">
        <x:v>Detail</x:v>
      </x:c>
      <x:c r="J332" s="14" t="str"/>
      <x:c r="K332" s="14" t="str">
        <x:v>Scale</x:v>
      </x:c>
      <x:c r="L332" s="14" t="str"/>
      <x:c r="M332" s="14" t="str">
        <x:v>Alternate</x:v>
      </x:c>
      <x:c r="N332" s="14" t="n">
        <x:f>IF(E332&lt;&gt;"",1,0)+IF(F332&lt;&gt;"",1,0)+IF(H332&lt;&gt;"",1,0)+IF(J332&lt;&gt;"",1,0)+IF(L332&lt;&gt;"",1,0)</x:f>
        <x:v>1</x:v>
      </x:c>
      <x:c r="O332" s="14" t="str">
        <x:f>IF(E332="","MISSING MAIN",IF(N332=1,"MAIN ONLY","MULTI-PHOTO"))</x:f>
        <x:v>MAIN ONLY</x:v>
      </x:c>
      <x:c r="P332" s="14" t="str">
        <x:v>0363_</x:v>
      </x:c>
      <x:c r="Q332" s="14" t="str">
        <x:v>https://mb1advancedsolutions.github.io/mb1-catalog/index.html?design=0363</x:v>
      </x:c>
      <x:c r="R332" s="14" t="str"/>
    </x:row>
    <x:row r="333">
      <x:c r="A333" s="13" t="str">
        <x:v>MB1-0364</x:v>
      </x:c>
      <x:c r="B333" s="13" t="str">
        <x:v>MB1-0364</x:v>
      </x:c>
      <x:c r="C333" s="14" t="str">
        <x:v>FISH 8</x:v>
      </x:c>
      <x:c r="D333" s="14" t="str">
        <x:v>wildlife and outdoors</x:v>
      </x:c>
      <x:c r="E333" s="14" t="str">
        <x:v>https://res.cloudinary.com/oxygre42/image/upload/f_auto,q_auto,c_pad,b_white,w_1200,h_1200/v1788349371/0364_FISH_8.png</x:v>
      </x:c>
      <x:c r="F333" s="14" t="str"/>
      <x:c r="G333" s="14" t="str">
        <x:v>Lifestyle</x:v>
      </x:c>
      <x:c r="H333" s="14" t="str"/>
      <x:c r="I333" s="14" t="str">
        <x:v>Detail</x:v>
      </x:c>
      <x:c r="J333" s="14" t="str"/>
      <x:c r="K333" s="14" t="str">
        <x:v>Scale</x:v>
      </x:c>
      <x:c r="L333" s="14" t="str"/>
      <x:c r="M333" s="14" t="str">
        <x:v>Alternate</x:v>
      </x:c>
      <x:c r="N333" s="14" t="n">
        <x:f>IF(E333&lt;&gt;"",1,0)+IF(F333&lt;&gt;"",1,0)+IF(H333&lt;&gt;"",1,0)+IF(J333&lt;&gt;"",1,0)+IF(L333&lt;&gt;"",1,0)</x:f>
        <x:v>1</x:v>
      </x:c>
      <x:c r="O333" s="14" t="str">
        <x:f>IF(E333="","MISSING MAIN",IF(N333=1,"MAIN ONLY","MULTI-PHOTO"))</x:f>
        <x:v>MAIN ONLY</x:v>
      </x:c>
      <x:c r="P333" s="14" t="str">
        <x:v>0364_</x:v>
      </x:c>
      <x:c r="Q333" s="14" t="str">
        <x:v>https://mb1advancedsolutions.github.io/mb1-catalog/index.html?design=0364</x:v>
      </x:c>
      <x:c r="R333" s="14" t="str"/>
    </x:row>
    <x:row r="334">
      <x:c r="A334" s="13" t="str">
        <x:v>MB1-0365</x:v>
      </x:c>
      <x:c r="B334" s="13" t="str">
        <x:v>MB1-0365</x:v>
      </x:c>
      <x:c r="C334" s="14" t="str">
        <x:v>FISH 9</x:v>
      </x:c>
      <x:c r="D334" s="14" t="str">
        <x:v>wildlife and outdoors</x:v>
      </x:c>
      <x:c r="E334" s="14" t="str">
        <x:v>https://res.cloudinary.com/oxygre42/image/upload/f_auto,q_auto,c_pad,b_white,w_1200,h_1200/v1788349373/0365_FISH_9.png</x:v>
      </x:c>
      <x:c r="F334" s="14" t="str"/>
      <x:c r="G334" s="14" t="str">
        <x:v>Lifestyle</x:v>
      </x:c>
      <x:c r="H334" s="14" t="str"/>
      <x:c r="I334" s="14" t="str">
        <x:v>Detail</x:v>
      </x:c>
      <x:c r="J334" s="14" t="str"/>
      <x:c r="K334" s="14" t="str">
        <x:v>Scale</x:v>
      </x:c>
      <x:c r="L334" s="14" t="str"/>
      <x:c r="M334" s="14" t="str">
        <x:v>Alternate</x:v>
      </x:c>
      <x:c r="N334" s="14" t="n">
        <x:f>IF(E334&lt;&gt;"",1,0)+IF(F334&lt;&gt;"",1,0)+IF(H334&lt;&gt;"",1,0)+IF(J334&lt;&gt;"",1,0)+IF(L334&lt;&gt;"",1,0)</x:f>
        <x:v>1</x:v>
      </x:c>
      <x:c r="O334" s="14" t="str">
        <x:f>IF(E334="","MISSING MAIN",IF(N334=1,"MAIN ONLY","MULTI-PHOTO"))</x:f>
        <x:v>MAIN ONLY</x:v>
      </x:c>
      <x:c r="P334" s="14" t="str">
        <x:v>0365_</x:v>
      </x:c>
      <x:c r="Q334" s="14" t="str">
        <x:v>https://mb1advancedsolutions.github.io/mb1-catalog/index.html?design=0365</x:v>
      </x:c>
      <x:c r="R334" s="14" t="str"/>
    </x:row>
    <x:row r="335">
      <x:c r="A335" s="13" t="str">
        <x:v>MB1-0366</x:v>
      </x:c>
      <x:c r="B335" s="13" t="str">
        <x:v>MB1-0366</x:v>
      </x:c>
      <x:c r="C335" s="14" t="str">
        <x:v>Hand Lifting Weights 2 SVG</x:v>
      </x:c>
      <x:c r="D335" s="14" t="str">
        <x:v>sports and hobbies</x:v>
      </x:c>
      <x:c r="E335" s="14" t="str">
        <x:v>https://res.cloudinary.com/oxygre42/image/upload/f_auto,q_auto,c_pad,b_white,w_1200,h_1200/v1788349375/0366_Hand_Lifting_Weights_2_SVG.png</x:v>
      </x:c>
      <x:c r="F335" s="14" t="str"/>
      <x:c r="G335" s="14" t="str">
        <x:v>Lifestyle</x:v>
      </x:c>
      <x:c r="H335" s="14" t="str"/>
      <x:c r="I335" s="14" t="str">
        <x:v>Detail</x:v>
      </x:c>
      <x:c r="J335" s="14" t="str"/>
      <x:c r="K335" s="14" t="str">
        <x:v>Scale</x:v>
      </x:c>
      <x:c r="L335" s="14" t="str"/>
      <x:c r="M335" s="14" t="str">
        <x:v>Alternate</x:v>
      </x:c>
      <x:c r="N335" s="14" t="n">
        <x:f>IF(E335&lt;&gt;"",1,0)+IF(F335&lt;&gt;"",1,0)+IF(H335&lt;&gt;"",1,0)+IF(J335&lt;&gt;"",1,0)+IF(L335&lt;&gt;"",1,0)</x:f>
        <x:v>1</x:v>
      </x:c>
      <x:c r="O335" s="14" t="str">
        <x:f>IF(E335="","MISSING MAIN",IF(N335=1,"MAIN ONLY","MULTI-PHOTO"))</x:f>
        <x:v>MAIN ONLY</x:v>
      </x:c>
      <x:c r="P335" s="14" t="str">
        <x:v>0366_</x:v>
      </x:c>
      <x:c r="Q335" s="14" t="str">
        <x:v>https://mb1advancedsolutions.github.io/mb1-catalog/index.html?design=0366</x:v>
      </x:c>
      <x:c r="R335" s="14" t="str"/>
    </x:row>
    <x:row r="336">
      <x:c r="A336" s="13" t="str">
        <x:v>MB1-0367</x:v>
      </x:c>
      <x:c r="B336" s="13" t="str">
        <x:v>MB1-0367</x:v>
      </x:c>
      <x:c r="C336" s="14" t="str">
        <x:v>Hand Lifting Weights 3 SVG</x:v>
      </x:c>
      <x:c r="D336" s="14" t="str">
        <x:v>sports and hobbies</x:v>
      </x:c>
      <x:c r="E336" s="14" t="str">
        <x:v>https://res.cloudinary.com/oxygre42/image/upload/f_auto,q_auto,c_pad,b_white,w_1200,h_1200/v1788349377/0367_Hand_Lifting_Weights_3_SVG.png</x:v>
      </x:c>
      <x:c r="F336" s="14" t="str"/>
      <x:c r="G336" s="14" t="str">
        <x:v>Lifestyle</x:v>
      </x:c>
      <x:c r="H336" s="14" t="str"/>
      <x:c r="I336" s="14" t="str">
        <x:v>Detail</x:v>
      </x:c>
      <x:c r="J336" s="14" t="str"/>
      <x:c r="K336" s="14" t="str">
        <x:v>Scale</x:v>
      </x:c>
      <x:c r="L336" s="14" t="str"/>
      <x:c r="M336" s="14" t="str">
        <x:v>Alternate</x:v>
      </x:c>
      <x:c r="N336" s="14" t="n">
        <x:f>IF(E336&lt;&gt;"",1,0)+IF(F336&lt;&gt;"",1,0)+IF(H336&lt;&gt;"",1,0)+IF(J336&lt;&gt;"",1,0)+IF(L336&lt;&gt;"",1,0)</x:f>
        <x:v>1</x:v>
      </x:c>
      <x:c r="O336" s="14" t="str">
        <x:f>IF(E336="","MISSING MAIN",IF(N336=1,"MAIN ONLY","MULTI-PHOTO"))</x:f>
        <x:v>MAIN ONLY</x:v>
      </x:c>
      <x:c r="P336" s="14" t="str">
        <x:v>0367_</x:v>
      </x:c>
      <x:c r="Q336" s="14" t="str">
        <x:v>https://mb1advancedsolutions.github.io/mb1-catalog/index.html?design=0367</x:v>
      </x:c>
      <x:c r="R336" s="14" t="str"/>
    </x:row>
    <x:row r="337">
      <x:c r="A337" s="13" t="str">
        <x:v>MB1-0368</x:v>
      </x:c>
      <x:c r="B337" s="13" t="str">
        <x:v>MB1-0368</x:v>
      </x:c>
      <x:c r="C337" s="14" t="str">
        <x:v>Hand Lifting Weights SVG</x:v>
      </x:c>
      <x:c r="D337" s="14" t="str">
        <x:v>sports and hobbies</x:v>
      </x:c>
      <x:c r="E337" s="14" t="str">
        <x:v>https://res.cloudinary.com/oxygre42/image/upload/f_auto,q_auto,c_pad,b_white,w_1200,h_1200/v1788349379/0368_Hand_Lifting_Weights_SVG.png</x:v>
      </x:c>
      <x:c r="F337" s="14" t="str"/>
      <x:c r="G337" s="14" t="str">
        <x:v>Lifestyle</x:v>
      </x:c>
      <x:c r="H337" s="14" t="str"/>
      <x:c r="I337" s="14" t="str">
        <x:v>Detail</x:v>
      </x:c>
      <x:c r="J337" s="14" t="str"/>
      <x:c r="K337" s="14" t="str">
        <x:v>Scale</x:v>
      </x:c>
      <x:c r="L337" s="14" t="str"/>
      <x:c r="M337" s="14" t="str">
        <x:v>Alternate</x:v>
      </x:c>
      <x:c r="N337" s="14" t="n">
        <x:f>IF(E337&lt;&gt;"",1,0)+IF(F337&lt;&gt;"",1,0)+IF(H337&lt;&gt;"",1,0)+IF(J337&lt;&gt;"",1,0)+IF(L337&lt;&gt;"",1,0)</x:f>
        <x:v>1</x:v>
      </x:c>
      <x:c r="O337" s="14" t="str">
        <x:f>IF(E337="","MISSING MAIN",IF(N337=1,"MAIN ONLY","MULTI-PHOTO"))</x:f>
        <x:v>MAIN ONLY</x:v>
      </x:c>
      <x:c r="P337" s="14" t="str">
        <x:v>0368_</x:v>
      </x:c>
      <x:c r="Q337" s="14" t="str">
        <x:v>https://mb1advancedsolutions.github.io/mb1-catalog/index.html?design=0368</x:v>
      </x:c>
      <x:c r="R337" s="14" t="str"/>
    </x:row>
    <x:row r="338">
      <x:c r="A338" s="13" t="str">
        <x:v>MB1-0369</x:v>
      </x:c>
      <x:c r="B338" s="13" t="str">
        <x:v>MB1-0369</x:v>
      </x:c>
      <x:c r="C338" s="14" t="str">
        <x:v>no pain no gain SIGN SVG</x:v>
      </x:c>
      <x:c r="D338" s="14" t="str">
        <x:v>sports and hobbies</x:v>
      </x:c>
      <x:c r="E338" s="14" t="str">
        <x:v>https://res.cloudinary.com/oxygre42/image/upload/f_auto,q_auto,c_pad,b_white,w_1200,h_1200/v1788349381/0369_no_pain_no_gain_SIGN_SVG.png</x:v>
      </x:c>
      <x:c r="F338" s="14" t="str"/>
      <x:c r="G338" s="14" t="str">
        <x:v>Lifestyle</x:v>
      </x:c>
      <x:c r="H338" s="14" t="str"/>
      <x:c r="I338" s="14" t="str">
        <x:v>Detail</x:v>
      </x:c>
      <x:c r="J338" s="14" t="str"/>
      <x:c r="K338" s="14" t="str">
        <x:v>Scale</x:v>
      </x:c>
      <x:c r="L338" s="14" t="str"/>
      <x:c r="M338" s="14" t="str">
        <x:v>Alternate</x:v>
      </x:c>
      <x:c r="N338" s="14" t="n">
        <x:f>IF(E338&lt;&gt;"",1,0)+IF(F338&lt;&gt;"",1,0)+IF(H338&lt;&gt;"",1,0)+IF(J338&lt;&gt;"",1,0)+IF(L338&lt;&gt;"",1,0)</x:f>
        <x:v>1</x:v>
      </x:c>
      <x:c r="O338" s="14" t="str">
        <x:f>IF(E338="","MISSING MAIN",IF(N338=1,"MAIN ONLY","MULTI-PHOTO"))</x:f>
        <x:v>MAIN ONLY</x:v>
      </x:c>
      <x:c r="P338" s="14" t="str">
        <x:v>0369_</x:v>
      </x:c>
      <x:c r="Q338" s="14" t="str">
        <x:v>https://mb1advancedsolutions.github.io/mb1-catalog/index.html?design=0369</x:v>
      </x:c>
      <x:c r="R338" s="14" t="str"/>
    </x:row>
    <x:row r="339">
      <x:c r="A339" s="13" t="str">
        <x:v>MB1-0370</x:v>
      </x:c>
      <x:c r="B339" s="13" t="str">
        <x:v>MB1-0370</x:v>
      </x:c>
      <x:c r="C339" s="14" t="str">
        <x:v>no pain no gain arms SVG</x:v>
      </x:c>
      <x:c r="D339" s="14" t="str">
        <x:v>sports and hobbies</x:v>
      </x:c>
      <x:c r="E339" s="14" t="str">
        <x:v>https://res.cloudinary.com/oxygre42/image/upload/f_auto,q_auto,c_pad,b_white,w_1200,h_1200/v1788349383/0370_no_pain_no_gain_arms_SVG.png</x:v>
      </x:c>
      <x:c r="F339" s="14" t="str"/>
      <x:c r="G339" s="14" t="str">
        <x:v>Lifestyle</x:v>
      </x:c>
      <x:c r="H339" s="14" t="str"/>
      <x:c r="I339" s="14" t="str">
        <x:v>Detail</x:v>
      </x:c>
      <x:c r="J339" s="14" t="str"/>
      <x:c r="K339" s="14" t="str">
        <x:v>Scale</x:v>
      </x:c>
      <x:c r="L339" s="14" t="str"/>
      <x:c r="M339" s="14" t="str">
        <x:v>Alternate</x:v>
      </x:c>
      <x:c r="N339" s="14" t="n">
        <x:f>IF(E339&lt;&gt;"",1,0)+IF(F339&lt;&gt;"",1,0)+IF(H339&lt;&gt;"",1,0)+IF(J339&lt;&gt;"",1,0)+IF(L339&lt;&gt;"",1,0)</x:f>
        <x:v>1</x:v>
      </x:c>
      <x:c r="O339" s="14" t="str">
        <x:f>IF(E339="","MISSING MAIN",IF(N339=1,"MAIN ONLY","MULTI-PHOTO"))</x:f>
        <x:v>MAIN ONLY</x:v>
      </x:c>
      <x:c r="P339" s="14" t="str">
        <x:v>0370_</x:v>
      </x:c>
      <x:c r="Q339" s="14" t="str">
        <x:v>https://mb1advancedsolutions.github.io/mb1-catalog/index.html?design=0370</x:v>
      </x:c>
      <x:c r="R339" s="14" t="str"/>
    </x:row>
    <x:row r="340">
      <x:c r="A340" s="13" t="str">
        <x:v>MB1-0371</x:v>
      </x:c>
      <x:c r="B340" s="13" t="str">
        <x:v>MB1-0371</x:v>
      </x:c>
      <x:c r="C340" s="14" t="str">
        <x:v>no pain no gain</x:v>
      </x:c>
      <x:c r="D340" s="14" t="str">
        <x:v>sports and hobbies</x:v>
      </x:c>
      <x:c r="E340" s="14" t="str">
        <x:v>https://res.cloudinary.com/oxygre42/image/upload/f_auto,q_auto,c_pad,b_white,w_1200,h_1200/v1788349385/0371_no_pain_no_gain.png</x:v>
      </x:c>
      <x:c r="F340" s="14" t="str"/>
      <x:c r="G340" s="14" t="str">
        <x:v>Lifestyle</x:v>
      </x:c>
      <x:c r="H340" s="14" t="str"/>
      <x:c r="I340" s="14" t="str">
        <x:v>Detail</x:v>
      </x:c>
      <x:c r="J340" s="14" t="str"/>
      <x:c r="K340" s="14" t="str">
        <x:v>Scale</x:v>
      </x:c>
      <x:c r="L340" s="14" t="str"/>
      <x:c r="M340" s="14" t="str">
        <x:v>Alternate</x:v>
      </x:c>
      <x:c r="N340" s="14" t="n">
        <x:f>IF(E340&lt;&gt;"",1,0)+IF(F340&lt;&gt;"",1,0)+IF(H340&lt;&gt;"",1,0)+IF(J340&lt;&gt;"",1,0)+IF(L340&lt;&gt;"",1,0)</x:f>
        <x:v>1</x:v>
      </x:c>
      <x:c r="O340" s="14" t="str">
        <x:f>IF(E340="","MISSING MAIN",IF(N340=1,"MAIN ONLY","MULTI-PHOTO"))</x:f>
        <x:v>MAIN ONLY</x:v>
      </x:c>
      <x:c r="P340" s="14" t="str">
        <x:v>0371_</x:v>
      </x:c>
      <x:c r="Q340" s="14" t="str">
        <x:v>https://mb1advancedsolutions.github.io/mb1-catalog/index.html?design=0371</x:v>
      </x:c>
      <x:c r="R340" s="14" t="str"/>
    </x:row>
    <x:row r="341">
      <x:c r="A341" s="13" t="str">
        <x:v>MB1-0372</x:v>
      </x:c>
      <x:c r="B341" s="13" t="str">
        <x:v>MB1-0372</x:v>
      </x:c>
      <x:c r="C341" s="14" t="str">
        <x:v>skull Weights SVG</x:v>
      </x:c>
      <x:c r="D341" s="14" t="str">
        <x:v>sports and hobbies</x:v>
      </x:c>
      <x:c r="E341" s="14" t="str">
        <x:v>https://res.cloudinary.com/oxygre42/image/upload/f_auto,q_auto,c_pad,b_white,w_1200,h_1200/v1788349388/0372_skull_Weights_SVG.png</x:v>
      </x:c>
      <x:c r="F341" s="14" t="str"/>
      <x:c r="G341" s="14" t="str">
        <x:v>Lifestyle</x:v>
      </x:c>
      <x:c r="H341" s="14" t="str"/>
      <x:c r="I341" s="14" t="str">
        <x:v>Detail</x:v>
      </x:c>
      <x:c r="J341" s="14" t="str"/>
      <x:c r="K341" s="14" t="str">
        <x:v>Scale</x:v>
      </x:c>
      <x:c r="L341" s="14" t="str"/>
      <x:c r="M341" s="14" t="str">
        <x:v>Alternate</x:v>
      </x:c>
      <x:c r="N341" s="14" t="n">
        <x:f>IF(E341&lt;&gt;"",1,0)+IF(F341&lt;&gt;"",1,0)+IF(H341&lt;&gt;"",1,0)+IF(J341&lt;&gt;"",1,0)+IF(L341&lt;&gt;"",1,0)</x:f>
        <x:v>1</x:v>
      </x:c>
      <x:c r="O341" s="14" t="str">
        <x:f>IF(E341="","MISSING MAIN",IF(N341=1,"MAIN ONLY","MULTI-PHOTO"))</x:f>
        <x:v>MAIN ONLY</x:v>
      </x:c>
      <x:c r="P341" s="14" t="str">
        <x:v>0372_</x:v>
      </x:c>
      <x:c r="Q341" s="14" t="str">
        <x:v>https://mb1advancedsolutions.github.io/mb1-catalog/index.html?design=0372</x:v>
      </x:c>
      <x:c r="R341" s="14" t="str"/>
    </x:row>
    <x:row r="342">
      <x:c r="A342" s="13" t="str">
        <x:v>MB1-0373</x:v>
      </x:c>
      <x:c r="B342" s="13" t="str">
        <x:v>MB1-0373</x:v>
      </x:c>
      <x:c r="C342" s="14" t="str">
        <x:v>2A Flag</x:v>
      </x:c>
      <x:c r="D342" s="14" t="str">
        <x:v>seasonal and holiday</x:v>
      </x:c>
      <x:c r="E342" s="14" t="str">
        <x:v>https://res.cloudinary.com/oxygre42/image/upload/f_auto,q_auto,c_pad,b_white,w_1200,h_1200/v1788349390/0373_2A_Flag.jpg</x:v>
      </x:c>
      <x:c r="F342" s="14" t="str"/>
      <x:c r="G342" s="14" t="str">
        <x:v>Lifestyle</x:v>
      </x:c>
      <x:c r="H342" s="14" t="str"/>
      <x:c r="I342" s="14" t="str">
        <x:v>Detail</x:v>
      </x:c>
      <x:c r="J342" s="14" t="str"/>
      <x:c r="K342" s="14" t="str">
        <x:v>Scale</x:v>
      </x:c>
      <x:c r="L342" s="14" t="str"/>
      <x:c r="M342" s="14" t="str">
        <x:v>Alternate</x:v>
      </x:c>
      <x:c r="N342" s="14" t="n">
        <x:f>IF(E342&lt;&gt;"",1,0)+IF(F342&lt;&gt;"",1,0)+IF(H342&lt;&gt;"",1,0)+IF(J342&lt;&gt;"",1,0)+IF(L342&lt;&gt;"",1,0)</x:f>
        <x:v>1</x:v>
      </x:c>
      <x:c r="O342" s="14" t="str">
        <x:f>IF(E342="","MISSING MAIN",IF(N342=1,"MAIN ONLY","MULTI-PHOTO"))</x:f>
        <x:v>MAIN ONLY</x:v>
      </x:c>
      <x:c r="P342" s="14" t="str">
        <x:v>0373_</x:v>
      </x:c>
      <x:c r="Q342" s="14" t="str">
        <x:v>https://mb1advancedsolutions.github.io/mb1-catalog/index.html?design=0373</x:v>
      </x:c>
      <x:c r="R342" s="14" t="str"/>
    </x:row>
    <x:row r="343">
      <x:c r="A343" s="13" t="str">
        <x:v>MB1-0374</x:v>
      </x:c>
      <x:c r="B343" s="13" t="str">
        <x:v>MB1-0374</x:v>
      </x:c>
      <x:c r="C343" s="14" t="str">
        <x:v>3 Percenter flag</x:v>
      </x:c>
      <x:c r="D343" s="14" t="str">
        <x:v>seasonal and holiday</x:v>
      </x:c>
      <x:c r="E343" s="14" t="str">
        <x:v>https://res.cloudinary.com/oxygre42/image/upload/f_auto,q_auto,c_pad,b_white,w_1200,h_1200/v1788349392/0374_3_Percenter_flag.jpg</x:v>
      </x:c>
      <x:c r="F343" s="14" t="str"/>
      <x:c r="G343" s="14" t="str">
        <x:v>Lifestyle</x:v>
      </x:c>
      <x:c r="H343" s="14" t="str"/>
      <x:c r="I343" s="14" t="str">
        <x:v>Detail</x:v>
      </x:c>
      <x:c r="J343" s="14" t="str"/>
      <x:c r="K343" s="14" t="str">
        <x:v>Scale</x:v>
      </x:c>
      <x:c r="L343" s="14" t="str"/>
      <x:c r="M343" s="14" t="str">
        <x:v>Alternate</x:v>
      </x:c>
      <x:c r="N343" s="14" t="n">
        <x:f>IF(E343&lt;&gt;"",1,0)+IF(F343&lt;&gt;"",1,0)+IF(H343&lt;&gt;"",1,0)+IF(J343&lt;&gt;"",1,0)+IF(L343&lt;&gt;"",1,0)</x:f>
        <x:v>1</x:v>
      </x:c>
      <x:c r="O343" s="14" t="str">
        <x:f>IF(E343="","MISSING MAIN",IF(N343=1,"MAIN ONLY","MULTI-PHOTO"))</x:f>
        <x:v>MAIN ONLY</x:v>
      </x:c>
      <x:c r="P343" s="14" t="str">
        <x:v>0374_</x:v>
      </x:c>
      <x:c r="Q343" s="14" t="str">
        <x:v>https://mb1advancedsolutions.github.io/mb1-catalog/index.html?design=0374</x:v>
      </x:c>
      <x:c r="R343" s="14" t="str"/>
    </x:row>
    <x:row r="344">
      <x:c r="A344" s="13" t="str">
        <x:v>MB1-0375</x:v>
      </x:c>
      <x:c r="B344" s="13" t="str">
        <x:v>MB1-0375</x:v>
      </x:c>
      <x:c r="C344" s="14" t="str">
        <x:v>American Flag</x:v>
      </x:c>
      <x:c r="D344" s="14" t="str">
        <x:v>seasonal and holiday</x:v>
      </x:c>
      <x:c r="E344" s="14" t="str">
        <x:v>https://res.cloudinary.com/oxygre42/image/upload/f_auto,q_auto,c_pad,b_white,w_1200,h_1200/v1788349394/0375_American_Flag.png</x:v>
      </x:c>
      <x:c r="F344" s="14" t="str"/>
      <x:c r="G344" s="14" t="str">
        <x:v>Lifestyle</x:v>
      </x:c>
      <x:c r="H344" s="14" t="str"/>
      <x:c r="I344" s="14" t="str">
        <x:v>Detail</x:v>
      </x:c>
      <x:c r="J344" s="14" t="str"/>
      <x:c r="K344" s="14" t="str">
        <x:v>Scale</x:v>
      </x:c>
      <x:c r="L344" s="14" t="str"/>
      <x:c r="M344" s="14" t="str">
        <x:v>Alternate</x:v>
      </x:c>
      <x:c r="N344" s="14" t="n">
        <x:f>IF(E344&lt;&gt;"",1,0)+IF(F344&lt;&gt;"",1,0)+IF(H344&lt;&gt;"",1,0)+IF(J344&lt;&gt;"",1,0)+IF(L344&lt;&gt;"",1,0)</x:f>
        <x:v>1</x:v>
      </x:c>
      <x:c r="O344" s="14" t="str">
        <x:f>IF(E344="","MISSING MAIN",IF(N344=1,"MAIN ONLY","MULTI-PHOTO"))</x:f>
        <x:v>MAIN ONLY</x:v>
      </x:c>
      <x:c r="P344" s="14" t="str">
        <x:v>0375_</x:v>
      </x:c>
      <x:c r="Q344" s="14" t="str">
        <x:v>https://mb1advancedsolutions.github.io/mb1-catalog/index.html?design=0375</x:v>
      </x:c>
      <x:c r="R344" s="14" t="str"/>
    </x:row>
    <x:row r="345">
      <x:c r="A345" s="13" t="str">
        <x:v>MB1-0376</x:v>
      </x:c>
      <x:c r="B345" s="13" t="str">
        <x:v>MB1-0376</x:v>
      </x:c>
      <x:c r="C345" s="14" t="str">
        <x:v>American Gadsden Flag</x:v>
      </x:c>
      <x:c r="D345" s="14" t="str">
        <x:v>seasonal and holiday</x:v>
      </x:c>
      <x:c r="E345" s="14" t="str">
        <x:v>https://res.cloudinary.com/oxygre42/image/upload/f_auto,q_auto,c_pad,b_white,w_1200,h_1200/v1788349395/0376_American_Gadsden_Flag.png</x:v>
      </x:c>
      <x:c r="F345" s="14" t="str"/>
      <x:c r="G345" s="14" t="str">
        <x:v>Lifestyle</x:v>
      </x:c>
      <x:c r="H345" s="14" t="str"/>
      <x:c r="I345" s="14" t="str">
        <x:v>Detail</x:v>
      </x:c>
      <x:c r="J345" s="14" t="str"/>
      <x:c r="K345" s="14" t="str">
        <x:v>Scale</x:v>
      </x:c>
      <x:c r="L345" s="14" t="str"/>
      <x:c r="M345" s="14" t="str">
        <x:v>Alternate</x:v>
      </x:c>
      <x:c r="N345" s="14" t="n">
        <x:f>IF(E345&lt;&gt;"",1,0)+IF(F345&lt;&gt;"",1,0)+IF(H345&lt;&gt;"",1,0)+IF(J345&lt;&gt;"",1,0)+IF(L345&lt;&gt;"",1,0)</x:f>
        <x:v>1</x:v>
      </x:c>
      <x:c r="O345" s="14" t="str">
        <x:f>IF(E345="","MISSING MAIN",IF(N345=1,"MAIN ONLY","MULTI-PHOTO"))</x:f>
        <x:v>MAIN ONLY</x:v>
      </x:c>
      <x:c r="P345" s="14" t="str">
        <x:v>0376_</x:v>
      </x:c>
      <x:c r="Q345" s="14" t="str">
        <x:v>https://mb1advancedsolutions.github.io/mb1-catalog/index.html?design=0376</x:v>
      </x:c>
      <x:c r="R345" s="14" t="str"/>
    </x:row>
    <x:row r="346">
      <x:c r="A346" s="13" t="str">
        <x:v>MB1-0377</x:v>
      </x:c>
      <x:c r="B346" s="13" t="str">
        <x:v>MB1-0377</x:v>
      </x:c>
      <x:c r="C346" s="14" t="str">
        <x:v>American Rebel Tattered Flag</x:v>
      </x:c>
      <x:c r="D346" s="14" t="str">
        <x:v>seasonal and holiday</x:v>
      </x:c>
      <x:c r="E346" s="14" t="str">
        <x:v>https://res.cloudinary.com/oxygre42/image/upload/f_auto,q_auto,c_pad,b_white,w_1200,h_1200/v1788349397/0377_American_Rebel_Tattered_Flag.jpg</x:v>
      </x:c>
      <x:c r="F346" s="14" t="str"/>
      <x:c r="G346" s="14" t="str">
        <x:v>Lifestyle</x:v>
      </x:c>
      <x:c r="H346" s="14" t="str"/>
      <x:c r="I346" s="14" t="str">
        <x:v>Detail</x:v>
      </x:c>
      <x:c r="J346" s="14" t="str"/>
      <x:c r="K346" s="14" t="str">
        <x:v>Scale</x:v>
      </x:c>
      <x:c r="L346" s="14" t="str"/>
      <x:c r="M346" s="14" t="str">
        <x:v>Alternate</x:v>
      </x:c>
      <x:c r="N346" s="14" t="n">
        <x:f>IF(E346&lt;&gt;"",1,0)+IF(F346&lt;&gt;"",1,0)+IF(H346&lt;&gt;"",1,0)+IF(J346&lt;&gt;"",1,0)+IF(L346&lt;&gt;"",1,0)</x:f>
        <x:v>1</x:v>
      </x:c>
      <x:c r="O346" s="14" t="str">
        <x:f>IF(E346="","MISSING MAIN",IF(N346=1,"MAIN ONLY","MULTI-PHOTO"))</x:f>
        <x:v>MAIN ONLY</x:v>
      </x:c>
      <x:c r="P346" s="14" t="str">
        <x:v>0377_</x:v>
      </x:c>
      <x:c r="Q346" s="14" t="str">
        <x:v>https://mb1advancedsolutions.github.io/mb1-catalog/index.html?design=0377</x:v>
      </x:c>
      <x:c r="R346" s="14" t="str"/>
    </x:row>
    <x:row r="347">
      <x:c r="A347" s="13" t="str">
        <x:v>MB1-0378</x:v>
      </x:c>
      <x:c r="B347" s="13" t="str">
        <x:v>MB1-0378</x:v>
      </x:c>
      <x:c r="C347" s="14" t="str">
        <x:v>Eagle Tattered flag</x:v>
      </x:c>
      <x:c r="D347" s="14" t="str">
        <x:v>seasonal and holiday</x:v>
      </x:c>
      <x:c r="E347" s="14" t="str">
        <x:v>https://res.cloudinary.com/oxygre42/image/upload/f_auto,q_auto,c_pad,b_white,w_1200,h_1200/v1788349399/0378_Eagle_Tattered_flag.png</x:v>
      </x:c>
      <x:c r="F347" s="14" t="str"/>
      <x:c r="G347" s="14" t="str">
        <x:v>Lifestyle</x:v>
      </x:c>
      <x:c r="H347" s="14" t="str"/>
      <x:c r="I347" s="14" t="str">
        <x:v>Detail</x:v>
      </x:c>
      <x:c r="J347" s="14" t="str"/>
      <x:c r="K347" s="14" t="str">
        <x:v>Scale</x:v>
      </x:c>
      <x:c r="L347" s="14" t="str"/>
      <x:c r="M347" s="14" t="str">
        <x:v>Alternate</x:v>
      </x:c>
      <x:c r="N347" s="14" t="n">
        <x:f>IF(E347&lt;&gt;"",1,0)+IF(F347&lt;&gt;"",1,0)+IF(H347&lt;&gt;"",1,0)+IF(J347&lt;&gt;"",1,0)+IF(L347&lt;&gt;"",1,0)</x:f>
        <x:v>1</x:v>
      </x:c>
      <x:c r="O347" s="14" t="str">
        <x:f>IF(E347="","MISSING MAIN",IF(N347=1,"MAIN ONLY","MULTI-PHOTO"))</x:f>
        <x:v>MAIN ONLY</x:v>
      </x:c>
      <x:c r="P347" s="14" t="str">
        <x:v>0378_</x:v>
      </x:c>
      <x:c r="Q347" s="14" t="str">
        <x:v>https://mb1advancedsolutions.github.io/mb1-catalog/index.html?design=0378</x:v>
      </x:c>
      <x:c r="R347" s="14" t="str"/>
    </x:row>
    <x:row r="348">
      <x:c r="A348" s="13" t="str">
        <x:v>MB1-0380</x:v>
      </x:c>
      <x:c r="B348" s="13" t="str">
        <x:v>MB1-0380</x:v>
      </x:c>
      <x:c r="C348" s="14" t="str">
        <x:v>Mechanics Flag 13 wrenches</x:v>
      </x:c>
      <x:c r="D348" s="14" t="str">
        <x:v>seasonal and holiday</x:v>
      </x:c>
      <x:c r="E348" s="14" t="str">
        <x:v>https://res.cloudinary.com/oxygre42/image/upload/f_auto,q_auto,c_pad,b_white,w_1200,h_1200/v1788349403/0380_Mechanics_Flag_13_wrenches.png</x:v>
      </x:c>
      <x:c r="F348" s="14" t="str"/>
      <x:c r="G348" s="14" t="str">
        <x:v>Lifestyle</x:v>
      </x:c>
      <x:c r="H348" s="14" t="str"/>
      <x:c r="I348" s="14" t="str">
        <x:v>Detail</x:v>
      </x:c>
      <x:c r="J348" s="14" t="str"/>
      <x:c r="K348" s="14" t="str">
        <x:v>Scale</x:v>
      </x:c>
      <x:c r="L348" s="14" t="str"/>
      <x:c r="M348" s="14" t="str">
        <x:v>Alternate</x:v>
      </x:c>
      <x:c r="N348" s="14" t="n">
        <x:f>IF(E348&lt;&gt;"",1,0)+IF(F348&lt;&gt;"",1,0)+IF(H348&lt;&gt;"",1,0)+IF(J348&lt;&gt;"",1,0)+IF(L348&lt;&gt;"",1,0)</x:f>
        <x:v>1</x:v>
      </x:c>
      <x:c r="O348" s="14" t="str">
        <x:f>IF(E348="","MISSING MAIN",IF(N348=1,"MAIN ONLY","MULTI-PHOTO"))</x:f>
        <x:v>MAIN ONLY</x:v>
      </x:c>
      <x:c r="P348" s="14" t="str">
        <x:v>0380_</x:v>
      </x:c>
      <x:c r="Q348" s="14" t="str">
        <x:v>https://mb1advancedsolutions.github.io/mb1-catalog/index.html?design=0380</x:v>
      </x:c>
      <x:c r="R348" s="14" t="str"/>
    </x:row>
    <x:row r="349">
      <x:c r="A349" s="13" t="str">
        <x:v>MB1-0381</x:v>
      </x:c>
      <x:c r="B349" s="13" t="str">
        <x:v>MB1-0381</x:v>
      </x:c>
      <x:c r="C349" s="14" t="str">
        <x:v>Mechanics Flag</x:v>
      </x:c>
      <x:c r="D349" s="14" t="str">
        <x:v>seasonal and holiday</x:v>
      </x:c>
      <x:c r="E349" s="14" t="str">
        <x:v>https://res.cloudinary.com/oxygre42/image/upload/f_auto,q_auto,c_pad,b_white,w_1200,h_1200/v1788349405/0381_Mechanics_Flag.png</x:v>
      </x:c>
      <x:c r="F349" s="14" t="str"/>
      <x:c r="G349" s="14" t="str">
        <x:v>Lifestyle</x:v>
      </x:c>
      <x:c r="H349" s="14" t="str"/>
      <x:c r="I349" s="14" t="str">
        <x:v>Detail</x:v>
      </x:c>
      <x:c r="J349" s="14" t="str"/>
      <x:c r="K349" s="14" t="str">
        <x:v>Scale</x:v>
      </x:c>
      <x:c r="L349" s="14" t="str"/>
      <x:c r="M349" s="14" t="str">
        <x:v>Alternate</x:v>
      </x:c>
      <x:c r="N349" s="14" t="n">
        <x:f>IF(E349&lt;&gt;"",1,0)+IF(F349&lt;&gt;"",1,0)+IF(H349&lt;&gt;"",1,0)+IF(J349&lt;&gt;"",1,0)+IF(L349&lt;&gt;"",1,0)</x:f>
        <x:v>1</x:v>
      </x:c>
      <x:c r="O349" s="14" t="str">
        <x:f>IF(E349="","MISSING MAIN",IF(N349=1,"MAIN ONLY","MULTI-PHOTO"))</x:f>
        <x:v>MAIN ONLY</x:v>
      </x:c>
      <x:c r="P349" s="14" t="str">
        <x:v>0381_</x:v>
      </x:c>
      <x:c r="Q349" s="14" t="str">
        <x:v>https://mb1advancedsolutions.github.io/mb1-catalog/index.html?design=0381</x:v>
      </x:c>
      <x:c r="R349" s="14" t="str"/>
    </x:row>
    <x:row r="350">
      <x:c r="A350" s="13" t="str">
        <x:v>MB1-0383</x:v>
      </x:c>
      <x:c r="B350" s="13" t="str">
        <x:v>MB1-0383</x:v>
      </x:c>
      <x:c r="C350" s="14" t="str">
        <x:v>Pledge Flag</x:v>
      </x:c>
      <x:c r="D350" s="14" t="str">
        <x:v>seasonal and holiday</x:v>
      </x:c>
      <x:c r="E350" s="14" t="str">
        <x:v>https://res.cloudinary.com/oxygre42/image/upload/f_auto,q_auto,c_pad,b_white,w_1200,h_1200/v1788349408/0383_Pledge_Flag.jpg</x:v>
      </x:c>
      <x:c r="F350" s="14" t="str"/>
      <x:c r="G350" s="14" t="str">
        <x:v>Lifestyle</x:v>
      </x:c>
      <x:c r="H350" s="14" t="str"/>
      <x:c r="I350" s="14" t="str">
        <x:v>Detail</x:v>
      </x:c>
      <x:c r="J350" s="14" t="str"/>
      <x:c r="K350" s="14" t="str">
        <x:v>Scale</x:v>
      </x:c>
      <x:c r="L350" s="14" t="str"/>
      <x:c r="M350" s="14" t="str">
        <x:v>Alternate</x:v>
      </x:c>
      <x:c r="N350" s="14" t="n">
        <x:f>IF(E350&lt;&gt;"",1,0)+IF(F350&lt;&gt;"",1,0)+IF(H350&lt;&gt;"",1,0)+IF(J350&lt;&gt;"",1,0)+IF(L350&lt;&gt;"",1,0)</x:f>
        <x:v>1</x:v>
      </x:c>
      <x:c r="O350" s="14" t="str">
        <x:f>IF(E350="","MISSING MAIN",IF(N350=1,"MAIN ONLY","MULTI-PHOTO"))</x:f>
        <x:v>MAIN ONLY</x:v>
      </x:c>
      <x:c r="P350" s="14" t="str">
        <x:v>0383_</x:v>
      </x:c>
      <x:c r="Q350" s="14" t="str">
        <x:v>https://mb1advancedsolutions.github.io/mb1-catalog/index.html?design=0383</x:v>
      </x:c>
      <x:c r="R350" s="14" t="str"/>
    </x:row>
    <x:row r="351">
      <x:c r="A351" s="13" t="str">
        <x:v>MB1-0384</x:v>
      </x:c>
      <x:c r="B351" s="13" t="str">
        <x:v>MB1-0384</x:v>
      </x:c>
      <x:c r="C351" s="14" t="str">
        <x:v>Tattered Flag</x:v>
      </x:c>
      <x:c r="D351" s="14" t="str">
        <x:v>seasonal and holiday</x:v>
      </x:c>
      <x:c r="E351" s="14" t="str">
        <x:v>https://res.cloudinary.com/oxygre42/image/upload/f_auto,q_auto,c_pad,b_white,w_1200,h_1200/v1788349410/0384_Tattered_Flag.jpg</x:v>
      </x:c>
      <x:c r="F351" s="14" t="str"/>
      <x:c r="G351" s="14" t="str">
        <x:v>Lifestyle</x:v>
      </x:c>
      <x:c r="H351" s="14" t="str"/>
      <x:c r="I351" s="14" t="str">
        <x:v>Detail</x:v>
      </x:c>
      <x:c r="J351" s="14" t="str"/>
      <x:c r="K351" s="14" t="str">
        <x:v>Scale</x:v>
      </x:c>
      <x:c r="L351" s="14" t="str"/>
      <x:c r="M351" s="14" t="str">
        <x:v>Alternate</x:v>
      </x:c>
      <x:c r="N351" s="14" t="n">
        <x:f>IF(E351&lt;&gt;"",1,0)+IF(F351&lt;&gt;"",1,0)+IF(H351&lt;&gt;"",1,0)+IF(J351&lt;&gt;"",1,0)+IF(L351&lt;&gt;"",1,0)</x:f>
        <x:v>1</x:v>
      </x:c>
      <x:c r="O351" s="14" t="str">
        <x:f>IF(E351="","MISSING MAIN",IF(N351=1,"MAIN ONLY","MULTI-PHOTO"))</x:f>
        <x:v>MAIN ONLY</x:v>
      </x:c>
      <x:c r="P351" s="14" t="str">
        <x:v>0384_</x:v>
      </x:c>
      <x:c r="Q351" s="14" t="str">
        <x:v>https://mb1advancedsolutions.github.io/mb1-catalog/index.html?design=0384</x:v>
      </x:c>
      <x:c r="R351" s="14" t="str"/>
    </x:row>
    <x:row r="352">
      <x:c r="A352" s="13" t="str">
        <x:v>MB1-0385</x:v>
      </x:c>
      <x:c r="B352" s="13" t="str">
        <x:v>MB1-0385</x:v>
      </x:c>
      <x:c r="C352" s="14" t="str">
        <x:v>Texas Gadsden Flag</x:v>
      </x:c>
      <x:c r="D352" s="14" t="str">
        <x:v>seasonal and holiday</x:v>
      </x:c>
      <x:c r="E352" s="14" t="str">
        <x:v>https://res.cloudinary.com/oxygre42/image/upload/f_auto,q_auto,c_pad,b_white,w_1200,h_1200/v1788349412/0385_Texas_Gadsden_Flag.jpg</x:v>
      </x:c>
      <x:c r="F352" s="14" t="str"/>
      <x:c r="G352" s="14" t="str">
        <x:v>Lifestyle</x:v>
      </x:c>
      <x:c r="H352" s="14" t="str"/>
      <x:c r="I352" s="14" t="str">
        <x:v>Detail</x:v>
      </x:c>
      <x:c r="J352" s="14" t="str"/>
      <x:c r="K352" s="14" t="str">
        <x:v>Scale</x:v>
      </x:c>
      <x:c r="L352" s="14" t="str"/>
      <x:c r="M352" s="14" t="str">
        <x:v>Alternate</x:v>
      </x:c>
      <x:c r="N352" s="14" t="n">
        <x:f>IF(E352&lt;&gt;"",1,0)+IF(F352&lt;&gt;"",1,0)+IF(H352&lt;&gt;"",1,0)+IF(J352&lt;&gt;"",1,0)+IF(L352&lt;&gt;"",1,0)</x:f>
        <x:v>1</x:v>
      </x:c>
      <x:c r="O352" s="14" t="str">
        <x:f>IF(E352="","MISSING MAIN",IF(N352=1,"MAIN ONLY","MULTI-PHOTO"))</x:f>
        <x:v>MAIN ONLY</x:v>
      </x:c>
      <x:c r="P352" s="14" t="str">
        <x:v>0385_</x:v>
      </x:c>
      <x:c r="Q352" s="14" t="str">
        <x:v>https://mb1advancedsolutions.github.io/mb1-catalog/index.html?design=0385</x:v>
      </x:c>
      <x:c r="R352" s="14" t="str"/>
    </x:row>
    <x:row r="353">
      <x:c r="A353" s="13" t="str">
        <x:v>MB1-0391</x:v>
      </x:c>
      <x:c r="B353" s="13" t="str">
        <x:v>MB1-0391</x:v>
      </x:c>
      <x:c r="C353" s="14" t="str">
        <x:v>US outline wavey flag</x:v>
      </x:c>
      <x:c r="D353" s="14" t="str">
        <x:v>seasonal and holiday</x:v>
      </x:c>
      <x:c r="E353" s="14" t="str">
        <x:v>https://res.cloudinary.com/oxygre42/image/upload/f_auto,q_auto,c_pad,b_white,w_1200,h_1200/v1788349427/0391_US_outline_wavey_flag.png</x:v>
      </x:c>
      <x:c r="F353" s="14" t="str"/>
      <x:c r="G353" s="14" t="str">
        <x:v>Lifestyle</x:v>
      </x:c>
      <x:c r="H353" s="14" t="str"/>
      <x:c r="I353" s="14" t="str">
        <x:v>Detail</x:v>
      </x:c>
      <x:c r="J353" s="14" t="str"/>
      <x:c r="K353" s="14" t="str">
        <x:v>Scale</x:v>
      </x:c>
      <x:c r="L353" s="14" t="str"/>
      <x:c r="M353" s="14" t="str">
        <x:v>Alternate</x:v>
      </x:c>
      <x:c r="N353" s="14" t="n">
        <x:f>IF(E353&lt;&gt;"",1,0)+IF(F353&lt;&gt;"",1,0)+IF(H353&lt;&gt;"",1,0)+IF(J353&lt;&gt;"",1,0)+IF(L353&lt;&gt;"",1,0)</x:f>
        <x:v>1</x:v>
      </x:c>
      <x:c r="O353" s="14" t="str">
        <x:f>IF(E353="","MISSING MAIN",IF(N353=1,"MAIN ONLY","MULTI-PHOTO"))</x:f>
        <x:v>MAIN ONLY</x:v>
      </x:c>
      <x:c r="P353" s="14" t="str">
        <x:v>0391_</x:v>
      </x:c>
      <x:c r="Q353" s="14" t="str">
        <x:v>https://mb1advancedsolutions.github.io/mb1-catalog/index.html?design=0391</x:v>
      </x:c>
      <x:c r="R353" s="14" t="str"/>
    </x:row>
    <x:row r="354">
      <x:c r="A354" s="13" t="str">
        <x:v>MB1-0392</x:v>
      </x:c>
      <x:c r="B354" s="13" t="str">
        <x:v>MB1-0392</x:v>
      </x:c>
      <x:c r="C354" s="14" t="str">
        <x:v>USA AR FLAG</x:v>
      </x:c>
      <x:c r="D354" s="14" t="str">
        <x:v>seasonal and holiday</x:v>
      </x:c>
      <x:c r="E354" s="14" t="str">
        <x:v>https://res.cloudinary.com/oxygre42/image/upload/f_auto,q_auto,c_pad,b_white,w_1200,h_1200/v1788349429/0392_USA_AR_FLAG.png</x:v>
      </x:c>
      <x:c r="F354" s="14" t="str"/>
      <x:c r="G354" s="14" t="str">
        <x:v>Lifestyle</x:v>
      </x:c>
      <x:c r="H354" s="14" t="str"/>
      <x:c r="I354" s="14" t="str">
        <x:v>Detail</x:v>
      </x:c>
      <x:c r="J354" s="14" t="str"/>
      <x:c r="K354" s="14" t="str">
        <x:v>Scale</x:v>
      </x:c>
      <x:c r="L354" s="14" t="str"/>
      <x:c r="M354" s="14" t="str">
        <x:v>Alternate</x:v>
      </x:c>
      <x:c r="N354" s="14" t="n">
        <x:f>IF(E354&lt;&gt;"",1,0)+IF(F354&lt;&gt;"",1,0)+IF(H354&lt;&gt;"",1,0)+IF(J354&lt;&gt;"",1,0)+IF(L354&lt;&gt;"",1,0)</x:f>
        <x:v>1</x:v>
      </x:c>
      <x:c r="O354" s="14" t="str">
        <x:f>IF(E354="","MISSING MAIN",IF(N354=1,"MAIN ONLY","MULTI-PHOTO"))</x:f>
        <x:v>MAIN ONLY</x:v>
      </x:c>
      <x:c r="P354" s="14" t="str">
        <x:v>0392_</x:v>
      </x:c>
      <x:c r="Q354" s="14" t="str">
        <x:v>https://mb1advancedsolutions.github.io/mb1-catalog/index.html?design=0392</x:v>
      </x:c>
      <x:c r="R354" s="14" t="str"/>
    </x:row>
    <x:row r="355">
      <x:c r="A355" s="13" t="str">
        <x:v>MB1-0393</x:v>
      </x:c>
      <x:c r="B355" s="13" t="str">
        <x:v>MB1-0393</x:v>
      </x:c>
      <x:c r="C355" s="14" t="str">
        <x:v>Waving Flag</x:v>
      </x:c>
      <x:c r="D355" s="14" t="str">
        <x:v>seasonal and holiday</x:v>
      </x:c>
      <x:c r="E355" s="14" t="str">
        <x:v>https://res.cloudinary.com/oxygre42/image/upload/f_auto,q_auto,c_pad,b_white,w_1200,h_1200/v1788349431/0393_Waving_Flag.png</x:v>
      </x:c>
      <x:c r="F355" s="14" t="str"/>
      <x:c r="G355" s="14" t="str">
        <x:v>Lifestyle</x:v>
      </x:c>
      <x:c r="H355" s="14" t="str"/>
      <x:c r="I355" s="14" t="str">
        <x:v>Detail</x:v>
      </x:c>
      <x:c r="J355" s="14" t="str"/>
      <x:c r="K355" s="14" t="str">
        <x:v>Scale</x:v>
      </x:c>
      <x:c r="L355" s="14" t="str"/>
      <x:c r="M355" s="14" t="str">
        <x:v>Alternate</x:v>
      </x:c>
      <x:c r="N355" s="14" t="n">
        <x:f>IF(E355&lt;&gt;"",1,0)+IF(F355&lt;&gt;"",1,0)+IF(H355&lt;&gt;"",1,0)+IF(J355&lt;&gt;"",1,0)+IF(L355&lt;&gt;"",1,0)</x:f>
        <x:v>1</x:v>
      </x:c>
      <x:c r="O355" s="14" t="str">
        <x:f>IF(E355="","MISSING MAIN",IF(N355=1,"MAIN ONLY","MULTI-PHOTO"))</x:f>
        <x:v>MAIN ONLY</x:v>
      </x:c>
      <x:c r="P355" s="14" t="str">
        <x:v>0393_</x:v>
      </x:c>
      <x:c r="Q355" s="14" t="str">
        <x:v>https://mb1advancedsolutions.github.io/mb1-catalog/index.html?design=0393</x:v>
      </x:c>
      <x:c r="R355" s="14" t="str"/>
    </x:row>
    <x:row r="356">
      <x:c r="A356" s="13" t="str">
        <x:v>MB1-0406</x:v>
      </x:c>
      <x:c r="B356" s="13" t="str">
        <x:v>MB1-0406</x:v>
      </x:c>
      <x:c r="C356" s="14" t="str">
        <x:v>1</x:v>
      </x:c>
      <x:c r="D356" s="14" t="str">
        <x:v>home decor and inspirational</x:v>
      </x:c>
      <x:c r="E356" s="14" t="str">
        <x:v>https://res.cloudinary.com/oxygre42/image/upload/f_auto,q_auto,c_pad,b_white,w_1200,h_1200/v1788349435/0406_1.png</x:v>
      </x:c>
      <x:c r="F356" s="14" t="str"/>
      <x:c r="G356" s="14" t="str">
        <x:v>Lifestyle</x:v>
      </x:c>
      <x:c r="H356" s="14" t="str"/>
      <x:c r="I356" s="14" t="str">
        <x:v>Detail</x:v>
      </x:c>
      <x:c r="J356" s="14" t="str"/>
      <x:c r="K356" s="14" t="str">
        <x:v>Scale</x:v>
      </x:c>
      <x:c r="L356" s="14" t="str"/>
      <x:c r="M356" s="14" t="str">
        <x:v>Alternate</x:v>
      </x:c>
      <x:c r="N356" s="14" t="n">
        <x:f>IF(E356&lt;&gt;"",1,0)+IF(F356&lt;&gt;"",1,0)+IF(H356&lt;&gt;"",1,0)+IF(J356&lt;&gt;"",1,0)+IF(L356&lt;&gt;"",1,0)</x:f>
        <x:v>1</x:v>
      </x:c>
      <x:c r="O356" s="14" t="str">
        <x:f>IF(E356="","MISSING MAIN",IF(N356=1,"MAIN ONLY","MULTI-PHOTO"))</x:f>
        <x:v>MAIN ONLY</x:v>
      </x:c>
      <x:c r="P356" s="14" t="str">
        <x:v>0406_</x:v>
      </x:c>
      <x:c r="Q356" s="14" t="str">
        <x:v>https://mb1advancedsolutions.github.io/mb1-catalog/index.html?design=0406</x:v>
      </x:c>
      <x:c r="R356" s="14" t="str"/>
    </x:row>
    <x:row r="357">
      <x:c r="A357" s="13" t="str">
        <x:v>MB1-0407</x:v>
      </x:c>
      <x:c r="B357" s="13" t="str">
        <x:v>MB1-0407</x:v>
      </x:c>
      <x:c r="C357" s="14" t="str">
        <x:v>2</x:v>
      </x:c>
      <x:c r="D357" s="14" t="str">
        <x:v>home decor and inspirational</x:v>
      </x:c>
      <x:c r="E357" s="14" t="str">
        <x:v>https://res.cloudinary.com/oxygre42/image/upload/f_auto,q_auto,c_pad,b_white,w_1200,h_1200/v1788349436/0407_2.png</x:v>
      </x:c>
      <x:c r="F357" s="14" t="str"/>
      <x:c r="G357" s="14" t="str">
        <x:v>Lifestyle</x:v>
      </x:c>
      <x:c r="H357" s="14" t="str"/>
      <x:c r="I357" s="14" t="str">
        <x:v>Detail</x:v>
      </x:c>
      <x:c r="J357" s="14" t="str"/>
      <x:c r="K357" s="14" t="str">
        <x:v>Scale</x:v>
      </x:c>
      <x:c r="L357" s="14" t="str"/>
      <x:c r="M357" s="14" t="str">
        <x:v>Alternate</x:v>
      </x:c>
      <x:c r="N357" s="14" t="n">
        <x:f>IF(E357&lt;&gt;"",1,0)+IF(F357&lt;&gt;"",1,0)+IF(H357&lt;&gt;"",1,0)+IF(J357&lt;&gt;"",1,0)+IF(L357&lt;&gt;"",1,0)</x:f>
        <x:v>1</x:v>
      </x:c>
      <x:c r="O357" s="14" t="str">
        <x:f>IF(E357="","MISSING MAIN",IF(N357=1,"MAIN ONLY","MULTI-PHOTO"))</x:f>
        <x:v>MAIN ONLY</x:v>
      </x:c>
      <x:c r="P357" s="14" t="str">
        <x:v>0407_</x:v>
      </x:c>
      <x:c r="Q357" s="14" t="str">
        <x:v>https://mb1advancedsolutions.github.io/mb1-catalog/index.html?design=0407</x:v>
      </x:c>
      <x:c r="R357" s="14" t="str"/>
    </x:row>
    <x:row r="358">
      <x:c r="A358" s="13" t="str">
        <x:v>MB1-0408</x:v>
      </x:c>
      <x:c r="B358" s="13" t="str">
        <x:v>MB1-0408</x:v>
      </x:c>
      <x:c r="C358" s="14" t="str">
        <x:v>3</x:v>
      </x:c>
      <x:c r="D358" s="14" t="str">
        <x:v>home decor and inspirational</x:v>
      </x:c>
      <x:c r="E358" s="14" t="str">
        <x:v>https://res.cloudinary.com/oxygre42/image/upload/f_auto,q_auto,c_pad,b_white,w_1200,h_1200/v1788349438/0408_3.png</x:v>
      </x:c>
      <x:c r="F358" s="14" t="str"/>
      <x:c r="G358" s="14" t="str">
        <x:v>Lifestyle</x:v>
      </x:c>
      <x:c r="H358" s="14" t="str"/>
      <x:c r="I358" s="14" t="str">
        <x:v>Detail</x:v>
      </x:c>
      <x:c r="J358" s="14" t="str"/>
      <x:c r="K358" s="14" t="str">
        <x:v>Scale</x:v>
      </x:c>
      <x:c r="L358" s="14" t="str"/>
      <x:c r="M358" s="14" t="str">
        <x:v>Alternate</x:v>
      </x:c>
      <x:c r="N358" s="14" t="n">
        <x:f>IF(E358&lt;&gt;"",1,0)+IF(F358&lt;&gt;"",1,0)+IF(H358&lt;&gt;"",1,0)+IF(J358&lt;&gt;"",1,0)+IF(L358&lt;&gt;"",1,0)</x:f>
        <x:v>1</x:v>
      </x:c>
      <x:c r="O358" s="14" t="str">
        <x:f>IF(E358="","MISSING MAIN",IF(N358=1,"MAIN ONLY","MULTI-PHOTO"))</x:f>
        <x:v>MAIN ONLY</x:v>
      </x:c>
      <x:c r="P358" s="14" t="str">
        <x:v>0408_</x:v>
      </x:c>
      <x:c r="Q358" s="14" t="str">
        <x:v>https://mb1advancedsolutions.github.io/mb1-catalog/index.html?design=0408</x:v>
      </x:c>
      <x:c r="R358" s="14" t="str"/>
    </x:row>
    <x:row r="359">
      <x:c r="A359" s="13" t="str">
        <x:v>MB1-0409</x:v>
      </x:c>
      <x:c r="B359" s="13" t="str">
        <x:v>MB1-0409</x:v>
      </x:c>
      <x:c r="C359" s="14" t="str">
        <x:v>4</x:v>
      </x:c>
      <x:c r="D359" s="14" t="str">
        <x:v>home decor and inspirational</x:v>
      </x:c>
      <x:c r="E359" s="14" t="str">
        <x:v>https://res.cloudinary.com/oxygre42/image/upload/f_auto,q_auto,c_pad,b_white,w_1200,h_1200/v1788349440/0409_4.png</x:v>
      </x:c>
      <x:c r="F359" s="14" t="str"/>
      <x:c r="G359" s="14" t="str">
        <x:v>Lifestyle</x:v>
      </x:c>
      <x:c r="H359" s="14" t="str"/>
      <x:c r="I359" s="14" t="str">
        <x:v>Detail</x:v>
      </x:c>
      <x:c r="J359" s="14" t="str"/>
      <x:c r="K359" s="14" t="str">
        <x:v>Scale</x:v>
      </x:c>
      <x:c r="L359" s="14" t="str"/>
      <x:c r="M359" s="14" t="str">
        <x:v>Alternate</x:v>
      </x:c>
      <x:c r="N359" s="14" t="n">
        <x:f>IF(E359&lt;&gt;"",1,0)+IF(F359&lt;&gt;"",1,0)+IF(H359&lt;&gt;"",1,0)+IF(J359&lt;&gt;"",1,0)+IF(L359&lt;&gt;"",1,0)</x:f>
        <x:v>1</x:v>
      </x:c>
      <x:c r="O359" s="14" t="str">
        <x:f>IF(E359="","MISSING MAIN",IF(N359=1,"MAIN ONLY","MULTI-PHOTO"))</x:f>
        <x:v>MAIN ONLY</x:v>
      </x:c>
      <x:c r="P359" s="14" t="str">
        <x:v>0409_</x:v>
      </x:c>
      <x:c r="Q359" s="14" t="str">
        <x:v>https://mb1advancedsolutions.github.io/mb1-catalog/index.html?design=0409</x:v>
      </x:c>
      <x:c r="R359" s="14" t="str"/>
    </x:row>
    <x:row r="360">
      <x:c r="A360" s="13" t="str">
        <x:v>MB1-0410</x:v>
      </x:c>
      <x:c r="B360" s="13" t="str">
        <x:v>MB1-0410</x:v>
      </x:c>
      <x:c r="C360" s="14" t="str">
        <x:v>5</x:v>
      </x:c>
      <x:c r="D360" s="14" t="str">
        <x:v>home decor and inspirational</x:v>
      </x:c>
      <x:c r="E360" s="14" t="str">
        <x:v>https://res.cloudinary.com/oxygre42/image/upload/f_auto,q_auto,c_pad,b_white,w_1200,h_1200/v1788349442/0410_5.png</x:v>
      </x:c>
      <x:c r="F360" s="14" t="str"/>
      <x:c r="G360" s="14" t="str">
        <x:v>Lifestyle</x:v>
      </x:c>
      <x:c r="H360" s="14" t="str"/>
      <x:c r="I360" s="14" t="str">
        <x:v>Detail</x:v>
      </x:c>
      <x:c r="J360" s="14" t="str"/>
      <x:c r="K360" s="14" t="str">
        <x:v>Scale</x:v>
      </x:c>
      <x:c r="L360" s="14" t="str"/>
      <x:c r="M360" s="14" t="str">
        <x:v>Alternate</x:v>
      </x:c>
      <x:c r="N360" s="14" t="n">
        <x:f>IF(E360&lt;&gt;"",1,0)+IF(F360&lt;&gt;"",1,0)+IF(H360&lt;&gt;"",1,0)+IF(J360&lt;&gt;"",1,0)+IF(L360&lt;&gt;"",1,0)</x:f>
        <x:v>1</x:v>
      </x:c>
      <x:c r="O360" s="14" t="str">
        <x:f>IF(E360="","MISSING MAIN",IF(N360=1,"MAIN ONLY","MULTI-PHOTO"))</x:f>
        <x:v>MAIN ONLY</x:v>
      </x:c>
      <x:c r="P360" s="14" t="str">
        <x:v>0410_</x:v>
      </x:c>
      <x:c r="Q360" s="14" t="str">
        <x:v>https://mb1advancedsolutions.github.io/mb1-catalog/index.html?design=0410</x:v>
      </x:c>
      <x:c r="R360" s="14" t="str"/>
    </x:row>
    <x:row r="361">
      <x:c r="A361" s="13" t="str">
        <x:v>MB1-0411</x:v>
      </x:c>
      <x:c r="B361" s="13" t="str">
        <x:v>MB1-0411</x:v>
      </x:c>
      <x:c r="C361" s="14" t="str">
        <x:v>6</x:v>
      </x:c>
      <x:c r="D361" s="14" t="str">
        <x:v>home decor and inspirational</x:v>
      </x:c>
      <x:c r="E361" s="14" t="str">
        <x:v>https://res.cloudinary.com/oxygre42/image/upload/f_auto,q_auto,c_pad,b_white,w_1200,h_1200/v1788349444/0411_6.png</x:v>
      </x:c>
      <x:c r="F361" s="14" t="str"/>
      <x:c r="G361" s="14" t="str">
        <x:v>Lifestyle</x:v>
      </x:c>
      <x:c r="H361" s="14" t="str"/>
      <x:c r="I361" s="14" t="str">
        <x:v>Detail</x:v>
      </x:c>
      <x:c r="J361" s="14" t="str"/>
      <x:c r="K361" s="14" t="str">
        <x:v>Scale</x:v>
      </x:c>
      <x:c r="L361" s="14" t="str"/>
      <x:c r="M361" s="14" t="str">
        <x:v>Alternate</x:v>
      </x:c>
      <x:c r="N361" s="14" t="n">
        <x:f>IF(E361&lt;&gt;"",1,0)+IF(F361&lt;&gt;"",1,0)+IF(H361&lt;&gt;"",1,0)+IF(J361&lt;&gt;"",1,0)+IF(L361&lt;&gt;"",1,0)</x:f>
        <x:v>1</x:v>
      </x:c>
      <x:c r="O361" s="14" t="str">
        <x:f>IF(E361="","MISSING MAIN",IF(N361=1,"MAIN ONLY","MULTI-PHOTO"))</x:f>
        <x:v>MAIN ONLY</x:v>
      </x:c>
      <x:c r="P361" s="14" t="str">
        <x:v>0411_</x:v>
      </x:c>
      <x:c r="Q361" s="14" t="str">
        <x:v>https://mb1advancedsolutions.github.io/mb1-catalog/index.html?design=0411</x:v>
      </x:c>
      <x:c r="R361" s="14" t="str"/>
    </x:row>
    <x:row r="362">
      <x:c r="A362" s="13" t="str">
        <x:v>MB1-0412</x:v>
      </x:c>
      <x:c r="B362" s="13" t="str">
        <x:v>MB1-0412</x:v>
      </x:c>
      <x:c r="C362" s="14" t="str">
        <x:v>flower 1</x:v>
      </x:c>
      <x:c r="D362" s="14" t="str">
        <x:v>home decor and inspirational</x:v>
      </x:c>
      <x:c r="E362" s="14" t="str">
        <x:v>https://res.cloudinary.com/oxygre42/image/upload/f_auto,q_auto,c_pad,b_white,w_1200,h_1200/v1788349446/0412_flower_1.png</x:v>
      </x:c>
      <x:c r="F362" s="14" t="str"/>
      <x:c r="G362" s="14" t="str">
        <x:v>Lifestyle</x:v>
      </x:c>
      <x:c r="H362" s="14" t="str"/>
      <x:c r="I362" s="14" t="str">
        <x:v>Detail</x:v>
      </x:c>
      <x:c r="J362" s="14" t="str"/>
      <x:c r="K362" s="14" t="str">
        <x:v>Scale</x:v>
      </x:c>
      <x:c r="L362" s="14" t="str"/>
      <x:c r="M362" s="14" t="str">
        <x:v>Alternate</x:v>
      </x:c>
      <x:c r="N362" s="14" t="n">
        <x:f>IF(E362&lt;&gt;"",1,0)+IF(F362&lt;&gt;"",1,0)+IF(H362&lt;&gt;"",1,0)+IF(J362&lt;&gt;"",1,0)+IF(L362&lt;&gt;"",1,0)</x:f>
        <x:v>1</x:v>
      </x:c>
      <x:c r="O362" s="14" t="str">
        <x:f>IF(E362="","MISSING MAIN",IF(N362=1,"MAIN ONLY","MULTI-PHOTO"))</x:f>
        <x:v>MAIN ONLY</x:v>
      </x:c>
      <x:c r="P362" s="14" t="str">
        <x:v>0412_</x:v>
      </x:c>
      <x:c r="Q362" s="14" t="str">
        <x:v>https://mb1advancedsolutions.github.io/mb1-catalog/index.html?design=0412</x:v>
      </x:c>
      <x:c r="R362" s="14" t="str"/>
    </x:row>
    <x:row r="363">
      <x:c r="A363" s="13" t="str">
        <x:v>MB1-0413</x:v>
      </x:c>
      <x:c r="B363" s="13" t="str">
        <x:v>MB1-0413</x:v>
      </x:c>
      <x:c r="C363" s="14" t="str">
        <x:v>flower 10</x:v>
      </x:c>
      <x:c r="D363" s="14" t="str">
        <x:v>home decor and inspirational</x:v>
      </x:c>
      <x:c r="E363" s="14" t="str">
        <x:v>https://res.cloudinary.com/oxygre42/image/upload/f_auto,q_auto,c_pad,b_white,w_1200,h_1200/v1788349448/0413_flower_10.png</x:v>
      </x:c>
      <x:c r="F363" s="14" t="str"/>
      <x:c r="G363" s="14" t="str">
        <x:v>Lifestyle</x:v>
      </x:c>
      <x:c r="H363" s="14" t="str"/>
      <x:c r="I363" s="14" t="str">
        <x:v>Detail</x:v>
      </x:c>
      <x:c r="J363" s="14" t="str"/>
      <x:c r="K363" s="14" t="str">
        <x:v>Scale</x:v>
      </x:c>
      <x:c r="L363" s="14" t="str"/>
      <x:c r="M363" s="14" t="str">
        <x:v>Alternate</x:v>
      </x:c>
      <x:c r="N363" s="14" t="n">
        <x:f>IF(E363&lt;&gt;"",1,0)+IF(F363&lt;&gt;"",1,0)+IF(H363&lt;&gt;"",1,0)+IF(J363&lt;&gt;"",1,0)+IF(L363&lt;&gt;"",1,0)</x:f>
        <x:v>1</x:v>
      </x:c>
      <x:c r="O363" s="14" t="str">
        <x:f>IF(E363="","MISSING MAIN",IF(N363=1,"MAIN ONLY","MULTI-PHOTO"))</x:f>
        <x:v>MAIN ONLY</x:v>
      </x:c>
      <x:c r="P363" s="14" t="str">
        <x:v>0413_</x:v>
      </x:c>
      <x:c r="Q363" s="14" t="str">
        <x:v>https://mb1advancedsolutions.github.io/mb1-catalog/index.html?design=0413</x:v>
      </x:c>
      <x:c r="R363" s="14" t="str"/>
    </x:row>
    <x:row r="364">
      <x:c r="A364" s="13" t="str">
        <x:v>MB1-0414</x:v>
      </x:c>
      <x:c r="B364" s="13" t="str">
        <x:v>MB1-0414</x:v>
      </x:c>
      <x:c r="C364" s="14" t="str">
        <x:v>flower 11</x:v>
      </x:c>
      <x:c r="D364" s="14" t="str">
        <x:v>home decor and inspirational</x:v>
      </x:c>
      <x:c r="E364" s="14" t="str">
        <x:v>https://res.cloudinary.com/oxygre42/image/upload/f_auto,q_auto,c_pad,b_white,w_1200,h_1200/v1788349450/0414_flower_11.png</x:v>
      </x:c>
      <x:c r="F364" s="14" t="str"/>
      <x:c r="G364" s="14" t="str">
        <x:v>Lifestyle</x:v>
      </x:c>
      <x:c r="H364" s="14" t="str"/>
      <x:c r="I364" s="14" t="str">
        <x:v>Detail</x:v>
      </x:c>
      <x:c r="J364" s="14" t="str"/>
      <x:c r="K364" s="14" t="str">
        <x:v>Scale</x:v>
      </x:c>
      <x:c r="L364" s="14" t="str"/>
      <x:c r="M364" s="14" t="str">
        <x:v>Alternate</x:v>
      </x:c>
      <x:c r="N364" s="14" t="n">
        <x:f>IF(E364&lt;&gt;"",1,0)+IF(F364&lt;&gt;"",1,0)+IF(H364&lt;&gt;"",1,0)+IF(J364&lt;&gt;"",1,0)+IF(L364&lt;&gt;"",1,0)</x:f>
        <x:v>1</x:v>
      </x:c>
      <x:c r="O364" s="14" t="str">
        <x:f>IF(E364="","MISSING MAIN",IF(N364=1,"MAIN ONLY","MULTI-PHOTO"))</x:f>
        <x:v>MAIN ONLY</x:v>
      </x:c>
      <x:c r="P364" s="14" t="str">
        <x:v>0414_</x:v>
      </x:c>
      <x:c r="Q364" s="14" t="str">
        <x:v>https://mb1advancedsolutions.github.io/mb1-catalog/index.html?design=0414</x:v>
      </x:c>
      <x:c r="R364" s="14" t="str"/>
    </x:row>
    <x:row r="365">
      <x:c r="A365" s="13" t="str">
        <x:v>MB1-0415</x:v>
      </x:c>
      <x:c r="B365" s="13" t="str">
        <x:v>MB1-0415</x:v>
      </x:c>
      <x:c r="C365" s="14" t="str">
        <x:v>flower 12</x:v>
      </x:c>
      <x:c r="D365" s="14" t="str">
        <x:v>home decor and inspirational</x:v>
      </x:c>
      <x:c r="E365" s="14" t="str">
        <x:v>https://res.cloudinary.com/oxygre42/image/upload/f_auto,q_auto,c_pad,b_white,w_1200,h_1200/v1788349451/0415_flower_12.png</x:v>
      </x:c>
      <x:c r="F365" s="14" t="str"/>
      <x:c r="G365" s="14" t="str">
        <x:v>Lifestyle</x:v>
      </x:c>
      <x:c r="H365" s="14" t="str"/>
      <x:c r="I365" s="14" t="str">
        <x:v>Detail</x:v>
      </x:c>
      <x:c r="J365" s="14" t="str"/>
      <x:c r="K365" s="14" t="str">
        <x:v>Scale</x:v>
      </x:c>
      <x:c r="L365" s="14" t="str"/>
      <x:c r="M365" s="14" t="str">
        <x:v>Alternate</x:v>
      </x:c>
      <x:c r="N365" s="14" t="n">
        <x:f>IF(E365&lt;&gt;"",1,0)+IF(F365&lt;&gt;"",1,0)+IF(H365&lt;&gt;"",1,0)+IF(J365&lt;&gt;"",1,0)+IF(L365&lt;&gt;"",1,0)</x:f>
        <x:v>1</x:v>
      </x:c>
      <x:c r="O365" s="14" t="str">
        <x:f>IF(E365="","MISSING MAIN",IF(N365=1,"MAIN ONLY","MULTI-PHOTO"))</x:f>
        <x:v>MAIN ONLY</x:v>
      </x:c>
      <x:c r="P365" s="14" t="str">
        <x:v>0415_</x:v>
      </x:c>
      <x:c r="Q365" s="14" t="str">
        <x:v>https://mb1advancedsolutions.github.io/mb1-catalog/index.html?design=0415</x:v>
      </x:c>
      <x:c r="R365" s="14" t="str"/>
    </x:row>
    <x:row r="366">
      <x:c r="A366" s="13" t="str">
        <x:v>MB1-0416</x:v>
      </x:c>
      <x:c r="B366" s="13" t="str">
        <x:v>MB1-0416</x:v>
      </x:c>
      <x:c r="C366" s="14" t="str">
        <x:v>flower 13</x:v>
      </x:c>
      <x:c r="D366" s="14" t="str">
        <x:v>home decor and inspirational</x:v>
      </x:c>
      <x:c r="E366" s="14" t="str">
        <x:v>https://res.cloudinary.com/oxygre42/image/upload/f_auto,q_auto,c_pad,b_white,w_1200,h_1200/v1788349453/0416_flower_13.png</x:v>
      </x:c>
      <x:c r="F366" s="14" t="str"/>
      <x:c r="G366" s="14" t="str">
        <x:v>Lifestyle</x:v>
      </x:c>
      <x:c r="H366" s="14" t="str"/>
      <x:c r="I366" s="14" t="str">
        <x:v>Detail</x:v>
      </x:c>
      <x:c r="J366" s="14" t="str"/>
      <x:c r="K366" s="14" t="str">
        <x:v>Scale</x:v>
      </x:c>
      <x:c r="L366" s="14" t="str"/>
      <x:c r="M366" s="14" t="str">
        <x:v>Alternate</x:v>
      </x:c>
      <x:c r="N366" s="14" t="n">
        <x:f>IF(E366&lt;&gt;"",1,0)+IF(F366&lt;&gt;"",1,0)+IF(H366&lt;&gt;"",1,0)+IF(J366&lt;&gt;"",1,0)+IF(L366&lt;&gt;"",1,0)</x:f>
        <x:v>1</x:v>
      </x:c>
      <x:c r="O366" s="14" t="str">
        <x:f>IF(E366="","MISSING MAIN",IF(N366=1,"MAIN ONLY","MULTI-PHOTO"))</x:f>
        <x:v>MAIN ONLY</x:v>
      </x:c>
      <x:c r="P366" s="14" t="str">
        <x:v>0416_</x:v>
      </x:c>
      <x:c r="Q366" s="14" t="str">
        <x:v>https://mb1advancedsolutions.github.io/mb1-catalog/index.html?design=0416</x:v>
      </x:c>
      <x:c r="R366" s="14" t="str"/>
    </x:row>
    <x:row r="367">
      <x:c r="A367" s="13" t="str">
        <x:v>MB1-0417</x:v>
      </x:c>
      <x:c r="B367" s="13" t="str">
        <x:v>MB1-0417</x:v>
      </x:c>
      <x:c r="C367" s="14" t="str">
        <x:v>flower 2</x:v>
      </x:c>
      <x:c r="D367" s="14" t="str">
        <x:v>home decor and inspirational</x:v>
      </x:c>
      <x:c r="E367" s="14" t="str">
        <x:v>https://res.cloudinary.com/oxygre42/image/upload/f_auto,q_auto,c_pad,b_white,w_1200,h_1200/v1788349455/0417_flower_2.png</x:v>
      </x:c>
      <x:c r="F367" s="14" t="str"/>
      <x:c r="G367" s="14" t="str">
        <x:v>Lifestyle</x:v>
      </x:c>
      <x:c r="H367" s="14" t="str"/>
      <x:c r="I367" s="14" t="str">
        <x:v>Detail</x:v>
      </x:c>
      <x:c r="J367" s="14" t="str"/>
      <x:c r="K367" s="14" t="str">
        <x:v>Scale</x:v>
      </x:c>
      <x:c r="L367" s="14" t="str"/>
      <x:c r="M367" s="14" t="str">
        <x:v>Alternate</x:v>
      </x:c>
      <x:c r="N367" s="14" t="n">
        <x:f>IF(E367&lt;&gt;"",1,0)+IF(F367&lt;&gt;"",1,0)+IF(H367&lt;&gt;"",1,0)+IF(J367&lt;&gt;"",1,0)+IF(L367&lt;&gt;"",1,0)</x:f>
        <x:v>1</x:v>
      </x:c>
      <x:c r="O367" s="14" t="str">
        <x:f>IF(E367="","MISSING MAIN",IF(N367=1,"MAIN ONLY","MULTI-PHOTO"))</x:f>
        <x:v>MAIN ONLY</x:v>
      </x:c>
      <x:c r="P367" s="14" t="str">
        <x:v>0417_</x:v>
      </x:c>
      <x:c r="Q367" s="14" t="str">
        <x:v>https://mb1advancedsolutions.github.io/mb1-catalog/index.html?design=0417</x:v>
      </x:c>
      <x:c r="R367" s="14" t="str"/>
    </x:row>
    <x:row r="368">
      <x:c r="A368" s="13" t="str">
        <x:v>MB1-0418</x:v>
      </x:c>
      <x:c r="B368" s="13" t="str">
        <x:v>MB1-0418</x:v>
      </x:c>
      <x:c r="C368" s="14" t="str">
        <x:v>flower 3</x:v>
      </x:c>
      <x:c r="D368" s="14" t="str">
        <x:v>home decor and inspirational</x:v>
      </x:c>
      <x:c r="E368" s="14" t="str">
        <x:v>https://res.cloudinary.com/oxygre42/image/upload/f_auto,q_auto,c_pad,b_white,w_1200,h_1200/v1788349457/0418_flower_3.png</x:v>
      </x:c>
      <x:c r="F368" s="14" t="str"/>
      <x:c r="G368" s="14" t="str">
        <x:v>Lifestyle</x:v>
      </x:c>
      <x:c r="H368" s="14" t="str"/>
      <x:c r="I368" s="14" t="str">
        <x:v>Detail</x:v>
      </x:c>
      <x:c r="J368" s="14" t="str"/>
      <x:c r="K368" s="14" t="str">
        <x:v>Scale</x:v>
      </x:c>
      <x:c r="L368" s="14" t="str"/>
      <x:c r="M368" s="14" t="str">
        <x:v>Alternate</x:v>
      </x:c>
      <x:c r="N368" s="14" t="n">
        <x:f>IF(E368&lt;&gt;"",1,0)+IF(F368&lt;&gt;"",1,0)+IF(H368&lt;&gt;"",1,0)+IF(J368&lt;&gt;"",1,0)+IF(L368&lt;&gt;"",1,0)</x:f>
        <x:v>1</x:v>
      </x:c>
      <x:c r="O368" s="14" t="str">
        <x:f>IF(E368="","MISSING MAIN",IF(N368=1,"MAIN ONLY","MULTI-PHOTO"))</x:f>
        <x:v>MAIN ONLY</x:v>
      </x:c>
      <x:c r="P368" s="14" t="str">
        <x:v>0418_</x:v>
      </x:c>
      <x:c r="Q368" s="14" t="str">
        <x:v>https://mb1advancedsolutions.github.io/mb1-catalog/index.html?design=0418</x:v>
      </x:c>
      <x:c r="R368" s="14" t="str"/>
    </x:row>
    <x:row r="369">
      <x:c r="A369" s="13" t="str">
        <x:v>MB1-0419</x:v>
      </x:c>
      <x:c r="B369" s="13" t="str">
        <x:v>MB1-0419</x:v>
      </x:c>
      <x:c r="C369" s="14" t="str">
        <x:v>flower 4</x:v>
      </x:c>
      <x:c r="D369" s="14" t="str">
        <x:v>home decor and inspirational</x:v>
      </x:c>
      <x:c r="E369" s="14" t="str">
        <x:v>https://res.cloudinary.com/oxygre42/image/upload/f_auto,q_auto,c_pad,b_white,w_1200,h_1200/v1788349459/0419_flower_4.png</x:v>
      </x:c>
      <x:c r="F369" s="14" t="str"/>
      <x:c r="G369" s="14" t="str">
        <x:v>Lifestyle</x:v>
      </x:c>
      <x:c r="H369" s="14" t="str"/>
      <x:c r="I369" s="14" t="str">
        <x:v>Detail</x:v>
      </x:c>
      <x:c r="J369" s="14" t="str"/>
      <x:c r="K369" s="14" t="str">
        <x:v>Scale</x:v>
      </x:c>
      <x:c r="L369" s="14" t="str"/>
      <x:c r="M369" s="14" t="str">
        <x:v>Alternate</x:v>
      </x:c>
      <x:c r="N369" s="14" t="n">
        <x:f>IF(E369&lt;&gt;"",1,0)+IF(F369&lt;&gt;"",1,0)+IF(H369&lt;&gt;"",1,0)+IF(J369&lt;&gt;"",1,0)+IF(L369&lt;&gt;"",1,0)</x:f>
        <x:v>1</x:v>
      </x:c>
      <x:c r="O369" s="14" t="str">
        <x:f>IF(E369="","MISSING MAIN",IF(N369=1,"MAIN ONLY","MULTI-PHOTO"))</x:f>
        <x:v>MAIN ONLY</x:v>
      </x:c>
      <x:c r="P369" s="14" t="str">
        <x:v>0419_</x:v>
      </x:c>
      <x:c r="Q369" s="14" t="str">
        <x:v>https://mb1advancedsolutions.github.io/mb1-catalog/index.html?design=0419</x:v>
      </x:c>
      <x:c r="R369" s="14" t="str"/>
    </x:row>
    <x:row r="370">
      <x:c r="A370" s="13" t="str">
        <x:v>MB1-0420</x:v>
      </x:c>
      <x:c r="B370" s="13" t="str">
        <x:v>MB1-0420</x:v>
      </x:c>
      <x:c r="C370" s="14" t="str">
        <x:v>flower 5</x:v>
      </x:c>
      <x:c r="D370" s="14" t="str">
        <x:v>home decor and inspirational</x:v>
      </x:c>
      <x:c r="E370" s="14" t="str">
        <x:v>https://res.cloudinary.com/oxygre42/image/upload/f_auto,q_auto,c_pad,b_white,w_1200,h_1200/v1788349461/0420_flower_5.png</x:v>
      </x:c>
      <x:c r="F370" s="14" t="str"/>
      <x:c r="G370" s="14" t="str">
        <x:v>Lifestyle</x:v>
      </x:c>
      <x:c r="H370" s="14" t="str"/>
      <x:c r="I370" s="14" t="str">
        <x:v>Detail</x:v>
      </x:c>
      <x:c r="J370" s="14" t="str"/>
      <x:c r="K370" s="14" t="str">
        <x:v>Scale</x:v>
      </x:c>
      <x:c r="L370" s="14" t="str"/>
      <x:c r="M370" s="14" t="str">
        <x:v>Alternate</x:v>
      </x:c>
      <x:c r="N370" s="14" t="n">
        <x:f>IF(E370&lt;&gt;"",1,0)+IF(F370&lt;&gt;"",1,0)+IF(H370&lt;&gt;"",1,0)+IF(J370&lt;&gt;"",1,0)+IF(L370&lt;&gt;"",1,0)</x:f>
        <x:v>1</x:v>
      </x:c>
      <x:c r="O370" s="14" t="str">
        <x:f>IF(E370="","MISSING MAIN",IF(N370=1,"MAIN ONLY","MULTI-PHOTO"))</x:f>
        <x:v>MAIN ONLY</x:v>
      </x:c>
      <x:c r="P370" s="14" t="str">
        <x:v>0420_</x:v>
      </x:c>
      <x:c r="Q370" s="14" t="str">
        <x:v>https://mb1advancedsolutions.github.io/mb1-catalog/index.html?design=0420</x:v>
      </x:c>
      <x:c r="R370" s="14" t="str"/>
    </x:row>
    <x:row r="371">
      <x:c r="A371" s="13" t="str">
        <x:v>MB1-0421</x:v>
      </x:c>
      <x:c r="B371" s="13" t="str">
        <x:v>MB1-0421</x:v>
      </x:c>
      <x:c r="C371" s="14" t="str">
        <x:v>flower 6</x:v>
      </x:c>
      <x:c r="D371" s="14" t="str">
        <x:v>home decor and inspirational</x:v>
      </x:c>
      <x:c r="E371" s="14" t="str">
        <x:v>https://res.cloudinary.com/oxygre42/image/upload/f_auto,q_auto,c_pad,b_white,w_1200,h_1200/v1788349463/0421_flower_6.png</x:v>
      </x:c>
      <x:c r="F371" s="14" t="str"/>
      <x:c r="G371" s="14" t="str">
        <x:v>Lifestyle</x:v>
      </x:c>
      <x:c r="H371" s="14" t="str"/>
      <x:c r="I371" s="14" t="str">
        <x:v>Detail</x:v>
      </x:c>
      <x:c r="J371" s="14" t="str"/>
      <x:c r="K371" s="14" t="str">
        <x:v>Scale</x:v>
      </x:c>
      <x:c r="L371" s="14" t="str"/>
      <x:c r="M371" s="14" t="str">
        <x:v>Alternate</x:v>
      </x:c>
      <x:c r="N371" s="14" t="n">
        <x:f>IF(E371&lt;&gt;"",1,0)+IF(F371&lt;&gt;"",1,0)+IF(H371&lt;&gt;"",1,0)+IF(J371&lt;&gt;"",1,0)+IF(L371&lt;&gt;"",1,0)</x:f>
        <x:v>1</x:v>
      </x:c>
      <x:c r="O371" s="14" t="str">
        <x:f>IF(E371="","MISSING MAIN",IF(N371=1,"MAIN ONLY","MULTI-PHOTO"))</x:f>
        <x:v>MAIN ONLY</x:v>
      </x:c>
      <x:c r="P371" s="14" t="str">
        <x:v>0421_</x:v>
      </x:c>
      <x:c r="Q371" s="14" t="str">
        <x:v>https://mb1advancedsolutions.github.io/mb1-catalog/index.html?design=0421</x:v>
      </x:c>
      <x:c r="R371" s="14" t="str"/>
    </x:row>
    <x:row r="372">
      <x:c r="A372" s="13" t="str">
        <x:v>MB1-0422</x:v>
      </x:c>
      <x:c r="B372" s="13" t="str">
        <x:v>MB1-0422</x:v>
      </x:c>
      <x:c r="C372" s="14" t="str">
        <x:v>flower 7</x:v>
      </x:c>
      <x:c r="D372" s="14" t="str">
        <x:v>home decor and inspirational</x:v>
      </x:c>
      <x:c r="E372" s="14" t="str">
        <x:v>https://res.cloudinary.com/oxygre42/image/upload/f_auto,q_auto,c_pad,b_white,w_1200,h_1200/v1788349465/0422_flower_7.png</x:v>
      </x:c>
      <x:c r="F372" s="14" t="str"/>
      <x:c r="G372" s="14" t="str">
        <x:v>Lifestyle</x:v>
      </x:c>
      <x:c r="H372" s="14" t="str"/>
      <x:c r="I372" s="14" t="str">
        <x:v>Detail</x:v>
      </x:c>
      <x:c r="J372" s="14" t="str"/>
      <x:c r="K372" s="14" t="str">
        <x:v>Scale</x:v>
      </x:c>
      <x:c r="L372" s="14" t="str"/>
      <x:c r="M372" s="14" t="str">
        <x:v>Alternate</x:v>
      </x:c>
      <x:c r="N372" s="14" t="n">
        <x:f>IF(E372&lt;&gt;"",1,0)+IF(F372&lt;&gt;"",1,0)+IF(H372&lt;&gt;"",1,0)+IF(J372&lt;&gt;"",1,0)+IF(L372&lt;&gt;"",1,0)</x:f>
        <x:v>1</x:v>
      </x:c>
      <x:c r="O372" s="14" t="str">
        <x:f>IF(E372="","MISSING MAIN",IF(N372=1,"MAIN ONLY","MULTI-PHOTO"))</x:f>
        <x:v>MAIN ONLY</x:v>
      </x:c>
      <x:c r="P372" s="14" t="str">
        <x:v>0422_</x:v>
      </x:c>
      <x:c r="Q372" s="14" t="str">
        <x:v>https://mb1advancedsolutions.github.io/mb1-catalog/index.html?design=0422</x:v>
      </x:c>
      <x:c r="R372" s="14" t="str"/>
    </x:row>
    <x:row r="373">
      <x:c r="A373" s="13" t="str">
        <x:v>MB1-0423</x:v>
      </x:c>
      <x:c r="B373" s="13" t="str">
        <x:v>MB1-0423</x:v>
      </x:c>
      <x:c r="C373" s="14" t="str">
        <x:v>flower 8</x:v>
      </x:c>
      <x:c r="D373" s="14" t="str">
        <x:v>home decor and inspirational</x:v>
      </x:c>
      <x:c r="E373" s="14" t="str">
        <x:v>https://res.cloudinary.com/oxygre42/image/upload/f_auto,q_auto,c_pad,b_white,w_1200,h_1200/v1788349466/0423_flower_8.png</x:v>
      </x:c>
      <x:c r="F373" s="14" t="str"/>
      <x:c r="G373" s="14" t="str">
        <x:v>Lifestyle</x:v>
      </x:c>
      <x:c r="H373" s="14" t="str"/>
      <x:c r="I373" s="14" t="str">
        <x:v>Detail</x:v>
      </x:c>
      <x:c r="J373" s="14" t="str"/>
      <x:c r="K373" s="14" t="str">
        <x:v>Scale</x:v>
      </x:c>
      <x:c r="L373" s="14" t="str"/>
      <x:c r="M373" s="14" t="str">
        <x:v>Alternate</x:v>
      </x:c>
      <x:c r="N373" s="14" t="n">
        <x:f>IF(E373&lt;&gt;"",1,0)+IF(F373&lt;&gt;"",1,0)+IF(H373&lt;&gt;"",1,0)+IF(J373&lt;&gt;"",1,0)+IF(L373&lt;&gt;"",1,0)</x:f>
        <x:v>1</x:v>
      </x:c>
      <x:c r="O373" s="14" t="str">
        <x:f>IF(E373="","MISSING MAIN",IF(N373=1,"MAIN ONLY","MULTI-PHOTO"))</x:f>
        <x:v>MAIN ONLY</x:v>
      </x:c>
      <x:c r="P373" s="14" t="str">
        <x:v>0423_</x:v>
      </x:c>
      <x:c r="Q373" s="14" t="str">
        <x:v>https://mb1advancedsolutions.github.io/mb1-catalog/index.html?design=0423</x:v>
      </x:c>
      <x:c r="R373" s="14" t="str"/>
    </x:row>
    <x:row r="374">
      <x:c r="A374" s="13" t="str">
        <x:v>MB1-0424</x:v>
      </x:c>
      <x:c r="B374" s="13" t="str">
        <x:v>MB1-0424</x:v>
      </x:c>
      <x:c r="C374" s="14" t="str">
        <x:v>flower 9</x:v>
      </x:c>
      <x:c r="D374" s="14" t="str">
        <x:v>home decor and inspirational</x:v>
      </x:c>
      <x:c r="E374" s="14" t="str">
        <x:v>https://res.cloudinary.com/oxygre42/image/upload/f_auto,q_auto,c_pad,b_white,w_1200,h_1200/v1788349468/0424_flower_9.png</x:v>
      </x:c>
      <x:c r="F374" s="14" t="str"/>
      <x:c r="G374" s="14" t="str">
        <x:v>Lifestyle</x:v>
      </x:c>
      <x:c r="H374" s="14" t="str"/>
      <x:c r="I374" s="14" t="str">
        <x:v>Detail</x:v>
      </x:c>
      <x:c r="J374" s="14" t="str"/>
      <x:c r="K374" s="14" t="str">
        <x:v>Scale</x:v>
      </x:c>
      <x:c r="L374" s="14" t="str"/>
      <x:c r="M374" s="14" t="str">
        <x:v>Alternate</x:v>
      </x:c>
      <x:c r="N374" s="14" t="n">
        <x:f>IF(E374&lt;&gt;"",1,0)+IF(F374&lt;&gt;"",1,0)+IF(H374&lt;&gt;"",1,0)+IF(J374&lt;&gt;"",1,0)+IF(L374&lt;&gt;"",1,0)</x:f>
        <x:v>1</x:v>
      </x:c>
      <x:c r="O374" s="14" t="str">
        <x:f>IF(E374="","MISSING MAIN",IF(N374=1,"MAIN ONLY","MULTI-PHOTO"))</x:f>
        <x:v>MAIN ONLY</x:v>
      </x:c>
      <x:c r="P374" s="14" t="str">
        <x:v>0424_</x:v>
      </x:c>
      <x:c r="Q374" s="14" t="str">
        <x:v>https://mb1advancedsolutions.github.io/mb1-catalog/index.html?design=0424</x:v>
      </x:c>
      <x:c r="R374" s="14" t="str"/>
    </x:row>
    <x:row r="375">
      <x:c r="A375" s="13" t="str">
        <x:v>MB1-0425</x:v>
      </x:c>
      <x:c r="B375" s="13" t="str">
        <x:v>MB1-0425</x:v>
      </x:c>
      <x:c r="C375" s="14" t="str">
        <x:v>GARAGE 1</x:v>
      </x:c>
      <x:c r="D375" s="14" t="str">
        <x:v>garage and workshop</x:v>
      </x:c>
      <x:c r="E375" s="14" t="str">
        <x:v>https://res.cloudinary.com/oxygre42/image/upload/f_auto,q_auto,c_pad,b_white,w_1200,h_1200/v1788349470/0425_GARAGE_1.png</x:v>
      </x:c>
      <x:c r="F375" s="14" t="str"/>
      <x:c r="G375" s="14" t="str">
        <x:v>Lifestyle</x:v>
      </x:c>
      <x:c r="H375" s="14" t="str"/>
      <x:c r="I375" s="14" t="str">
        <x:v>Detail</x:v>
      </x:c>
      <x:c r="J375" s="14" t="str"/>
      <x:c r="K375" s="14" t="str">
        <x:v>Scale</x:v>
      </x:c>
      <x:c r="L375" s="14" t="str"/>
      <x:c r="M375" s="14" t="str">
        <x:v>Alternate</x:v>
      </x:c>
      <x:c r="N375" s="14" t="n">
        <x:f>IF(E375&lt;&gt;"",1,0)+IF(F375&lt;&gt;"",1,0)+IF(H375&lt;&gt;"",1,0)+IF(J375&lt;&gt;"",1,0)+IF(L375&lt;&gt;"",1,0)</x:f>
        <x:v>1</x:v>
      </x:c>
      <x:c r="O375" s="14" t="str">
        <x:f>IF(E375="","MISSING MAIN",IF(N375=1,"MAIN ONLY","MULTI-PHOTO"))</x:f>
        <x:v>MAIN ONLY</x:v>
      </x:c>
      <x:c r="P375" s="14" t="str">
        <x:v>0425_</x:v>
      </x:c>
      <x:c r="Q375" s="14" t="str">
        <x:v>https://mb1advancedsolutions.github.io/mb1-catalog/index.html?design=0425</x:v>
      </x:c>
      <x:c r="R375" s="14" t="str"/>
    </x:row>
    <x:row r="376">
      <x:c r="A376" s="13" t="str">
        <x:v>MB1-0426</x:v>
      </x:c>
      <x:c r="B376" s="13" t="str">
        <x:v>MB1-0426</x:v>
      </x:c>
      <x:c r="C376" s="14" t="str">
        <x:v>GARAGE 10</x:v>
      </x:c>
      <x:c r="D376" s="14" t="str">
        <x:v>garage and workshop</x:v>
      </x:c>
      <x:c r="E376" s="14" t="str">
        <x:v>https://res.cloudinary.com/oxygre42/image/upload/f_auto,q_auto,c_pad,b_white,w_1200,h_1200/v1788349472/0426_GARAGE_10.png</x:v>
      </x:c>
      <x:c r="F376" s="14" t="str"/>
      <x:c r="G376" s="14" t="str">
        <x:v>Lifestyle</x:v>
      </x:c>
      <x:c r="H376" s="14" t="str"/>
      <x:c r="I376" s="14" t="str">
        <x:v>Detail</x:v>
      </x:c>
      <x:c r="J376" s="14" t="str"/>
      <x:c r="K376" s="14" t="str">
        <x:v>Scale</x:v>
      </x:c>
      <x:c r="L376" s="14" t="str"/>
      <x:c r="M376" s="14" t="str">
        <x:v>Alternate</x:v>
      </x:c>
      <x:c r="N376" s="14" t="n">
        <x:f>IF(E376&lt;&gt;"",1,0)+IF(F376&lt;&gt;"",1,0)+IF(H376&lt;&gt;"",1,0)+IF(J376&lt;&gt;"",1,0)+IF(L376&lt;&gt;"",1,0)</x:f>
        <x:v>1</x:v>
      </x:c>
      <x:c r="O376" s="14" t="str">
        <x:f>IF(E376="","MISSING MAIN",IF(N376=1,"MAIN ONLY","MULTI-PHOTO"))</x:f>
        <x:v>MAIN ONLY</x:v>
      </x:c>
      <x:c r="P376" s="14" t="str">
        <x:v>0426_</x:v>
      </x:c>
      <x:c r="Q376" s="14" t="str">
        <x:v>https://mb1advancedsolutions.github.io/mb1-catalog/index.html?design=0426</x:v>
      </x:c>
      <x:c r="R376" s="14" t="str"/>
    </x:row>
    <x:row r="377">
      <x:c r="A377" s="13" t="str">
        <x:v>MB1-0427</x:v>
      </x:c>
      <x:c r="B377" s="13" t="str">
        <x:v>MB1-0427</x:v>
      </x:c>
      <x:c r="C377" s="14" t="str">
        <x:v>GARAGE 11</x:v>
      </x:c>
      <x:c r="D377" s="14" t="str">
        <x:v>garage and workshop</x:v>
      </x:c>
      <x:c r="E377" s="14" t="str">
        <x:v>https://res.cloudinary.com/oxygre42/image/upload/f_auto,q_auto,c_pad,b_white,w_1200,h_1200/v1788349474/0427_GARAGE_11.png</x:v>
      </x:c>
      <x:c r="F377" s="14" t="str"/>
      <x:c r="G377" s="14" t="str">
        <x:v>Lifestyle</x:v>
      </x:c>
      <x:c r="H377" s="14" t="str"/>
      <x:c r="I377" s="14" t="str">
        <x:v>Detail</x:v>
      </x:c>
      <x:c r="J377" s="14" t="str"/>
      <x:c r="K377" s="14" t="str">
        <x:v>Scale</x:v>
      </x:c>
      <x:c r="L377" s="14" t="str"/>
      <x:c r="M377" s="14" t="str">
        <x:v>Alternate</x:v>
      </x:c>
      <x:c r="N377" s="14" t="n">
        <x:f>IF(E377&lt;&gt;"",1,0)+IF(F377&lt;&gt;"",1,0)+IF(H377&lt;&gt;"",1,0)+IF(J377&lt;&gt;"",1,0)+IF(L377&lt;&gt;"",1,0)</x:f>
        <x:v>1</x:v>
      </x:c>
      <x:c r="O377" s="14" t="str">
        <x:f>IF(E377="","MISSING MAIN",IF(N377=1,"MAIN ONLY","MULTI-PHOTO"))</x:f>
        <x:v>MAIN ONLY</x:v>
      </x:c>
      <x:c r="P377" s="14" t="str">
        <x:v>0427_</x:v>
      </x:c>
      <x:c r="Q377" s="14" t="str">
        <x:v>https://mb1advancedsolutions.github.io/mb1-catalog/index.html?design=0427</x:v>
      </x:c>
      <x:c r="R377" s="14" t="str"/>
    </x:row>
    <x:row r="378">
      <x:c r="A378" s="13" t="str">
        <x:v>MB1-0428</x:v>
      </x:c>
      <x:c r="B378" s="13" t="str">
        <x:v>MB1-0428</x:v>
      </x:c>
      <x:c r="C378" s="14" t="str">
        <x:v>GARAGE 2</x:v>
      </x:c>
      <x:c r="D378" s="14" t="str">
        <x:v>garage and workshop</x:v>
      </x:c>
      <x:c r="E378" s="14" t="str">
        <x:v>https://res.cloudinary.com/oxygre42/image/upload/f_auto,q_auto,c_pad,b_white,w_1200,h_1200/v1788349476/0428_GARAGE_2.png</x:v>
      </x:c>
      <x:c r="F378" s="14" t="str"/>
      <x:c r="G378" s="14" t="str">
        <x:v>Lifestyle</x:v>
      </x:c>
      <x:c r="H378" s="14" t="str"/>
      <x:c r="I378" s="14" t="str">
        <x:v>Detail</x:v>
      </x:c>
      <x:c r="J378" s="14" t="str"/>
      <x:c r="K378" s="14" t="str">
        <x:v>Scale</x:v>
      </x:c>
      <x:c r="L378" s="14" t="str"/>
      <x:c r="M378" s="14" t="str">
        <x:v>Alternate</x:v>
      </x:c>
      <x:c r="N378" s="14" t="n">
        <x:f>IF(E378&lt;&gt;"",1,0)+IF(F378&lt;&gt;"",1,0)+IF(H378&lt;&gt;"",1,0)+IF(J378&lt;&gt;"",1,0)+IF(L378&lt;&gt;"",1,0)</x:f>
        <x:v>1</x:v>
      </x:c>
      <x:c r="O378" s="14" t="str">
        <x:f>IF(E378="","MISSING MAIN",IF(N378=1,"MAIN ONLY","MULTI-PHOTO"))</x:f>
        <x:v>MAIN ONLY</x:v>
      </x:c>
      <x:c r="P378" s="14" t="str">
        <x:v>0428_</x:v>
      </x:c>
      <x:c r="Q378" s="14" t="str">
        <x:v>https://mb1advancedsolutions.github.io/mb1-catalog/index.html?design=0428</x:v>
      </x:c>
      <x:c r="R378" s="14" t="str"/>
    </x:row>
    <x:row r="379">
      <x:c r="A379" s="13" t="str">
        <x:v>MB1-0429</x:v>
      </x:c>
      <x:c r="B379" s="13" t="str">
        <x:v>MB1-0429</x:v>
      </x:c>
      <x:c r="C379" s="14" t="str">
        <x:v>GARAGE 3</x:v>
      </x:c>
      <x:c r="D379" s="14" t="str">
        <x:v>garage and workshop</x:v>
      </x:c>
      <x:c r="E379" s="14" t="str">
        <x:v>https://res.cloudinary.com/oxygre42/image/upload/f_auto,q_auto,c_pad,b_white,w_1200,h_1200/v1788349478/0429_GARAGE_3.png</x:v>
      </x:c>
      <x:c r="F379" s="14" t="str"/>
      <x:c r="G379" s="14" t="str">
        <x:v>Lifestyle</x:v>
      </x:c>
      <x:c r="H379" s="14" t="str"/>
      <x:c r="I379" s="14" t="str">
        <x:v>Detail</x:v>
      </x:c>
      <x:c r="J379" s="14" t="str"/>
      <x:c r="K379" s="14" t="str">
        <x:v>Scale</x:v>
      </x:c>
      <x:c r="L379" s="14" t="str"/>
      <x:c r="M379" s="14" t="str">
        <x:v>Alternate</x:v>
      </x:c>
      <x:c r="N379" s="14" t="n">
        <x:f>IF(E379&lt;&gt;"",1,0)+IF(F379&lt;&gt;"",1,0)+IF(H379&lt;&gt;"",1,0)+IF(J379&lt;&gt;"",1,0)+IF(L379&lt;&gt;"",1,0)</x:f>
        <x:v>1</x:v>
      </x:c>
      <x:c r="O379" s="14" t="str">
        <x:f>IF(E379="","MISSING MAIN",IF(N379=1,"MAIN ONLY","MULTI-PHOTO"))</x:f>
        <x:v>MAIN ONLY</x:v>
      </x:c>
      <x:c r="P379" s="14" t="str">
        <x:v>0429_</x:v>
      </x:c>
      <x:c r="Q379" s="14" t="str">
        <x:v>https://mb1advancedsolutions.github.io/mb1-catalog/index.html?design=0429</x:v>
      </x:c>
      <x:c r="R379" s="14" t="str"/>
    </x:row>
    <x:row r="380">
      <x:c r="A380" s="13" t="str">
        <x:v>MB1-0430</x:v>
      </x:c>
      <x:c r="B380" s="13" t="str">
        <x:v>MB1-0430</x:v>
      </x:c>
      <x:c r="C380" s="14" t="str">
        <x:v>GARAGE 4</x:v>
      </x:c>
      <x:c r="D380" s="14" t="str">
        <x:v>garage and workshop</x:v>
      </x:c>
      <x:c r="E380" s="14" t="str">
        <x:v>https://res.cloudinary.com/oxygre42/image/upload/f_auto,q_auto,c_pad,b_white,w_1200,h_1200/v1788349480/0430_GARAGE_4.png</x:v>
      </x:c>
      <x:c r="F380" s="14" t="str"/>
      <x:c r="G380" s="14" t="str">
        <x:v>Lifestyle</x:v>
      </x:c>
      <x:c r="H380" s="14" t="str"/>
      <x:c r="I380" s="14" t="str">
        <x:v>Detail</x:v>
      </x:c>
      <x:c r="J380" s="14" t="str"/>
      <x:c r="K380" s="14" t="str">
        <x:v>Scale</x:v>
      </x:c>
      <x:c r="L380" s="14" t="str"/>
      <x:c r="M380" s="14" t="str">
        <x:v>Alternate</x:v>
      </x:c>
      <x:c r="N380" s="14" t="n">
        <x:f>IF(E380&lt;&gt;"",1,0)+IF(F380&lt;&gt;"",1,0)+IF(H380&lt;&gt;"",1,0)+IF(J380&lt;&gt;"",1,0)+IF(L380&lt;&gt;"",1,0)</x:f>
        <x:v>1</x:v>
      </x:c>
      <x:c r="O380" s="14" t="str">
        <x:f>IF(E380="","MISSING MAIN",IF(N380=1,"MAIN ONLY","MULTI-PHOTO"))</x:f>
        <x:v>MAIN ONLY</x:v>
      </x:c>
      <x:c r="P380" s="14" t="str">
        <x:v>0430_</x:v>
      </x:c>
      <x:c r="Q380" s="14" t="str">
        <x:v>https://mb1advancedsolutions.github.io/mb1-catalog/index.html?design=0430</x:v>
      </x:c>
      <x:c r="R380" s="14" t="str"/>
    </x:row>
    <x:row r="381">
      <x:c r="A381" s="13" t="str">
        <x:v>MB1-0431</x:v>
      </x:c>
      <x:c r="B381" s="13" t="str">
        <x:v>MB1-0431</x:v>
      </x:c>
      <x:c r="C381" s="14" t="str">
        <x:v>GARAGE 5</x:v>
      </x:c>
      <x:c r="D381" s="14" t="str">
        <x:v>garage and workshop</x:v>
      </x:c>
      <x:c r="E381" s="14" t="str">
        <x:v>https://res.cloudinary.com/oxygre42/image/upload/f_auto,q_auto,c_pad,b_white,w_1200,h_1200/v1788349481/0431_GARAGE_5.png</x:v>
      </x:c>
      <x:c r="F381" s="14" t="str"/>
      <x:c r="G381" s="14" t="str">
        <x:v>Lifestyle</x:v>
      </x:c>
      <x:c r="H381" s="14" t="str"/>
      <x:c r="I381" s="14" t="str">
        <x:v>Detail</x:v>
      </x:c>
      <x:c r="J381" s="14" t="str"/>
      <x:c r="K381" s="14" t="str">
        <x:v>Scale</x:v>
      </x:c>
      <x:c r="L381" s="14" t="str"/>
      <x:c r="M381" s="14" t="str">
        <x:v>Alternate</x:v>
      </x:c>
      <x:c r="N381" s="14" t="n">
        <x:f>IF(E381&lt;&gt;"",1,0)+IF(F381&lt;&gt;"",1,0)+IF(H381&lt;&gt;"",1,0)+IF(J381&lt;&gt;"",1,0)+IF(L381&lt;&gt;"",1,0)</x:f>
        <x:v>1</x:v>
      </x:c>
      <x:c r="O381" s="14" t="str">
        <x:f>IF(E381="","MISSING MAIN",IF(N381=1,"MAIN ONLY","MULTI-PHOTO"))</x:f>
        <x:v>MAIN ONLY</x:v>
      </x:c>
      <x:c r="P381" s="14" t="str">
        <x:v>0431_</x:v>
      </x:c>
      <x:c r="Q381" s="14" t="str">
        <x:v>https://mb1advancedsolutions.github.io/mb1-catalog/index.html?design=0431</x:v>
      </x:c>
      <x:c r="R381" s="14" t="str"/>
    </x:row>
    <x:row r="382">
      <x:c r="A382" s="13" t="str">
        <x:v>MB1-0432</x:v>
      </x:c>
      <x:c r="B382" s="13" t="str">
        <x:v>MB1-0432</x:v>
      </x:c>
      <x:c r="C382" s="14" t="str">
        <x:v>GARAGE 6</x:v>
      </x:c>
      <x:c r="D382" s="14" t="str">
        <x:v>garage and workshop</x:v>
      </x:c>
      <x:c r="E382" s="14" t="str">
        <x:v>https://res.cloudinary.com/oxygre42/image/upload/f_auto,q_auto,c_pad,b_white,w_1200,h_1200/v1788349483/0432_GARAGE_6.png</x:v>
      </x:c>
      <x:c r="F382" s="14" t="str"/>
      <x:c r="G382" s="14" t="str">
        <x:v>Lifestyle</x:v>
      </x:c>
      <x:c r="H382" s="14" t="str"/>
      <x:c r="I382" s="14" t="str">
        <x:v>Detail</x:v>
      </x:c>
      <x:c r="J382" s="14" t="str"/>
      <x:c r="K382" s="14" t="str">
        <x:v>Scale</x:v>
      </x:c>
      <x:c r="L382" s="14" t="str"/>
      <x:c r="M382" s="14" t="str">
        <x:v>Alternate</x:v>
      </x:c>
      <x:c r="N382" s="14" t="n">
        <x:f>IF(E382&lt;&gt;"",1,0)+IF(F382&lt;&gt;"",1,0)+IF(H382&lt;&gt;"",1,0)+IF(J382&lt;&gt;"",1,0)+IF(L382&lt;&gt;"",1,0)</x:f>
        <x:v>1</x:v>
      </x:c>
      <x:c r="O382" s="14" t="str">
        <x:f>IF(E382="","MISSING MAIN",IF(N382=1,"MAIN ONLY","MULTI-PHOTO"))</x:f>
        <x:v>MAIN ONLY</x:v>
      </x:c>
      <x:c r="P382" s="14" t="str">
        <x:v>0432_</x:v>
      </x:c>
      <x:c r="Q382" s="14" t="str">
        <x:v>https://mb1advancedsolutions.github.io/mb1-catalog/index.html?design=0432</x:v>
      </x:c>
      <x:c r="R382" s="14" t="str"/>
    </x:row>
    <x:row r="383">
      <x:c r="A383" s="13" t="str">
        <x:v>MB1-0433</x:v>
      </x:c>
      <x:c r="B383" s="13" t="str">
        <x:v>MB1-0433</x:v>
      </x:c>
      <x:c r="C383" s="14" t="str">
        <x:v>GARAGE 7</x:v>
      </x:c>
      <x:c r="D383" s="14" t="str">
        <x:v>garage and workshop</x:v>
      </x:c>
      <x:c r="E383" s="14" t="str">
        <x:v>https://res.cloudinary.com/oxygre42/image/upload/f_auto,q_auto,c_pad,b_white,w_1200,h_1200/v1788349485/0433_GARAGE_7.png</x:v>
      </x:c>
      <x:c r="F383" s="14" t="str"/>
      <x:c r="G383" s="14" t="str">
        <x:v>Lifestyle</x:v>
      </x:c>
      <x:c r="H383" s="14" t="str"/>
      <x:c r="I383" s="14" t="str">
        <x:v>Detail</x:v>
      </x:c>
      <x:c r="J383" s="14" t="str"/>
      <x:c r="K383" s="14" t="str">
        <x:v>Scale</x:v>
      </x:c>
      <x:c r="L383" s="14" t="str"/>
      <x:c r="M383" s="14" t="str">
        <x:v>Alternate</x:v>
      </x:c>
      <x:c r="N383" s="14" t="n">
        <x:f>IF(E383&lt;&gt;"",1,0)+IF(F383&lt;&gt;"",1,0)+IF(H383&lt;&gt;"",1,0)+IF(J383&lt;&gt;"",1,0)+IF(L383&lt;&gt;"",1,0)</x:f>
        <x:v>1</x:v>
      </x:c>
      <x:c r="O383" s="14" t="str">
        <x:f>IF(E383="","MISSING MAIN",IF(N383=1,"MAIN ONLY","MULTI-PHOTO"))</x:f>
        <x:v>MAIN ONLY</x:v>
      </x:c>
      <x:c r="P383" s="14" t="str">
        <x:v>0433_</x:v>
      </x:c>
      <x:c r="Q383" s="14" t="str">
        <x:v>https://mb1advancedsolutions.github.io/mb1-catalog/index.html?design=0433</x:v>
      </x:c>
      <x:c r="R383" s="14" t="str"/>
    </x:row>
    <x:row r="384">
      <x:c r="A384" s="13" t="str">
        <x:v>MB1-0434</x:v>
      </x:c>
      <x:c r="B384" s="13" t="str">
        <x:v>MB1-0434</x:v>
      </x:c>
      <x:c r="C384" s="14" t="str">
        <x:v>GARAGE 8 </x:v>
      </x:c>
      <x:c r="D384" s="14" t="str">
        <x:v>garage and workshop</x:v>
      </x:c>
      <x:c r="E384" s="14" t="str">
        <x:v>https://res.cloudinary.com/oxygre42/image/upload/f_auto,q_auto,c_pad,b_white,w_1200,h_1200/v1788349487/0434_GARAGE_8.png</x:v>
      </x:c>
      <x:c r="F384" s="14" t="str"/>
      <x:c r="G384" s="14" t="str">
        <x:v>Lifestyle</x:v>
      </x:c>
      <x:c r="H384" s="14" t="str"/>
      <x:c r="I384" s="14" t="str">
        <x:v>Detail</x:v>
      </x:c>
      <x:c r="J384" s="14" t="str"/>
      <x:c r="K384" s="14" t="str">
        <x:v>Scale</x:v>
      </x:c>
      <x:c r="L384" s="14" t="str"/>
      <x:c r="M384" s="14" t="str">
        <x:v>Alternate</x:v>
      </x:c>
      <x:c r="N384" s="14" t="n">
        <x:f>IF(E384&lt;&gt;"",1,0)+IF(F384&lt;&gt;"",1,0)+IF(H384&lt;&gt;"",1,0)+IF(J384&lt;&gt;"",1,0)+IF(L384&lt;&gt;"",1,0)</x:f>
        <x:v>1</x:v>
      </x:c>
      <x:c r="O384" s="14" t="str">
        <x:f>IF(E384="","MISSING MAIN",IF(N384=1,"MAIN ONLY","MULTI-PHOTO"))</x:f>
        <x:v>MAIN ONLY</x:v>
      </x:c>
      <x:c r="P384" s="14" t="str">
        <x:v>0434_</x:v>
      </x:c>
      <x:c r="Q384" s="14" t="str">
        <x:v>https://mb1advancedsolutions.github.io/mb1-catalog/index.html?design=0434</x:v>
      </x:c>
      <x:c r="R384" s="14" t="str"/>
    </x:row>
    <x:row r="385">
      <x:c r="A385" s="13" t="str">
        <x:v>MB1-0435</x:v>
      </x:c>
      <x:c r="B385" s="13" t="str">
        <x:v>MB1-0435</x:v>
      </x:c>
      <x:c r="C385" s="14" t="str">
        <x:v>GARAGE 9</x:v>
      </x:c>
      <x:c r="D385" s="14" t="str">
        <x:v>garage and workshop</x:v>
      </x:c>
      <x:c r="E385" s="14" t="str">
        <x:v>https://res.cloudinary.com/oxygre42/image/upload/f_auto,q_auto,c_pad,b_white,w_1200,h_1200/v1788349489/0435_GARAGE_9.png</x:v>
      </x:c>
      <x:c r="F385" s="14" t="str"/>
      <x:c r="G385" s="14" t="str">
        <x:v>Lifestyle</x:v>
      </x:c>
      <x:c r="H385" s="14" t="str"/>
      <x:c r="I385" s="14" t="str">
        <x:v>Detail</x:v>
      </x:c>
      <x:c r="J385" s="14" t="str"/>
      <x:c r="K385" s="14" t="str">
        <x:v>Scale</x:v>
      </x:c>
      <x:c r="L385" s="14" t="str"/>
      <x:c r="M385" s="14" t="str">
        <x:v>Alternate</x:v>
      </x:c>
      <x:c r="N385" s="14" t="n">
        <x:f>IF(E385&lt;&gt;"",1,0)+IF(F385&lt;&gt;"",1,0)+IF(H385&lt;&gt;"",1,0)+IF(J385&lt;&gt;"",1,0)+IF(L385&lt;&gt;"",1,0)</x:f>
        <x:v>1</x:v>
      </x:c>
      <x:c r="O385" s="14" t="str">
        <x:f>IF(E385="","MISSING MAIN",IF(N385=1,"MAIN ONLY","MULTI-PHOTO"))</x:f>
        <x:v>MAIN ONLY</x:v>
      </x:c>
      <x:c r="P385" s="14" t="str">
        <x:v>0435_</x:v>
      </x:c>
      <x:c r="Q385" s="14" t="str">
        <x:v>https://mb1advancedsolutions.github.io/mb1-catalog/index.html?design=0435</x:v>
      </x:c>
      <x:c r="R385" s="14" t="str"/>
    </x:row>
    <x:row r="386">
      <x:c r="A386" s="13" t="str">
        <x:v>MB1-0436</x:v>
      </x:c>
      <x:c r="B386" s="13" t="str">
        <x:v>MB1-0436</x:v>
      </x:c>
      <x:c r="C386" s="14" t="str">
        <x:v>GNOME 01</x:v>
      </x:c>
      <x:c r="D386" s="14" t="str">
        <x:v>home decor and inspirational</x:v>
      </x:c>
      <x:c r="E386" s="14" t="str">
        <x:v>https://res.cloudinary.com/oxygre42/image/upload/f_auto,q_auto,c_pad,b_white,w_1200,h_1200/v1788349491/0436_GNOME_01.png</x:v>
      </x:c>
      <x:c r="F386" s="14" t="str"/>
      <x:c r="G386" s="14" t="str">
        <x:v>Lifestyle</x:v>
      </x:c>
      <x:c r="H386" s="14" t="str"/>
      <x:c r="I386" s="14" t="str">
        <x:v>Detail</x:v>
      </x:c>
      <x:c r="J386" s="14" t="str"/>
      <x:c r="K386" s="14" t="str">
        <x:v>Scale</x:v>
      </x:c>
      <x:c r="L386" s="14" t="str"/>
      <x:c r="M386" s="14" t="str">
        <x:v>Alternate</x:v>
      </x:c>
      <x:c r="N386" s="14" t="n">
        <x:f>IF(E386&lt;&gt;"",1,0)+IF(F386&lt;&gt;"",1,0)+IF(H386&lt;&gt;"",1,0)+IF(J386&lt;&gt;"",1,0)+IF(L386&lt;&gt;"",1,0)</x:f>
        <x:v>1</x:v>
      </x:c>
      <x:c r="O386" s="14" t="str">
        <x:f>IF(E386="","MISSING MAIN",IF(N386=1,"MAIN ONLY","MULTI-PHOTO"))</x:f>
        <x:v>MAIN ONLY</x:v>
      </x:c>
      <x:c r="P386" s="14" t="str">
        <x:v>0436_</x:v>
      </x:c>
      <x:c r="Q386" s="14" t="str">
        <x:v>https://mb1advancedsolutions.github.io/mb1-catalog/index.html?design=0436</x:v>
      </x:c>
      <x:c r="R386" s="14" t="str"/>
    </x:row>
    <x:row r="387">
      <x:c r="A387" s="13" t="str">
        <x:v>MB1-0437</x:v>
      </x:c>
      <x:c r="B387" s="13" t="str">
        <x:v>MB1-0437</x:v>
      </x:c>
      <x:c r="C387" s="14" t="str">
        <x:v>GNOME 02</x:v>
      </x:c>
      <x:c r="D387" s="14" t="str">
        <x:v>home decor and inspirational</x:v>
      </x:c>
      <x:c r="E387" s="14" t="str">
        <x:v>https://res.cloudinary.com/oxygre42/image/upload/f_auto,q_auto,c_pad,b_white,w_1200,h_1200/v1788349493/0437_GNOME_02.png</x:v>
      </x:c>
      <x:c r="F387" s="14" t="str"/>
      <x:c r="G387" s="14" t="str">
        <x:v>Lifestyle</x:v>
      </x:c>
      <x:c r="H387" s="14" t="str"/>
      <x:c r="I387" s="14" t="str">
        <x:v>Detail</x:v>
      </x:c>
      <x:c r="J387" s="14" t="str"/>
      <x:c r="K387" s="14" t="str">
        <x:v>Scale</x:v>
      </x:c>
      <x:c r="L387" s="14" t="str"/>
      <x:c r="M387" s="14" t="str">
        <x:v>Alternate</x:v>
      </x:c>
      <x:c r="N387" s="14" t="n">
        <x:f>IF(E387&lt;&gt;"",1,0)+IF(F387&lt;&gt;"",1,0)+IF(H387&lt;&gt;"",1,0)+IF(J387&lt;&gt;"",1,0)+IF(L387&lt;&gt;"",1,0)</x:f>
        <x:v>1</x:v>
      </x:c>
      <x:c r="O387" s="14" t="str">
        <x:f>IF(E387="","MISSING MAIN",IF(N387=1,"MAIN ONLY","MULTI-PHOTO"))</x:f>
        <x:v>MAIN ONLY</x:v>
      </x:c>
      <x:c r="P387" s="14" t="str">
        <x:v>0437_</x:v>
      </x:c>
      <x:c r="Q387" s="14" t="str">
        <x:v>https://mb1advancedsolutions.github.io/mb1-catalog/index.html?design=0437</x:v>
      </x:c>
      <x:c r="R387" s="14" t="str"/>
    </x:row>
    <x:row r="388">
      <x:c r="A388" s="13" t="str">
        <x:v>MB1-0438</x:v>
      </x:c>
      <x:c r="B388" s="13" t="str">
        <x:v>MB1-0438</x:v>
      </x:c>
      <x:c r="C388" s="14" t="str">
        <x:v>GNOME 03</x:v>
      </x:c>
      <x:c r="D388" s="14" t="str">
        <x:v>home decor and inspirational</x:v>
      </x:c>
      <x:c r="E388" s="14" t="str">
        <x:v>https://res.cloudinary.com/oxygre42/image/upload/f_auto,q_auto,c_pad,b_white,w_1200,h_1200/v1788349495/0438_GNOME_03.png</x:v>
      </x:c>
      <x:c r="F388" s="14" t="str"/>
      <x:c r="G388" s="14" t="str">
        <x:v>Lifestyle</x:v>
      </x:c>
      <x:c r="H388" s="14" t="str"/>
      <x:c r="I388" s="14" t="str">
        <x:v>Detail</x:v>
      </x:c>
      <x:c r="J388" s="14" t="str"/>
      <x:c r="K388" s="14" t="str">
        <x:v>Scale</x:v>
      </x:c>
      <x:c r="L388" s="14" t="str"/>
      <x:c r="M388" s="14" t="str">
        <x:v>Alternate</x:v>
      </x:c>
      <x:c r="N388" s="14" t="n">
        <x:f>IF(E388&lt;&gt;"",1,0)+IF(F388&lt;&gt;"",1,0)+IF(H388&lt;&gt;"",1,0)+IF(J388&lt;&gt;"",1,0)+IF(L388&lt;&gt;"",1,0)</x:f>
        <x:v>1</x:v>
      </x:c>
      <x:c r="O388" s="14" t="str">
        <x:f>IF(E388="","MISSING MAIN",IF(N388=1,"MAIN ONLY","MULTI-PHOTO"))</x:f>
        <x:v>MAIN ONLY</x:v>
      </x:c>
      <x:c r="P388" s="14" t="str">
        <x:v>0438_</x:v>
      </x:c>
      <x:c r="Q388" s="14" t="str">
        <x:v>https://mb1advancedsolutions.github.io/mb1-catalog/index.html?design=0438</x:v>
      </x:c>
      <x:c r="R388" s="14" t="str"/>
    </x:row>
    <x:row r="389">
      <x:c r="A389" s="13" t="str">
        <x:v>MB1-0439</x:v>
      </x:c>
      <x:c r="B389" s="13" t="str">
        <x:v>MB1-0439</x:v>
      </x:c>
      <x:c r="C389" s="14" t="str">
        <x:v>GNOME 04</x:v>
      </x:c>
      <x:c r="D389" s="14" t="str">
        <x:v>home decor and inspirational</x:v>
      </x:c>
      <x:c r="E389" s="14" t="str">
        <x:v>https://res.cloudinary.com/oxygre42/image/upload/f_auto,q_auto,c_pad,b_white,w_1200,h_1200/v1788349496/0439_GNOME_04.png</x:v>
      </x:c>
      <x:c r="F389" s="14" t="str"/>
      <x:c r="G389" s="14" t="str">
        <x:v>Lifestyle</x:v>
      </x:c>
      <x:c r="H389" s="14" t="str"/>
      <x:c r="I389" s="14" t="str">
        <x:v>Detail</x:v>
      </x:c>
      <x:c r="J389" s="14" t="str"/>
      <x:c r="K389" s="14" t="str">
        <x:v>Scale</x:v>
      </x:c>
      <x:c r="L389" s="14" t="str"/>
      <x:c r="M389" s="14" t="str">
        <x:v>Alternate</x:v>
      </x:c>
      <x:c r="N389" s="14" t="n">
        <x:f>IF(E389&lt;&gt;"",1,0)+IF(F389&lt;&gt;"",1,0)+IF(H389&lt;&gt;"",1,0)+IF(J389&lt;&gt;"",1,0)+IF(L389&lt;&gt;"",1,0)</x:f>
        <x:v>1</x:v>
      </x:c>
      <x:c r="O389" s="14" t="str">
        <x:f>IF(E389="","MISSING MAIN",IF(N389=1,"MAIN ONLY","MULTI-PHOTO"))</x:f>
        <x:v>MAIN ONLY</x:v>
      </x:c>
      <x:c r="P389" s="14" t="str">
        <x:v>0439_</x:v>
      </x:c>
      <x:c r="Q389" s="14" t="str">
        <x:v>https://mb1advancedsolutions.github.io/mb1-catalog/index.html?design=0439</x:v>
      </x:c>
      <x:c r="R389" s="14" t="str"/>
    </x:row>
    <x:row r="390">
      <x:c r="A390" s="13" t="str">
        <x:v>MB1-0440</x:v>
      </x:c>
      <x:c r="B390" s="13" t="str">
        <x:v>MB1-0440</x:v>
      </x:c>
      <x:c r="C390" s="14" t="str">
        <x:v>GNOME 05</x:v>
      </x:c>
      <x:c r="D390" s="14" t="str">
        <x:v>home decor and inspirational</x:v>
      </x:c>
      <x:c r="E390" s="14" t="str">
        <x:v>https://res.cloudinary.com/oxygre42/image/upload/f_auto,q_auto,c_pad,b_white,w_1200,h_1200/v1788349498/0440_GNOME_05.png</x:v>
      </x:c>
      <x:c r="F390" s="14" t="str"/>
      <x:c r="G390" s="14" t="str">
        <x:v>Lifestyle</x:v>
      </x:c>
      <x:c r="H390" s="14" t="str"/>
      <x:c r="I390" s="14" t="str">
        <x:v>Detail</x:v>
      </x:c>
      <x:c r="J390" s="14" t="str"/>
      <x:c r="K390" s="14" t="str">
        <x:v>Scale</x:v>
      </x:c>
      <x:c r="L390" s="14" t="str"/>
      <x:c r="M390" s="14" t="str">
        <x:v>Alternate</x:v>
      </x:c>
      <x:c r="N390" s="14" t="n">
        <x:f>IF(E390&lt;&gt;"",1,0)+IF(F390&lt;&gt;"",1,0)+IF(H390&lt;&gt;"",1,0)+IF(J390&lt;&gt;"",1,0)+IF(L390&lt;&gt;"",1,0)</x:f>
        <x:v>1</x:v>
      </x:c>
      <x:c r="O390" s="14" t="str">
        <x:f>IF(E390="","MISSING MAIN",IF(N390=1,"MAIN ONLY","MULTI-PHOTO"))</x:f>
        <x:v>MAIN ONLY</x:v>
      </x:c>
      <x:c r="P390" s="14" t="str">
        <x:v>0440_</x:v>
      </x:c>
      <x:c r="Q390" s="14" t="str">
        <x:v>https://mb1advancedsolutions.github.io/mb1-catalog/index.html?design=0440</x:v>
      </x:c>
      <x:c r="R390" s="14" t="str"/>
    </x:row>
    <x:row r="391">
      <x:c r="A391" s="13" t="str">
        <x:v>MB1-0441</x:v>
      </x:c>
      <x:c r="B391" s="13" t="str">
        <x:v>MB1-0441</x:v>
      </x:c>
      <x:c r="C391" s="14" t="str">
        <x:v>GNOME 06</x:v>
      </x:c>
      <x:c r="D391" s="14" t="str">
        <x:v>home decor and inspirational</x:v>
      </x:c>
      <x:c r="E391" s="14" t="str">
        <x:v>https://res.cloudinary.com/oxygre42/image/upload/f_auto,q_auto,c_pad,b_white,w_1200,h_1200/v1788349500/0441_GNOME_06.png</x:v>
      </x:c>
      <x:c r="F391" s="14" t="str"/>
      <x:c r="G391" s="14" t="str">
        <x:v>Lifestyle</x:v>
      </x:c>
      <x:c r="H391" s="14" t="str"/>
      <x:c r="I391" s="14" t="str">
        <x:v>Detail</x:v>
      </x:c>
      <x:c r="J391" s="14" t="str"/>
      <x:c r="K391" s="14" t="str">
        <x:v>Scale</x:v>
      </x:c>
      <x:c r="L391" s="14" t="str"/>
      <x:c r="M391" s="14" t="str">
        <x:v>Alternate</x:v>
      </x:c>
      <x:c r="N391" s="14" t="n">
        <x:f>IF(E391&lt;&gt;"",1,0)+IF(F391&lt;&gt;"",1,0)+IF(H391&lt;&gt;"",1,0)+IF(J391&lt;&gt;"",1,0)+IF(L391&lt;&gt;"",1,0)</x:f>
        <x:v>1</x:v>
      </x:c>
      <x:c r="O391" s="14" t="str">
        <x:f>IF(E391="","MISSING MAIN",IF(N391=1,"MAIN ONLY","MULTI-PHOTO"))</x:f>
        <x:v>MAIN ONLY</x:v>
      </x:c>
      <x:c r="P391" s="14" t="str">
        <x:v>0441_</x:v>
      </x:c>
      <x:c r="Q391" s="14" t="str">
        <x:v>https://mb1advancedsolutions.github.io/mb1-catalog/index.html?design=0441</x:v>
      </x:c>
      <x:c r="R391" s="14" t="str"/>
    </x:row>
    <x:row r="392">
      <x:c r="A392" s="13" t="str">
        <x:v>MB1-0442</x:v>
      </x:c>
      <x:c r="B392" s="13" t="str">
        <x:v>MB1-0442</x:v>
      </x:c>
      <x:c r="C392" s="14" t="str">
        <x:v>GNOME 07</x:v>
      </x:c>
      <x:c r="D392" s="14" t="str">
        <x:v>home decor and inspirational</x:v>
      </x:c>
      <x:c r="E392" s="14" t="str">
        <x:v>https://res.cloudinary.com/oxygre42/image/upload/f_auto,q_auto,c_pad,b_white,w_1200,h_1200/v1788349502/0442_GNOME_07.png</x:v>
      </x:c>
      <x:c r="F392" s="14" t="str"/>
      <x:c r="G392" s="14" t="str">
        <x:v>Lifestyle</x:v>
      </x:c>
      <x:c r="H392" s="14" t="str"/>
      <x:c r="I392" s="14" t="str">
        <x:v>Detail</x:v>
      </x:c>
      <x:c r="J392" s="14" t="str"/>
      <x:c r="K392" s="14" t="str">
        <x:v>Scale</x:v>
      </x:c>
      <x:c r="L392" s="14" t="str"/>
      <x:c r="M392" s="14" t="str">
        <x:v>Alternate</x:v>
      </x:c>
      <x:c r="N392" s="14" t="n">
        <x:f>IF(E392&lt;&gt;"",1,0)+IF(F392&lt;&gt;"",1,0)+IF(H392&lt;&gt;"",1,0)+IF(J392&lt;&gt;"",1,0)+IF(L392&lt;&gt;"",1,0)</x:f>
        <x:v>1</x:v>
      </x:c>
      <x:c r="O392" s="14" t="str">
        <x:f>IF(E392="","MISSING MAIN",IF(N392=1,"MAIN ONLY","MULTI-PHOTO"))</x:f>
        <x:v>MAIN ONLY</x:v>
      </x:c>
      <x:c r="P392" s="14" t="str">
        <x:v>0442_</x:v>
      </x:c>
      <x:c r="Q392" s="14" t="str">
        <x:v>https://mb1advancedsolutions.github.io/mb1-catalog/index.html?design=0442</x:v>
      </x:c>
      <x:c r="R392" s="14" t="str"/>
    </x:row>
    <x:row r="393">
      <x:c r="A393" s="13" t="str">
        <x:v>MB1-0443</x:v>
      </x:c>
      <x:c r="B393" s="13" t="str">
        <x:v>MB1-0443</x:v>
      </x:c>
      <x:c r="C393" s="14" t="str">
        <x:v>GNOME 08</x:v>
      </x:c>
      <x:c r="D393" s="14" t="str">
        <x:v>home decor and inspirational</x:v>
      </x:c>
      <x:c r="E393" s="14" t="str">
        <x:v>https://res.cloudinary.com/oxygre42/image/upload/f_auto,q_auto,c_pad,b_white,w_1200,h_1200/v1788349504/0443_GNOME_08.png</x:v>
      </x:c>
      <x:c r="F393" s="14" t="str"/>
      <x:c r="G393" s="14" t="str">
        <x:v>Lifestyle</x:v>
      </x:c>
      <x:c r="H393" s="14" t="str"/>
      <x:c r="I393" s="14" t="str">
        <x:v>Detail</x:v>
      </x:c>
      <x:c r="J393" s="14" t="str"/>
      <x:c r="K393" s="14" t="str">
        <x:v>Scale</x:v>
      </x:c>
      <x:c r="L393" s="14" t="str"/>
      <x:c r="M393" s="14" t="str">
        <x:v>Alternate</x:v>
      </x:c>
      <x:c r="N393" s="14" t="n">
        <x:f>IF(E393&lt;&gt;"",1,0)+IF(F393&lt;&gt;"",1,0)+IF(H393&lt;&gt;"",1,0)+IF(J393&lt;&gt;"",1,0)+IF(L393&lt;&gt;"",1,0)</x:f>
        <x:v>1</x:v>
      </x:c>
      <x:c r="O393" s="14" t="str">
        <x:f>IF(E393="","MISSING MAIN",IF(N393=1,"MAIN ONLY","MULTI-PHOTO"))</x:f>
        <x:v>MAIN ONLY</x:v>
      </x:c>
      <x:c r="P393" s="14" t="str">
        <x:v>0443_</x:v>
      </x:c>
      <x:c r="Q393" s="14" t="str">
        <x:v>https://mb1advancedsolutions.github.io/mb1-catalog/index.html?design=0443</x:v>
      </x:c>
      <x:c r="R393" s="14" t="str"/>
    </x:row>
    <x:row r="394">
      <x:c r="A394" s="13" t="str">
        <x:v>MB1-0444</x:v>
      </x:c>
      <x:c r="B394" s="13" t="str">
        <x:v>MB1-0444</x:v>
      </x:c>
      <x:c r="C394" s="14" t="str">
        <x:v>GNOME 09</x:v>
      </x:c>
      <x:c r="D394" s="14" t="str">
        <x:v>home decor and inspirational</x:v>
      </x:c>
      <x:c r="E394" s="14" t="str">
        <x:v>https://res.cloudinary.com/oxygre42/image/upload/f_auto,q_auto,c_pad,b_white,w_1200,h_1200/v1788349506/0444_GNOME_09.png</x:v>
      </x:c>
      <x:c r="F394" s="14" t="str"/>
      <x:c r="G394" s="14" t="str">
        <x:v>Lifestyle</x:v>
      </x:c>
      <x:c r="H394" s="14" t="str"/>
      <x:c r="I394" s="14" t="str">
        <x:v>Detail</x:v>
      </x:c>
      <x:c r="J394" s="14" t="str"/>
      <x:c r="K394" s="14" t="str">
        <x:v>Scale</x:v>
      </x:c>
      <x:c r="L394" s="14" t="str"/>
      <x:c r="M394" s="14" t="str">
        <x:v>Alternate</x:v>
      </x:c>
      <x:c r="N394" s="14" t="n">
        <x:f>IF(E394&lt;&gt;"",1,0)+IF(F394&lt;&gt;"",1,0)+IF(H394&lt;&gt;"",1,0)+IF(J394&lt;&gt;"",1,0)+IF(L394&lt;&gt;"",1,0)</x:f>
        <x:v>1</x:v>
      </x:c>
      <x:c r="O394" s="14" t="str">
        <x:f>IF(E394="","MISSING MAIN",IF(N394=1,"MAIN ONLY","MULTI-PHOTO"))</x:f>
        <x:v>MAIN ONLY</x:v>
      </x:c>
      <x:c r="P394" s="14" t="str">
        <x:v>0444_</x:v>
      </x:c>
      <x:c r="Q394" s="14" t="str">
        <x:v>https://mb1advancedsolutions.github.io/mb1-catalog/index.html?design=0444</x:v>
      </x:c>
      <x:c r="R394" s="14" t="str"/>
    </x:row>
    <x:row r="395">
      <x:c r="A395" s="13" t="str">
        <x:v>MB1-0445</x:v>
      </x:c>
      <x:c r="B395" s="13" t="str">
        <x:v>MB1-0445</x:v>
      </x:c>
      <x:c r="C395" s="14" t="str">
        <x:v>GNOME 10</x:v>
      </x:c>
      <x:c r="D395" s="14" t="str">
        <x:v>home decor and inspirational</x:v>
      </x:c>
      <x:c r="E395" s="14" t="str">
        <x:v>https://res.cloudinary.com/oxygre42/image/upload/f_auto,q_auto,c_pad,b_white,w_1200,h_1200/v1788349508/0445_GNOME_10.png</x:v>
      </x:c>
      <x:c r="F395" s="14" t="str"/>
      <x:c r="G395" s="14" t="str">
        <x:v>Lifestyle</x:v>
      </x:c>
      <x:c r="H395" s="14" t="str"/>
      <x:c r="I395" s="14" t="str">
        <x:v>Detail</x:v>
      </x:c>
      <x:c r="J395" s="14" t="str"/>
      <x:c r="K395" s="14" t="str">
        <x:v>Scale</x:v>
      </x:c>
      <x:c r="L395" s="14" t="str"/>
      <x:c r="M395" s="14" t="str">
        <x:v>Alternate</x:v>
      </x:c>
      <x:c r="N395" s="14" t="n">
        <x:f>IF(E395&lt;&gt;"",1,0)+IF(F395&lt;&gt;"",1,0)+IF(H395&lt;&gt;"",1,0)+IF(J395&lt;&gt;"",1,0)+IF(L395&lt;&gt;"",1,0)</x:f>
        <x:v>1</x:v>
      </x:c>
      <x:c r="O395" s="14" t="str">
        <x:f>IF(E395="","MISSING MAIN",IF(N395=1,"MAIN ONLY","MULTI-PHOTO"))</x:f>
        <x:v>MAIN ONLY</x:v>
      </x:c>
      <x:c r="P395" s="14" t="str">
        <x:v>0445_</x:v>
      </x:c>
      <x:c r="Q395" s="14" t="str">
        <x:v>https://mb1advancedsolutions.github.io/mb1-catalog/index.html?design=0445</x:v>
      </x:c>
      <x:c r="R395" s="14" t="str"/>
    </x:row>
    <x:row r="396">
      <x:c r="A396" s="13" t="str">
        <x:v>MB1-0446</x:v>
      </x:c>
      <x:c r="B396" s="13" t="str">
        <x:v>MB1-0446</x:v>
      </x:c>
      <x:c r="C396" s="14" t="str">
        <x:v>GNOME 11</x:v>
      </x:c>
      <x:c r="D396" s="14" t="str">
        <x:v>home decor and inspirational</x:v>
      </x:c>
      <x:c r="E396" s="14" t="str">
        <x:v>https://res.cloudinary.com/oxygre42/image/upload/f_auto,q_auto,c_pad,b_white,w_1200,h_1200/v1788349510/0446_GNOME_11.png</x:v>
      </x:c>
      <x:c r="F396" s="14" t="str"/>
      <x:c r="G396" s="14" t="str">
        <x:v>Lifestyle</x:v>
      </x:c>
      <x:c r="H396" s="14" t="str"/>
      <x:c r="I396" s="14" t="str">
        <x:v>Detail</x:v>
      </x:c>
      <x:c r="J396" s="14" t="str"/>
      <x:c r="K396" s="14" t="str">
        <x:v>Scale</x:v>
      </x:c>
      <x:c r="L396" s="14" t="str"/>
      <x:c r="M396" s="14" t="str">
        <x:v>Alternate</x:v>
      </x:c>
      <x:c r="N396" s="14" t="n">
        <x:f>IF(E396&lt;&gt;"",1,0)+IF(F396&lt;&gt;"",1,0)+IF(H396&lt;&gt;"",1,0)+IF(J396&lt;&gt;"",1,0)+IF(L396&lt;&gt;"",1,0)</x:f>
        <x:v>1</x:v>
      </x:c>
      <x:c r="O396" s="14" t="str">
        <x:f>IF(E396="","MISSING MAIN",IF(N396=1,"MAIN ONLY","MULTI-PHOTO"))</x:f>
        <x:v>MAIN ONLY</x:v>
      </x:c>
      <x:c r="P396" s="14" t="str">
        <x:v>0446_</x:v>
      </x:c>
      <x:c r="Q396" s="14" t="str">
        <x:v>https://mb1advancedsolutions.github.io/mb1-catalog/index.html?design=0446</x:v>
      </x:c>
      <x:c r="R396" s="14" t="str"/>
    </x:row>
    <x:row r="397">
      <x:c r="A397" s="13" t="str">
        <x:v>MB1-0447</x:v>
      </x:c>
      <x:c r="B397" s="13" t="str">
        <x:v>MB1-0447</x:v>
      </x:c>
      <x:c r="C397" s="14" t="str">
        <x:v>GNOME 12 </x:v>
      </x:c>
      <x:c r="D397" s="14" t="str">
        <x:v>home decor and inspirational</x:v>
      </x:c>
      <x:c r="E397" s="14" t="str">
        <x:v>https://res.cloudinary.com/oxygre42/image/upload/f_auto,q_auto,c_pad,b_white,w_1200,h_1200/v1788349511/0447_GNOME_12.png</x:v>
      </x:c>
      <x:c r="F397" s="14" t="str"/>
      <x:c r="G397" s="14" t="str">
        <x:v>Lifestyle</x:v>
      </x:c>
      <x:c r="H397" s="14" t="str"/>
      <x:c r="I397" s="14" t="str">
        <x:v>Detail</x:v>
      </x:c>
      <x:c r="J397" s="14" t="str"/>
      <x:c r="K397" s="14" t="str">
        <x:v>Scale</x:v>
      </x:c>
      <x:c r="L397" s="14" t="str"/>
      <x:c r="M397" s="14" t="str">
        <x:v>Alternate</x:v>
      </x:c>
      <x:c r="N397" s="14" t="n">
        <x:f>IF(E397&lt;&gt;"",1,0)+IF(F397&lt;&gt;"",1,0)+IF(H397&lt;&gt;"",1,0)+IF(J397&lt;&gt;"",1,0)+IF(L397&lt;&gt;"",1,0)</x:f>
        <x:v>1</x:v>
      </x:c>
      <x:c r="O397" s="14" t="str">
        <x:f>IF(E397="","MISSING MAIN",IF(N397=1,"MAIN ONLY","MULTI-PHOTO"))</x:f>
        <x:v>MAIN ONLY</x:v>
      </x:c>
      <x:c r="P397" s="14" t="str">
        <x:v>0447_</x:v>
      </x:c>
      <x:c r="Q397" s="14" t="str">
        <x:v>https://mb1advancedsolutions.github.io/mb1-catalog/index.html?design=0447</x:v>
      </x:c>
      <x:c r="R397" s="14" t="str"/>
    </x:row>
    <x:row r="398">
      <x:c r="A398" s="13" t="str">
        <x:v>MB1-0448</x:v>
      </x:c>
      <x:c r="B398" s="13" t="str">
        <x:v>MB1-0448</x:v>
      </x:c>
      <x:c r="C398" s="14" t="str">
        <x:v>GNOME 13</x:v>
      </x:c>
      <x:c r="D398" s="14" t="str">
        <x:v>home decor and inspirational</x:v>
      </x:c>
      <x:c r="E398" s="14" t="str">
        <x:v>https://res.cloudinary.com/oxygre42/image/upload/f_auto,q_auto,c_pad,b_white,w_1200,h_1200/v1788349513/0448_GNOME_13.png</x:v>
      </x:c>
      <x:c r="F398" s="14" t="str"/>
      <x:c r="G398" s="14" t="str">
        <x:v>Lifestyle</x:v>
      </x:c>
      <x:c r="H398" s="14" t="str"/>
      <x:c r="I398" s="14" t="str">
        <x:v>Detail</x:v>
      </x:c>
      <x:c r="J398" s="14" t="str"/>
      <x:c r="K398" s="14" t="str">
        <x:v>Scale</x:v>
      </x:c>
      <x:c r="L398" s="14" t="str"/>
      <x:c r="M398" s="14" t="str">
        <x:v>Alternate</x:v>
      </x:c>
      <x:c r="N398" s="14" t="n">
        <x:f>IF(E398&lt;&gt;"",1,0)+IF(F398&lt;&gt;"",1,0)+IF(H398&lt;&gt;"",1,0)+IF(J398&lt;&gt;"",1,0)+IF(L398&lt;&gt;"",1,0)</x:f>
        <x:v>1</x:v>
      </x:c>
      <x:c r="O398" s="14" t="str">
        <x:f>IF(E398="","MISSING MAIN",IF(N398=1,"MAIN ONLY","MULTI-PHOTO"))</x:f>
        <x:v>MAIN ONLY</x:v>
      </x:c>
      <x:c r="P398" s="14" t="str">
        <x:v>0448_</x:v>
      </x:c>
      <x:c r="Q398" s="14" t="str">
        <x:v>https://mb1advancedsolutions.github.io/mb1-catalog/index.html?design=0448</x:v>
      </x:c>
      <x:c r="R398" s="14" t="str"/>
    </x:row>
    <x:row r="399">
      <x:c r="A399" s="13" t="str">
        <x:v>MB1-0449</x:v>
      </x:c>
      <x:c r="B399" s="13" t="str">
        <x:v>MB1-0449</x:v>
      </x:c>
      <x:c r="C399" s="14" t="str">
        <x:v>GNOME 14</x:v>
      </x:c>
      <x:c r="D399" s="14" t="str">
        <x:v>home decor and inspirational</x:v>
      </x:c>
      <x:c r="E399" s="14" t="str">
        <x:v>https://res.cloudinary.com/oxygre42/image/upload/f_auto,q_auto,c_pad,b_white,w_1200,h_1200/v1788349515/0449_GNOME_14.png</x:v>
      </x:c>
      <x:c r="F399" s="14" t="str"/>
      <x:c r="G399" s="14" t="str">
        <x:v>Lifestyle</x:v>
      </x:c>
      <x:c r="H399" s="14" t="str"/>
      <x:c r="I399" s="14" t="str">
        <x:v>Detail</x:v>
      </x:c>
      <x:c r="J399" s="14" t="str"/>
      <x:c r="K399" s="14" t="str">
        <x:v>Scale</x:v>
      </x:c>
      <x:c r="L399" s="14" t="str"/>
      <x:c r="M399" s="14" t="str">
        <x:v>Alternate</x:v>
      </x:c>
      <x:c r="N399" s="14" t="n">
        <x:f>IF(E399&lt;&gt;"",1,0)+IF(F399&lt;&gt;"",1,0)+IF(H399&lt;&gt;"",1,0)+IF(J399&lt;&gt;"",1,0)+IF(L399&lt;&gt;"",1,0)</x:f>
        <x:v>1</x:v>
      </x:c>
      <x:c r="O399" s="14" t="str">
        <x:f>IF(E399="","MISSING MAIN",IF(N399=1,"MAIN ONLY","MULTI-PHOTO"))</x:f>
        <x:v>MAIN ONLY</x:v>
      </x:c>
      <x:c r="P399" s="14" t="str">
        <x:v>0449_</x:v>
      </x:c>
      <x:c r="Q399" s="14" t="str">
        <x:v>https://mb1advancedsolutions.github.io/mb1-catalog/index.html?design=0449</x:v>
      </x:c>
      <x:c r="R399" s="14" t="str"/>
    </x:row>
    <x:row r="400">
      <x:c r="A400" s="13" t="str">
        <x:v>MB1-0450</x:v>
      </x:c>
      <x:c r="B400" s="13" t="str">
        <x:v>MB1-0450</x:v>
      </x:c>
      <x:c r="C400" s="14" t="str">
        <x:v>GNOME 15</x:v>
      </x:c>
      <x:c r="D400" s="14" t="str">
        <x:v>home decor and inspirational</x:v>
      </x:c>
      <x:c r="E400" s="14" t="str">
        <x:v>https://res.cloudinary.com/oxygre42/image/upload/f_auto,q_auto,c_pad,b_white,w_1200,h_1200/v1788349517/0450_GNOME_15.png</x:v>
      </x:c>
      <x:c r="F400" s="14" t="str"/>
      <x:c r="G400" s="14" t="str">
        <x:v>Lifestyle</x:v>
      </x:c>
      <x:c r="H400" s="14" t="str"/>
      <x:c r="I400" s="14" t="str">
        <x:v>Detail</x:v>
      </x:c>
      <x:c r="J400" s="14" t="str"/>
      <x:c r="K400" s="14" t="str">
        <x:v>Scale</x:v>
      </x:c>
      <x:c r="L400" s="14" t="str"/>
      <x:c r="M400" s="14" t="str">
        <x:v>Alternate</x:v>
      </x:c>
      <x:c r="N400" s="14" t="n">
        <x:f>IF(E400&lt;&gt;"",1,0)+IF(F400&lt;&gt;"",1,0)+IF(H400&lt;&gt;"",1,0)+IF(J400&lt;&gt;"",1,0)+IF(L400&lt;&gt;"",1,0)</x:f>
        <x:v>1</x:v>
      </x:c>
      <x:c r="O400" s="14" t="str">
        <x:f>IF(E400="","MISSING MAIN",IF(N400=1,"MAIN ONLY","MULTI-PHOTO"))</x:f>
        <x:v>MAIN ONLY</x:v>
      </x:c>
      <x:c r="P400" s="14" t="str">
        <x:v>0450_</x:v>
      </x:c>
      <x:c r="Q400" s="14" t="str">
        <x:v>https://mb1advancedsolutions.github.io/mb1-catalog/index.html?design=0450</x:v>
      </x:c>
      <x:c r="R400" s="14" t="str"/>
    </x:row>
    <x:row r="401">
      <x:c r="A401" s="13" t="str">
        <x:v>MB1-0451</x:v>
      </x:c>
      <x:c r="B401" s="13" t="str">
        <x:v>MB1-0451</x:v>
      </x:c>
      <x:c r="C401" s="14" t="str">
        <x:v>GNOME 16</x:v>
      </x:c>
      <x:c r="D401" s="14" t="str">
        <x:v>home decor and inspirational</x:v>
      </x:c>
      <x:c r="E401" s="14" t="str">
        <x:v>https://res.cloudinary.com/oxygre42/image/upload/f_auto,q_auto,c_pad,b_white,w_1200,h_1200/v1788349519/0451_GNOME_16.png</x:v>
      </x:c>
      <x:c r="F401" s="14" t="str"/>
      <x:c r="G401" s="14" t="str">
        <x:v>Lifestyle</x:v>
      </x:c>
      <x:c r="H401" s="14" t="str"/>
      <x:c r="I401" s="14" t="str">
        <x:v>Detail</x:v>
      </x:c>
      <x:c r="J401" s="14" t="str"/>
      <x:c r="K401" s="14" t="str">
        <x:v>Scale</x:v>
      </x:c>
      <x:c r="L401" s="14" t="str"/>
      <x:c r="M401" s="14" t="str">
        <x:v>Alternate</x:v>
      </x:c>
      <x:c r="N401" s="14" t="n">
        <x:f>IF(E401&lt;&gt;"",1,0)+IF(F401&lt;&gt;"",1,0)+IF(H401&lt;&gt;"",1,0)+IF(J401&lt;&gt;"",1,0)+IF(L401&lt;&gt;"",1,0)</x:f>
        <x:v>1</x:v>
      </x:c>
      <x:c r="O401" s="14" t="str">
        <x:f>IF(E401="","MISSING MAIN",IF(N401=1,"MAIN ONLY","MULTI-PHOTO"))</x:f>
        <x:v>MAIN ONLY</x:v>
      </x:c>
      <x:c r="P401" s="14" t="str">
        <x:v>0451_</x:v>
      </x:c>
      <x:c r="Q401" s="14" t="str">
        <x:v>https://mb1advancedsolutions.github.io/mb1-catalog/index.html?design=0451</x:v>
      </x:c>
      <x:c r="R401" s="14" t="str"/>
    </x:row>
    <x:row r="402">
      <x:c r="A402" s="13" t="str">
        <x:v>MB1-0452</x:v>
      </x:c>
      <x:c r="B402" s="13" t="str">
        <x:v>MB1-0452</x:v>
      </x:c>
      <x:c r="C402" s="14" t="str">
        <x:v>GNOME 17</x:v>
      </x:c>
      <x:c r="D402" s="14" t="str">
        <x:v>home decor and inspirational</x:v>
      </x:c>
      <x:c r="E402" s="14" t="str">
        <x:v>https://res.cloudinary.com/oxygre42/image/upload/f_auto,q_auto,c_pad,b_white,w_1200,h_1200/v1788349521/0452_GNOME_17.png</x:v>
      </x:c>
      <x:c r="F402" s="14" t="str"/>
      <x:c r="G402" s="14" t="str">
        <x:v>Lifestyle</x:v>
      </x:c>
      <x:c r="H402" s="14" t="str"/>
      <x:c r="I402" s="14" t="str">
        <x:v>Detail</x:v>
      </x:c>
      <x:c r="J402" s="14" t="str"/>
      <x:c r="K402" s="14" t="str">
        <x:v>Scale</x:v>
      </x:c>
      <x:c r="L402" s="14" t="str"/>
      <x:c r="M402" s="14" t="str">
        <x:v>Alternate</x:v>
      </x:c>
      <x:c r="N402" s="14" t="n">
        <x:f>IF(E402&lt;&gt;"",1,0)+IF(F402&lt;&gt;"",1,0)+IF(H402&lt;&gt;"",1,0)+IF(J402&lt;&gt;"",1,0)+IF(L402&lt;&gt;"",1,0)</x:f>
        <x:v>1</x:v>
      </x:c>
      <x:c r="O402" s="14" t="str">
        <x:f>IF(E402="","MISSING MAIN",IF(N402=1,"MAIN ONLY","MULTI-PHOTO"))</x:f>
        <x:v>MAIN ONLY</x:v>
      </x:c>
      <x:c r="P402" s="14" t="str">
        <x:v>0452_</x:v>
      </x:c>
      <x:c r="Q402" s="14" t="str">
        <x:v>https://mb1advancedsolutions.github.io/mb1-catalog/index.html?design=0452</x:v>
      </x:c>
      <x:c r="R402" s="14" t="str"/>
    </x:row>
    <x:row r="403">
      <x:c r="A403" s="13" t="str">
        <x:v>MB1-0453</x:v>
      </x:c>
      <x:c r="B403" s="13" t="str">
        <x:v>MB1-0453</x:v>
      </x:c>
      <x:c r="C403" s="14" t="str">
        <x:v>GNOME 18</x:v>
      </x:c>
      <x:c r="D403" s="14" t="str">
        <x:v>home decor and inspirational</x:v>
      </x:c>
      <x:c r="E403" s="14" t="str">
        <x:v>https://res.cloudinary.com/oxygre42/image/upload/f_auto,q_auto,c_pad,b_white,w_1200,h_1200/v1788349523/0453_GNOME_18.png</x:v>
      </x:c>
      <x:c r="F403" s="14" t="str"/>
      <x:c r="G403" s="14" t="str">
        <x:v>Lifestyle</x:v>
      </x:c>
      <x:c r="H403" s="14" t="str"/>
      <x:c r="I403" s="14" t="str">
        <x:v>Detail</x:v>
      </x:c>
      <x:c r="J403" s="14" t="str"/>
      <x:c r="K403" s="14" t="str">
        <x:v>Scale</x:v>
      </x:c>
      <x:c r="L403" s="14" t="str"/>
      <x:c r="M403" s="14" t="str">
        <x:v>Alternate</x:v>
      </x:c>
      <x:c r="N403" s="14" t="n">
        <x:f>IF(E403&lt;&gt;"",1,0)+IF(F403&lt;&gt;"",1,0)+IF(H403&lt;&gt;"",1,0)+IF(J403&lt;&gt;"",1,0)+IF(L403&lt;&gt;"",1,0)</x:f>
        <x:v>1</x:v>
      </x:c>
      <x:c r="O403" s="14" t="str">
        <x:f>IF(E403="","MISSING MAIN",IF(N403=1,"MAIN ONLY","MULTI-PHOTO"))</x:f>
        <x:v>MAIN ONLY</x:v>
      </x:c>
      <x:c r="P403" s="14" t="str">
        <x:v>0453_</x:v>
      </x:c>
      <x:c r="Q403" s="14" t="str">
        <x:v>https://mb1advancedsolutions.github.io/mb1-catalog/index.html?design=0453</x:v>
      </x:c>
      <x:c r="R403" s="14" t="str"/>
    </x:row>
    <x:row r="404">
      <x:c r="A404" s="13" t="str">
        <x:v>MB1-0454</x:v>
      </x:c>
      <x:c r="B404" s="13" t="str">
        <x:v>MB1-0454</x:v>
      </x:c>
      <x:c r="C404" s="14" t="str">
        <x:v>GNOME 19</x:v>
      </x:c>
      <x:c r="D404" s="14" t="str">
        <x:v>home decor and inspirational</x:v>
      </x:c>
      <x:c r="E404" s="14" t="str">
        <x:v>https://res.cloudinary.com/oxygre42/image/upload/f_auto,q_auto,c_pad,b_white,w_1200,h_1200/v1788349525/0454_GNOME_19.png</x:v>
      </x:c>
      <x:c r="F404" s="14" t="str"/>
      <x:c r="G404" s="14" t="str">
        <x:v>Lifestyle</x:v>
      </x:c>
      <x:c r="H404" s="14" t="str"/>
      <x:c r="I404" s="14" t="str">
        <x:v>Detail</x:v>
      </x:c>
      <x:c r="J404" s="14" t="str"/>
      <x:c r="K404" s="14" t="str">
        <x:v>Scale</x:v>
      </x:c>
      <x:c r="L404" s="14" t="str"/>
      <x:c r="M404" s="14" t="str">
        <x:v>Alternate</x:v>
      </x:c>
      <x:c r="N404" s="14" t="n">
        <x:f>IF(E404&lt;&gt;"",1,0)+IF(F404&lt;&gt;"",1,0)+IF(H404&lt;&gt;"",1,0)+IF(J404&lt;&gt;"",1,0)+IF(L404&lt;&gt;"",1,0)</x:f>
        <x:v>1</x:v>
      </x:c>
      <x:c r="O404" s="14" t="str">
        <x:f>IF(E404="","MISSING MAIN",IF(N404=1,"MAIN ONLY","MULTI-PHOTO"))</x:f>
        <x:v>MAIN ONLY</x:v>
      </x:c>
      <x:c r="P404" s="14" t="str">
        <x:v>0454_</x:v>
      </x:c>
      <x:c r="Q404" s="14" t="str">
        <x:v>https://mb1advancedsolutions.github.io/mb1-catalog/index.html?design=0454</x:v>
      </x:c>
      <x:c r="R404" s="14" t="str"/>
    </x:row>
    <x:row r="405">
      <x:c r="A405" s="13" t="str">
        <x:v>MB1-0455</x:v>
      </x:c>
      <x:c r="B405" s="13" t="str">
        <x:v>MB1-0455</x:v>
      </x:c>
      <x:c r="C405" s="14" t="str">
        <x:v>GNOME 20</x:v>
      </x:c>
      <x:c r="D405" s="14" t="str">
        <x:v>home decor and inspirational</x:v>
      </x:c>
      <x:c r="E405" s="14" t="str">
        <x:v>https://res.cloudinary.com/oxygre42/image/upload/f_auto,q_auto,c_pad,b_white,w_1200,h_1200/v1788349527/0455_GNOME_20.png</x:v>
      </x:c>
      <x:c r="F405" s="14" t="str"/>
      <x:c r="G405" s="14" t="str">
        <x:v>Lifestyle</x:v>
      </x:c>
      <x:c r="H405" s="14" t="str"/>
      <x:c r="I405" s="14" t="str">
        <x:v>Detail</x:v>
      </x:c>
      <x:c r="J405" s="14" t="str"/>
      <x:c r="K405" s="14" t="str">
        <x:v>Scale</x:v>
      </x:c>
      <x:c r="L405" s="14" t="str"/>
      <x:c r="M405" s="14" t="str">
        <x:v>Alternate</x:v>
      </x:c>
      <x:c r="N405" s="14" t="n">
        <x:f>IF(E405&lt;&gt;"",1,0)+IF(F405&lt;&gt;"",1,0)+IF(H405&lt;&gt;"",1,0)+IF(J405&lt;&gt;"",1,0)+IF(L405&lt;&gt;"",1,0)</x:f>
        <x:v>1</x:v>
      </x:c>
      <x:c r="O405" s="14" t="str">
        <x:f>IF(E405="","MISSING MAIN",IF(N405=1,"MAIN ONLY","MULTI-PHOTO"))</x:f>
        <x:v>MAIN ONLY</x:v>
      </x:c>
      <x:c r="P405" s="14" t="str">
        <x:v>0455_</x:v>
      </x:c>
      <x:c r="Q405" s="14" t="str">
        <x:v>https://mb1advancedsolutions.github.io/mb1-catalog/index.html?design=0455</x:v>
      </x:c>
      <x:c r="R405" s="14" t="str"/>
    </x:row>
    <x:row r="406">
      <x:c r="A406" s="13" t="str">
        <x:v>MB1-0456</x:v>
      </x:c>
      <x:c r="B406" s="13" t="str">
        <x:v>MB1-0456</x:v>
      </x:c>
      <x:c r="C406" s="14" t="str">
        <x:v>GNOME 21</x:v>
      </x:c>
      <x:c r="D406" s="14" t="str">
        <x:v>home decor and inspirational</x:v>
      </x:c>
      <x:c r="E406" s="14" t="str">
        <x:v>https://res.cloudinary.com/oxygre42/image/upload/f_auto,q_auto,c_pad,b_white,w_1200,h_1200/v1788349528/0456_GNOME_21.png</x:v>
      </x:c>
      <x:c r="F406" s="14" t="str"/>
      <x:c r="G406" s="14" t="str">
        <x:v>Lifestyle</x:v>
      </x:c>
      <x:c r="H406" s="14" t="str"/>
      <x:c r="I406" s="14" t="str">
        <x:v>Detail</x:v>
      </x:c>
      <x:c r="J406" s="14" t="str"/>
      <x:c r="K406" s="14" t="str">
        <x:v>Scale</x:v>
      </x:c>
      <x:c r="L406" s="14" t="str"/>
      <x:c r="M406" s="14" t="str">
        <x:v>Alternate</x:v>
      </x:c>
      <x:c r="N406" s="14" t="n">
        <x:f>IF(E406&lt;&gt;"",1,0)+IF(F406&lt;&gt;"",1,0)+IF(H406&lt;&gt;"",1,0)+IF(J406&lt;&gt;"",1,0)+IF(L406&lt;&gt;"",1,0)</x:f>
        <x:v>1</x:v>
      </x:c>
      <x:c r="O406" s="14" t="str">
        <x:f>IF(E406="","MISSING MAIN",IF(N406=1,"MAIN ONLY","MULTI-PHOTO"))</x:f>
        <x:v>MAIN ONLY</x:v>
      </x:c>
      <x:c r="P406" s="14" t="str">
        <x:v>0456_</x:v>
      </x:c>
      <x:c r="Q406" s="14" t="str">
        <x:v>https://mb1advancedsolutions.github.io/mb1-catalog/index.html?design=0456</x:v>
      </x:c>
      <x:c r="R406" s="14" t="str"/>
    </x:row>
    <x:row r="407">
      <x:c r="A407" s="13" t="str">
        <x:v>MB1-0457</x:v>
      </x:c>
      <x:c r="B407" s="13" t="str">
        <x:v>MB1-0457</x:v>
      </x:c>
      <x:c r="C407" s="14" t="str">
        <x:v>GNOME 22</x:v>
      </x:c>
      <x:c r="D407" s="14" t="str">
        <x:v>home decor and inspirational</x:v>
      </x:c>
      <x:c r="E407" s="14" t="str">
        <x:v>https://res.cloudinary.com/oxygre42/image/upload/f_auto,q_auto,c_pad,b_white,w_1200,h_1200/v1788349530/0457_GNOME_22.png</x:v>
      </x:c>
      <x:c r="F407" s="14" t="str"/>
      <x:c r="G407" s="14" t="str">
        <x:v>Lifestyle</x:v>
      </x:c>
      <x:c r="H407" s="14" t="str"/>
      <x:c r="I407" s="14" t="str">
        <x:v>Detail</x:v>
      </x:c>
      <x:c r="J407" s="14" t="str"/>
      <x:c r="K407" s="14" t="str">
        <x:v>Scale</x:v>
      </x:c>
      <x:c r="L407" s="14" t="str"/>
      <x:c r="M407" s="14" t="str">
        <x:v>Alternate</x:v>
      </x:c>
      <x:c r="N407" s="14" t="n">
        <x:f>IF(E407&lt;&gt;"",1,0)+IF(F407&lt;&gt;"",1,0)+IF(H407&lt;&gt;"",1,0)+IF(J407&lt;&gt;"",1,0)+IF(L407&lt;&gt;"",1,0)</x:f>
        <x:v>1</x:v>
      </x:c>
      <x:c r="O407" s="14" t="str">
        <x:f>IF(E407="","MISSING MAIN",IF(N407=1,"MAIN ONLY","MULTI-PHOTO"))</x:f>
        <x:v>MAIN ONLY</x:v>
      </x:c>
      <x:c r="P407" s="14" t="str">
        <x:v>0457_</x:v>
      </x:c>
      <x:c r="Q407" s="14" t="str">
        <x:v>https://mb1advancedsolutions.github.io/mb1-catalog/index.html?design=0457</x:v>
      </x:c>
      <x:c r="R407" s="14" t="str"/>
    </x:row>
    <x:row r="408">
      <x:c r="A408" s="13" t="str">
        <x:v>MB1-0458</x:v>
      </x:c>
      <x:c r="B408" s="13" t="str">
        <x:v>MB1-0458</x:v>
      </x:c>
      <x:c r="C408" s="14" t="str">
        <x:v>come and join us ghosts</x:v>
      </x:c>
      <x:c r="D408" s="14" t="str">
        <x:v>seasonal and holiday</x:v>
      </x:c>
      <x:c r="E408" s="14" t="str">
        <x:v>https://res.cloudinary.com/oxygre42/image/upload/f_auto,q_auto,c_pad,b_white,w_1200,h_1200/v1788349532/0458_come_and_join_us_ghosts.png</x:v>
      </x:c>
      <x:c r="F408" s="14" t="str"/>
      <x:c r="G408" s="14" t="str">
        <x:v>Lifestyle</x:v>
      </x:c>
      <x:c r="H408" s="14" t="str"/>
      <x:c r="I408" s="14" t="str">
        <x:v>Detail</x:v>
      </x:c>
      <x:c r="J408" s="14" t="str"/>
      <x:c r="K408" s="14" t="str">
        <x:v>Scale</x:v>
      </x:c>
      <x:c r="L408" s="14" t="str"/>
      <x:c r="M408" s="14" t="str">
        <x:v>Alternate</x:v>
      </x:c>
      <x:c r="N408" s="14" t="n">
        <x:f>IF(E408&lt;&gt;"",1,0)+IF(F408&lt;&gt;"",1,0)+IF(H408&lt;&gt;"",1,0)+IF(J408&lt;&gt;"",1,0)+IF(L408&lt;&gt;"",1,0)</x:f>
        <x:v>1</x:v>
      </x:c>
      <x:c r="O408" s="14" t="str">
        <x:f>IF(E408="","MISSING MAIN",IF(N408=1,"MAIN ONLY","MULTI-PHOTO"))</x:f>
        <x:v>MAIN ONLY</x:v>
      </x:c>
      <x:c r="P408" s="14" t="str">
        <x:v>0458_</x:v>
      </x:c>
      <x:c r="Q408" s="14" t="str">
        <x:v>https://mb1advancedsolutions.github.io/mb1-catalog/index.html?design=0458</x:v>
      </x:c>
      <x:c r="R408" s="14" t="str"/>
    </x:row>
    <x:row r="409">
      <x:c r="A409" s="13" t="str">
        <x:v>MB1-0459</x:v>
      </x:c>
      <x:c r="B409" s="13" t="str">
        <x:v>MB1-0459</x:v>
      </x:c>
      <x:c r="C409" s="14" t="str">
        <x:v>halloween witch</x:v>
      </x:c>
      <x:c r="D409" s="14" t="str">
        <x:v>seasonal and holiday</x:v>
      </x:c>
      <x:c r="E409" s="14" t="str">
        <x:v>https://res.cloudinary.com/oxygre42/image/upload/f_auto,q_auto,c_pad,b_white,w_1200,h_1200/v1788349534/0459_halloween_witch.png</x:v>
      </x:c>
      <x:c r="F409" s="14" t="str"/>
      <x:c r="G409" s="14" t="str">
        <x:v>Lifestyle</x:v>
      </x:c>
      <x:c r="H409" s="14" t="str"/>
      <x:c r="I409" s="14" t="str">
        <x:v>Detail</x:v>
      </x:c>
      <x:c r="J409" s="14" t="str"/>
      <x:c r="K409" s="14" t="str">
        <x:v>Scale</x:v>
      </x:c>
      <x:c r="L409" s="14" t="str"/>
      <x:c r="M409" s="14" t="str">
        <x:v>Alternate</x:v>
      </x:c>
      <x:c r="N409" s="14" t="n">
        <x:f>IF(E409&lt;&gt;"",1,0)+IF(F409&lt;&gt;"",1,0)+IF(H409&lt;&gt;"",1,0)+IF(J409&lt;&gt;"",1,0)+IF(L409&lt;&gt;"",1,0)</x:f>
        <x:v>1</x:v>
      </x:c>
      <x:c r="O409" s="14" t="str">
        <x:f>IF(E409="","MISSING MAIN",IF(N409=1,"MAIN ONLY","MULTI-PHOTO"))</x:f>
        <x:v>MAIN ONLY</x:v>
      </x:c>
      <x:c r="P409" s="14" t="str">
        <x:v>0459_</x:v>
      </x:c>
      <x:c r="Q409" s="14" t="str">
        <x:v>https://mb1advancedsolutions.github.io/mb1-catalog/index.html?design=0459</x:v>
      </x:c>
      <x:c r="R409" s="14" t="str"/>
    </x:row>
    <x:row r="410">
      <x:c r="A410" s="13" t="str">
        <x:v>MB1-0460</x:v>
      </x:c>
      <x:c r="B410" s="13" t="str">
        <x:v>MB1-0460</x:v>
      </x:c>
      <x:c r="C410" s="14" t="str">
        <x:v>happy halloween 1</x:v>
      </x:c>
      <x:c r="D410" s="14" t="str">
        <x:v>seasonal and holiday</x:v>
      </x:c>
      <x:c r="E410" s="14" t="str">
        <x:v>https://res.cloudinary.com/oxygre42/image/upload/f_auto,q_auto,c_pad,b_white,w_1200,h_1200/v1788349536/0460_happy_halloween_1.png</x:v>
      </x:c>
      <x:c r="F410" s="14" t="str"/>
      <x:c r="G410" s="14" t="str">
        <x:v>Lifestyle</x:v>
      </x:c>
      <x:c r="H410" s="14" t="str"/>
      <x:c r="I410" s="14" t="str">
        <x:v>Detail</x:v>
      </x:c>
      <x:c r="J410" s="14" t="str"/>
      <x:c r="K410" s="14" t="str">
        <x:v>Scale</x:v>
      </x:c>
      <x:c r="L410" s="14" t="str"/>
      <x:c r="M410" s="14" t="str">
        <x:v>Alternate</x:v>
      </x:c>
      <x:c r="N410" s="14" t="n">
        <x:f>IF(E410&lt;&gt;"",1,0)+IF(F410&lt;&gt;"",1,0)+IF(H410&lt;&gt;"",1,0)+IF(J410&lt;&gt;"",1,0)+IF(L410&lt;&gt;"",1,0)</x:f>
        <x:v>1</x:v>
      </x:c>
      <x:c r="O410" s="14" t="str">
        <x:f>IF(E410="","MISSING MAIN",IF(N410=1,"MAIN ONLY","MULTI-PHOTO"))</x:f>
        <x:v>MAIN ONLY</x:v>
      </x:c>
      <x:c r="P410" s="14" t="str">
        <x:v>0460_</x:v>
      </x:c>
      <x:c r="Q410" s="14" t="str">
        <x:v>https://mb1advancedsolutions.github.io/mb1-catalog/index.html?design=0460</x:v>
      </x:c>
      <x:c r="R410" s="14" t="str"/>
    </x:row>
    <x:row r="411">
      <x:c r="A411" s="13" t="str">
        <x:v>MB1-0461</x:v>
      </x:c>
      <x:c r="B411" s="13" t="str">
        <x:v>MB1-0461</x:v>
      </x:c>
      <x:c r="C411" s="14" t="str">
        <x:v>happy halloween frankenstein</x:v>
      </x:c>
      <x:c r="D411" s="14" t="str">
        <x:v>seasonal and holiday</x:v>
      </x:c>
      <x:c r="E411" s="14" t="str">
        <x:v>https://res.cloudinary.com/oxygre42/image/upload/f_auto,q_auto,c_pad,b_white,w_1200,h_1200/v1788349538/0461_happy_halloween_frankenstein.png</x:v>
      </x:c>
      <x:c r="F411" s="14" t="str"/>
      <x:c r="G411" s="14" t="str">
        <x:v>Lifestyle</x:v>
      </x:c>
      <x:c r="H411" s="14" t="str"/>
      <x:c r="I411" s="14" t="str">
        <x:v>Detail</x:v>
      </x:c>
      <x:c r="J411" s="14" t="str"/>
      <x:c r="K411" s="14" t="str">
        <x:v>Scale</x:v>
      </x:c>
      <x:c r="L411" s="14" t="str"/>
      <x:c r="M411" s="14" t="str">
        <x:v>Alternate</x:v>
      </x:c>
      <x:c r="N411" s="14" t="n">
        <x:f>IF(E411&lt;&gt;"",1,0)+IF(F411&lt;&gt;"",1,0)+IF(H411&lt;&gt;"",1,0)+IF(J411&lt;&gt;"",1,0)+IF(L411&lt;&gt;"",1,0)</x:f>
        <x:v>1</x:v>
      </x:c>
      <x:c r="O411" s="14" t="str">
        <x:f>IF(E411="","MISSING MAIN",IF(N411=1,"MAIN ONLY","MULTI-PHOTO"))</x:f>
        <x:v>MAIN ONLY</x:v>
      </x:c>
      <x:c r="P411" s="14" t="str">
        <x:v>0461_</x:v>
      </x:c>
      <x:c r="Q411" s="14" t="str">
        <x:v>https://mb1advancedsolutions.github.io/mb1-catalog/index.html?design=0461</x:v>
      </x:c>
      <x:c r="R411" s="14" t="str"/>
    </x:row>
    <x:row r="412">
      <x:c r="A412" s="13" t="str">
        <x:v>MB1-0462</x:v>
      </x:c>
      <x:c r="B412" s="13" t="str">
        <x:v>MB1-0462</x:v>
      </x:c>
      <x:c r="C412" s="14" t="str">
        <x:v>happy halloween ghosts </x:v>
      </x:c>
      <x:c r="D412" s="14" t="str">
        <x:v>seasonal and holiday</x:v>
      </x:c>
      <x:c r="E412" s="14" t="str">
        <x:v>https://res.cloudinary.com/oxygre42/image/upload/f_auto,q_auto,c_pad,b_white,w_1200,h_1200/v1788349540/0462_happy_halloween_ghosts.png</x:v>
      </x:c>
      <x:c r="F412" s="14" t="str"/>
      <x:c r="G412" s="14" t="str">
        <x:v>Lifestyle</x:v>
      </x:c>
      <x:c r="H412" s="14" t="str"/>
      <x:c r="I412" s="14" t="str">
        <x:v>Detail</x:v>
      </x:c>
      <x:c r="J412" s="14" t="str"/>
      <x:c r="K412" s="14" t="str">
        <x:v>Scale</x:v>
      </x:c>
      <x:c r="L412" s="14" t="str"/>
      <x:c r="M412" s="14" t="str">
        <x:v>Alternate</x:v>
      </x:c>
      <x:c r="N412" s="14" t="n">
        <x:f>IF(E412&lt;&gt;"",1,0)+IF(F412&lt;&gt;"",1,0)+IF(H412&lt;&gt;"",1,0)+IF(J412&lt;&gt;"",1,0)+IF(L412&lt;&gt;"",1,0)</x:f>
        <x:v>1</x:v>
      </x:c>
      <x:c r="O412" s="14" t="str">
        <x:f>IF(E412="","MISSING MAIN",IF(N412=1,"MAIN ONLY","MULTI-PHOTO"))</x:f>
        <x:v>MAIN ONLY</x:v>
      </x:c>
      <x:c r="P412" s="14" t="str">
        <x:v>0462_</x:v>
      </x:c>
      <x:c r="Q412" s="14" t="str">
        <x:v>https://mb1advancedsolutions.github.io/mb1-catalog/index.html?design=0462</x:v>
      </x:c>
      <x:c r="R412" s="14" t="str"/>
    </x:row>
    <x:row r="413">
      <x:c r="A413" s="13" t="str">
        <x:v>MB1-0463</x:v>
      </x:c>
      <x:c r="B413" s="13" t="str">
        <x:v>MB1-0463</x:v>
      </x:c>
      <x:c r="C413" s="14" t="str">
        <x:v>happy halloween pumpkins monogram</x:v>
      </x:c>
      <x:c r="D413" s="14" t="str">
        <x:v>seasonal and holiday</x:v>
      </x:c>
      <x:c r="E413" s="14" t="str">
        <x:v>https://res.cloudinary.com/oxygre42/image/upload/f_auto,q_auto,c_pad,b_white,w_1200,h_1200/v1788349542/0463_happy_halloween_pumpkins_monogram.png</x:v>
      </x:c>
      <x:c r="F413" s="14" t="str"/>
      <x:c r="G413" s="14" t="str">
        <x:v>Lifestyle</x:v>
      </x:c>
      <x:c r="H413" s="14" t="str"/>
      <x:c r="I413" s="14" t="str">
        <x:v>Detail</x:v>
      </x:c>
      <x:c r="J413" s="14" t="str"/>
      <x:c r="K413" s="14" t="str">
        <x:v>Scale</x:v>
      </x:c>
      <x:c r="L413" s="14" t="str"/>
      <x:c r="M413" s="14" t="str">
        <x:v>Alternate</x:v>
      </x:c>
      <x:c r="N413" s="14" t="n">
        <x:f>IF(E413&lt;&gt;"",1,0)+IF(F413&lt;&gt;"",1,0)+IF(H413&lt;&gt;"",1,0)+IF(J413&lt;&gt;"",1,0)+IF(L413&lt;&gt;"",1,0)</x:f>
        <x:v>1</x:v>
      </x:c>
      <x:c r="O413" s="14" t="str">
        <x:f>IF(E413="","MISSING MAIN",IF(N413=1,"MAIN ONLY","MULTI-PHOTO"))</x:f>
        <x:v>MAIN ONLY</x:v>
      </x:c>
      <x:c r="P413" s="14" t="str">
        <x:v>0463_</x:v>
      </x:c>
      <x:c r="Q413" s="14" t="str">
        <x:v>https://mb1advancedsolutions.github.io/mb1-catalog/index.html?design=0463</x:v>
      </x:c>
      <x:c r="R413" s="14" t="str"/>
    </x:row>
    <x:row r="414">
      <x:c r="A414" s="13" t="str">
        <x:v>MB1-0464</x:v>
      </x:c>
      <x:c r="B414" s="13" t="str">
        <x:v>MB1-0464</x:v>
      </x:c>
      <x:c r="C414" s="14" t="str">
        <x:v>happy halloween pumpkins</x:v>
      </x:c>
      <x:c r="D414" s="14" t="str">
        <x:v>seasonal and holiday</x:v>
      </x:c>
      <x:c r="E414" s="14" t="str">
        <x:v>https://res.cloudinary.com/oxygre42/image/upload/f_auto,q_auto,c_pad,b_white,w_1200,h_1200/v1788349543/0464_happy_halloween_pumpkins.png</x:v>
      </x:c>
      <x:c r="F414" s="14" t="str"/>
      <x:c r="G414" s="14" t="str">
        <x:v>Lifestyle</x:v>
      </x:c>
      <x:c r="H414" s="14" t="str"/>
      <x:c r="I414" s="14" t="str">
        <x:v>Detail</x:v>
      </x:c>
      <x:c r="J414" s="14" t="str"/>
      <x:c r="K414" s="14" t="str">
        <x:v>Scale</x:v>
      </x:c>
      <x:c r="L414" s="14" t="str"/>
      <x:c r="M414" s="14" t="str">
        <x:v>Alternate</x:v>
      </x:c>
      <x:c r="N414" s="14" t="n">
        <x:f>IF(E414&lt;&gt;"",1,0)+IF(F414&lt;&gt;"",1,0)+IF(H414&lt;&gt;"",1,0)+IF(J414&lt;&gt;"",1,0)+IF(L414&lt;&gt;"",1,0)</x:f>
        <x:v>1</x:v>
      </x:c>
      <x:c r="O414" s="14" t="str">
        <x:f>IF(E414="","MISSING MAIN",IF(N414=1,"MAIN ONLY","MULTI-PHOTO"))</x:f>
        <x:v>MAIN ONLY</x:v>
      </x:c>
      <x:c r="P414" s="14" t="str">
        <x:v>0464_</x:v>
      </x:c>
      <x:c r="Q414" s="14" t="str">
        <x:v>https://mb1advancedsolutions.github.io/mb1-catalog/index.html?design=0464</x:v>
      </x:c>
      <x:c r="R414" s="14" t="str"/>
    </x:row>
    <x:row r="415">
      <x:c r="A415" s="13" t="str">
        <x:v>MB1-0465</x:v>
      </x:c>
      <x:c r="B415" s="13" t="str">
        <x:v>MB1-0465</x:v>
      </x:c>
      <x:c r="C415" s="14" t="str">
        <x:v>happy halloween scary tree</x:v>
      </x:c>
      <x:c r="D415" s="14" t="str">
        <x:v>seasonal and holiday</x:v>
      </x:c>
      <x:c r="E415" s="14" t="str">
        <x:v>https://res.cloudinary.com/oxygre42/image/upload/f_auto,q_auto,c_pad,b_white,w_1200,h_1200/v1788349545/0465_happy_halloween_scary_tree.png</x:v>
      </x:c>
      <x:c r="F415" s="14" t="str"/>
      <x:c r="G415" s="14" t="str">
        <x:v>Lifestyle</x:v>
      </x:c>
      <x:c r="H415" s="14" t="str"/>
      <x:c r="I415" s="14" t="str">
        <x:v>Detail</x:v>
      </x:c>
      <x:c r="J415" s="14" t="str"/>
      <x:c r="K415" s="14" t="str">
        <x:v>Scale</x:v>
      </x:c>
      <x:c r="L415" s="14" t="str"/>
      <x:c r="M415" s="14" t="str">
        <x:v>Alternate</x:v>
      </x:c>
      <x:c r="N415" s="14" t="n">
        <x:f>IF(E415&lt;&gt;"",1,0)+IF(F415&lt;&gt;"",1,0)+IF(H415&lt;&gt;"",1,0)+IF(J415&lt;&gt;"",1,0)+IF(L415&lt;&gt;"",1,0)</x:f>
        <x:v>1</x:v>
      </x:c>
      <x:c r="O415" s="14" t="str">
        <x:f>IF(E415="","MISSING MAIN",IF(N415=1,"MAIN ONLY","MULTI-PHOTO"))</x:f>
        <x:v>MAIN ONLY</x:v>
      </x:c>
      <x:c r="P415" s="14" t="str">
        <x:v>0465_</x:v>
      </x:c>
      <x:c r="Q415" s="14" t="str">
        <x:v>https://mb1advancedsolutions.github.io/mb1-catalog/index.html?design=0465</x:v>
      </x:c>
      <x:c r="R415" s="14" t="str"/>
    </x:row>
    <x:row r="416">
      <x:c r="A416" s="13" t="str">
        <x:v>MB1-0466</x:v>
      </x:c>
      <x:c r="B416" s="13" t="str">
        <x:v>MB1-0466</x:v>
      </x:c>
      <x:c r="C416" s="14" t="str">
        <x:v>happy halloween spider web monogram</x:v>
      </x:c>
      <x:c r="D416" s="14" t="str">
        <x:v>seasonal and holiday</x:v>
      </x:c>
      <x:c r="E416" s="14" t="str">
        <x:v>https://res.cloudinary.com/oxygre42/image/upload/f_auto,q_auto,c_pad,b_white,w_1200,h_1200/v1788349547/0466_happy_halloween_spider_web_monogram.png</x:v>
      </x:c>
      <x:c r="F416" s="14" t="str"/>
      <x:c r="G416" s="14" t="str">
        <x:v>Lifestyle</x:v>
      </x:c>
      <x:c r="H416" s="14" t="str"/>
      <x:c r="I416" s="14" t="str">
        <x:v>Detail</x:v>
      </x:c>
      <x:c r="J416" s="14" t="str"/>
      <x:c r="K416" s="14" t="str">
        <x:v>Scale</x:v>
      </x:c>
      <x:c r="L416" s="14" t="str"/>
      <x:c r="M416" s="14" t="str">
        <x:v>Alternate</x:v>
      </x:c>
      <x:c r="N416" s="14" t="n">
        <x:f>IF(E416&lt;&gt;"",1,0)+IF(F416&lt;&gt;"",1,0)+IF(H416&lt;&gt;"",1,0)+IF(J416&lt;&gt;"",1,0)+IF(L416&lt;&gt;"",1,0)</x:f>
        <x:v>1</x:v>
      </x:c>
      <x:c r="O416" s="14" t="str">
        <x:f>IF(E416="","MISSING MAIN",IF(N416=1,"MAIN ONLY","MULTI-PHOTO"))</x:f>
        <x:v>MAIN ONLY</x:v>
      </x:c>
      <x:c r="P416" s="14" t="str">
        <x:v>0466_</x:v>
      </x:c>
      <x:c r="Q416" s="14" t="str">
        <x:v>https://mb1advancedsolutions.github.io/mb1-catalog/index.html?design=0466</x:v>
      </x:c>
      <x:c r="R416" s="14" t="str"/>
    </x:row>
    <x:row r="417">
      <x:c r="A417" s="13" t="str">
        <x:v>MB1-0467</x:v>
      </x:c>
      <x:c r="B417" s="13" t="str">
        <x:v>MB1-0467</x:v>
      </x:c>
      <x:c r="C417" s="14" t="str">
        <x:v>happy halloween spider web</x:v>
      </x:c>
      <x:c r="D417" s="14" t="str">
        <x:v>seasonal and holiday</x:v>
      </x:c>
      <x:c r="E417" s="14" t="str">
        <x:v>https://res.cloudinary.com/oxygre42/image/upload/f_auto,q_auto,c_pad,b_white,w_1200,h_1200/v1788349549/0467_happy_halloween_spider_web.png</x:v>
      </x:c>
      <x:c r="F417" s="14" t="str"/>
      <x:c r="G417" s="14" t="str">
        <x:v>Lifestyle</x:v>
      </x:c>
      <x:c r="H417" s="14" t="str"/>
      <x:c r="I417" s="14" t="str">
        <x:v>Detail</x:v>
      </x:c>
      <x:c r="J417" s="14" t="str"/>
      <x:c r="K417" s="14" t="str">
        <x:v>Scale</x:v>
      </x:c>
      <x:c r="L417" s="14" t="str"/>
      <x:c r="M417" s="14" t="str">
        <x:v>Alternate</x:v>
      </x:c>
      <x:c r="N417" s="14" t="n">
        <x:f>IF(E417&lt;&gt;"",1,0)+IF(F417&lt;&gt;"",1,0)+IF(H417&lt;&gt;"",1,0)+IF(J417&lt;&gt;"",1,0)+IF(L417&lt;&gt;"",1,0)</x:f>
        <x:v>1</x:v>
      </x:c>
      <x:c r="O417" s="14" t="str">
        <x:f>IF(E417="","MISSING MAIN",IF(N417=1,"MAIN ONLY","MULTI-PHOTO"))</x:f>
        <x:v>MAIN ONLY</x:v>
      </x:c>
      <x:c r="P417" s="14" t="str">
        <x:v>0467_</x:v>
      </x:c>
      <x:c r="Q417" s="14" t="str">
        <x:v>https://mb1advancedsolutions.github.io/mb1-catalog/index.html?design=0467</x:v>
      </x:c>
      <x:c r="R417" s="14" t="str"/>
    </x:row>
    <x:row r="418">
      <x:c r="A418" s="13" t="str">
        <x:v>MB1-0468</x:v>
      </x:c>
      <x:c r="B418" s="13" t="str">
        <x:v>MB1-0468</x:v>
      </x:c>
      <x:c r="C418" s="14" t="str">
        <x:v>happy halloween witch</x:v>
      </x:c>
      <x:c r="D418" s="14" t="str">
        <x:v>seasonal and holiday</x:v>
      </x:c>
      <x:c r="E418" s="14" t="str">
        <x:v>https://res.cloudinary.com/oxygre42/image/upload/f_auto,q_auto,c_pad,b_white,w_1200,h_1200/v1788349551/0468_happy_halloween_witch.png</x:v>
      </x:c>
      <x:c r="F418" s="14" t="str"/>
      <x:c r="G418" s="14" t="str">
        <x:v>Lifestyle</x:v>
      </x:c>
      <x:c r="H418" s="14" t="str"/>
      <x:c r="I418" s="14" t="str">
        <x:v>Detail</x:v>
      </x:c>
      <x:c r="J418" s="14" t="str"/>
      <x:c r="K418" s="14" t="str">
        <x:v>Scale</x:v>
      </x:c>
      <x:c r="L418" s="14" t="str"/>
      <x:c r="M418" s="14" t="str">
        <x:v>Alternate</x:v>
      </x:c>
      <x:c r="N418" s="14" t="n">
        <x:f>IF(E418&lt;&gt;"",1,0)+IF(F418&lt;&gt;"",1,0)+IF(H418&lt;&gt;"",1,0)+IF(J418&lt;&gt;"",1,0)+IF(L418&lt;&gt;"",1,0)</x:f>
        <x:v>1</x:v>
      </x:c>
      <x:c r="O418" s="14" t="str">
        <x:f>IF(E418="","MISSING MAIN",IF(N418=1,"MAIN ONLY","MULTI-PHOTO"))</x:f>
        <x:v>MAIN ONLY</x:v>
      </x:c>
      <x:c r="P418" s="14" t="str">
        <x:v>0468_</x:v>
      </x:c>
      <x:c r="Q418" s="14" t="str">
        <x:v>https://mb1advancedsolutions.github.io/mb1-catalog/index.html?design=0468</x:v>
      </x:c>
      <x:c r="R418" s="14" t="str"/>
    </x:row>
    <x:row r="419">
      <x:c r="A419" s="13" t="str">
        <x:v>MB1-0470</x:v>
      </x:c>
      <x:c r="B419" s="13" t="str">
        <x:v>MB1-0470</x:v>
      </x:c>
      <x:c r="C419" s="14" t="str">
        <x:v>pumpkin stake 1</x:v>
      </x:c>
      <x:c r="D419" s="14" t="str">
        <x:v>seasonal and holiday</x:v>
      </x:c>
      <x:c r="E419" s="14" t="str">
        <x:v>https://res.cloudinary.com/oxygre42/image/upload/f_auto,q_auto,c_pad,b_white,w_1200,h_1200/v1788349555/0470_pumpkin_stake_1.png</x:v>
      </x:c>
      <x:c r="F419" s="14" t="str"/>
      <x:c r="G419" s="14" t="str">
        <x:v>Lifestyle</x:v>
      </x:c>
      <x:c r="H419" s="14" t="str"/>
      <x:c r="I419" s="14" t="str">
        <x:v>Detail</x:v>
      </x:c>
      <x:c r="J419" s="14" t="str"/>
      <x:c r="K419" s="14" t="str">
        <x:v>Scale</x:v>
      </x:c>
      <x:c r="L419" s="14" t="str"/>
      <x:c r="M419" s="14" t="str">
        <x:v>Alternate</x:v>
      </x:c>
      <x:c r="N419" s="14" t="n">
        <x:f>IF(E419&lt;&gt;"",1,0)+IF(F419&lt;&gt;"",1,0)+IF(H419&lt;&gt;"",1,0)+IF(J419&lt;&gt;"",1,0)+IF(L419&lt;&gt;"",1,0)</x:f>
        <x:v>1</x:v>
      </x:c>
      <x:c r="O419" s="14" t="str">
        <x:f>IF(E419="","MISSING MAIN",IF(N419=1,"MAIN ONLY","MULTI-PHOTO"))</x:f>
        <x:v>MAIN ONLY</x:v>
      </x:c>
      <x:c r="P419" s="14" t="str">
        <x:v>0470_</x:v>
      </x:c>
      <x:c r="Q419" s="14" t="str">
        <x:v>https://mb1advancedsolutions.github.io/mb1-catalog/index.html?design=0470</x:v>
      </x:c>
      <x:c r="R419" s="14" t="str"/>
    </x:row>
    <x:row r="420">
      <x:c r="A420" s="13" t="str">
        <x:v>MB1-0471</x:v>
      </x:c>
      <x:c r="B420" s="13" t="str">
        <x:v>MB1-0471</x:v>
      </x:c>
      <x:c r="C420" s="14" t="str">
        <x:v>pumpkin stake 2</x:v>
      </x:c>
      <x:c r="D420" s="14" t="str">
        <x:v>seasonal and holiday</x:v>
      </x:c>
      <x:c r="E420" s="14" t="str">
        <x:v>https://res.cloudinary.com/oxygre42/image/upload/f_auto,q_auto,c_pad,b_white,w_1200,h_1200/v1788349557/0471_pumpkin_stake_2.png</x:v>
      </x:c>
      <x:c r="F420" s="14" t="str"/>
      <x:c r="G420" s="14" t="str">
        <x:v>Lifestyle</x:v>
      </x:c>
      <x:c r="H420" s="14" t="str"/>
      <x:c r="I420" s="14" t="str">
        <x:v>Detail</x:v>
      </x:c>
      <x:c r="J420" s="14" t="str"/>
      <x:c r="K420" s="14" t="str">
        <x:v>Scale</x:v>
      </x:c>
      <x:c r="L420" s="14" t="str"/>
      <x:c r="M420" s="14" t="str">
        <x:v>Alternate</x:v>
      </x:c>
      <x:c r="N420" s="14" t="n">
        <x:f>IF(E420&lt;&gt;"",1,0)+IF(F420&lt;&gt;"",1,0)+IF(H420&lt;&gt;"",1,0)+IF(J420&lt;&gt;"",1,0)+IF(L420&lt;&gt;"",1,0)</x:f>
        <x:v>1</x:v>
      </x:c>
      <x:c r="O420" s="14" t="str">
        <x:f>IF(E420="","MISSING MAIN",IF(N420=1,"MAIN ONLY","MULTI-PHOTO"))</x:f>
        <x:v>MAIN ONLY</x:v>
      </x:c>
      <x:c r="P420" s="14" t="str">
        <x:v>0471_</x:v>
      </x:c>
      <x:c r="Q420" s="14" t="str">
        <x:v>https://mb1advancedsolutions.github.io/mb1-catalog/index.html?design=0471</x:v>
      </x:c>
      <x:c r="R420" s="14" t="str"/>
    </x:row>
    <x:row r="421">
      <x:c r="A421" s="13" t="str">
        <x:v>MB1-0472</x:v>
      </x:c>
      <x:c r="B421" s="13" t="str">
        <x:v>MB1-0472</x:v>
      </x:c>
      <x:c r="C421" s="14" t="str">
        <x:v>pumpkin stake 3</x:v>
      </x:c>
      <x:c r="D421" s="14" t="str">
        <x:v>seasonal and holiday</x:v>
      </x:c>
      <x:c r="E421" s="14" t="str">
        <x:v>https://res.cloudinary.com/oxygre42/image/upload/f_auto,q_auto,c_pad,b_white,w_1200,h_1200/v1788349559/0472_pumpkin_stake_3.png</x:v>
      </x:c>
      <x:c r="F421" s="14" t="str"/>
      <x:c r="G421" s="14" t="str">
        <x:v>Lifestyle</x:v>
      </x:c>
      <x:c r="H421" s="14" t="str"/>
      <x:c r="I421" s="14" t="str">
        <x:v>Detail</x:v>
      </x:c>
      <x:c r="J421" s="14" t="str"/>
      <x:c r="K421" s="14" t="str">
        <x:v>Scale</x:v>
      </x:c>
      <x:c r="L421" s="14" t="str"/>
      <x:c r="M421" s="14" t="str">
        <x:v>Alternate</x:v>
      </x:c>
      <x:c r="N421" s="14" t="n">
        <x:f>IF(E421&lt;&gt;"",1,0)+IF(F421&lt;&gt;"",1,0)+IF(H421&lt;&gt;"",1,0)+IF(J421&lt;&gt;"",1,0)+IF(L421&lt;&gt;"",1,0)</x:f>
        <x:v>1</x:v>
      </x:c>
      <x:c r="O421" s="14" t="str">
        <x:f>IF(E421="","MISSING MAIN",IF(N421=1,"MAIN ONLY","MULTI-PHOTO"))</x:f>
        <x:v>MAIN ONLY</x:v>
      </x:c>
      <x:c r="P421" s="14" t="str">
        <x:v>0472_</x:v>
      </x:c>
      <x:c r="Q421" s="14" t="str">
        <x:v>https://mb1advancedsolutions.github.io/mb1-catalog/index.html?design=0472</x:v>
      </x:c>
      <x:c r="R421" s="14" t="str"/>
    </x:row>
    <x:row r="422">
      <x:c r="A422" s="13" t="str">
        <x:v>MB1-0473</x:v>
      </x:c>
      <x:c r="B422" s="13" t="str">
        <x:v>MB1-0473</x:v>
      </x:c>
      <x:c r="C422" s="14" t="str">
        <x:v>pumpkin stake 4</x:v>
      </x:c>
      <x:c r="D422" s="14" t="str">
        <x:v>seasonal and holiday</x:v>
      </x:c>
      <x:c r="E422" s="14" t="str">
        <x:v>https://res.cloudinary.com/oxygre42/image/upload/f_auto,q_auto,c_pad,b_white,w_1200,h_1200/v1788349560/0473_pumpkin_stake_4.png</x:v>
      </x:c>
      <x:c r="F422" s="14" t="str"/>
      <x:c r="G422" s="14" t="str">
        <x:v>Lifestyle</x:v>
      </x:c>
      <x:c r="H422" s="14" t="str"/>
      <x:c r="I422" s="14" t="str">
        <x:v>Detail</x:v>
      </x:c>
      <x:c r="J422" s="14" t="str"/>
      <x:c r="K422" s="14" t="str">
        <x:v>Scale</x:v>
      </x:c>
      <x:c r="L422" s="14" t="str"/>
      <x:c r="M422" s="14" t="str">
        <x:v>Alternate</x:v>
      </x:c>
      <x:c r="N422" s="14" t="n">
        <x:f>IF(E422&lt;&gt;"",1,0)+IF(F422&lt;&gt;"",1,0)+IF(H422&lt;&gt;"",1,0)+IF(J422&lt;&gt;"",1,0)+IF(L422&lt;&gt;"",1,0)</x:f>
        <x:v>1</x:v>
      </x:c>
      <x:c r="O422" s="14" t="str">
        <x:f>IF(E422="","MISSING MAIN",IF(N422=1,"MAIN ONLY","MULTI-PHOTO"))</x:f>
        <x:v>MAIN ONLY</x:v>
      </x:c>
      <x:c r="P422" s="14" t="str">
        <x:v>0473_</x:v>
      </x:c>
      <x:c r="Q422" s="14" t="str">
        <x:v>https://mb1advancedsolutions.github.io/mb1-catalog/index.html?design=0473</x:v>
      </x:c>
      <x:c r="R422" s="14" t="str"/>
    </x:row>
    <x:row r="423">
      <x:c r="A423" s="13" t="str">
        <x:v>MB1-0474</x:v>
      </x:c>
      <x:c r="B423" s="13" t="str">
        <x:v>MB1-0474</x:v>
      </x:c>
      <x:c r="C423" s="14" t="str">
        <x:v>pumpkin stake 5 </x:v>
      </x:c>
      <x:c r="D423" s="14" t="str">
        <x:v>seasonal and holiday</x:v>
      </x:c>
      <x:c r="E423" s="14" t="str">
        <x:v>https://res.cloudinary.com/oxygre42/image/upload/f_auto,q_auto,c_pad,b_white,w_1200,h_1200/v1788349562/0474_pumpkin_stake_5.png</x:v>
      </x:c>
      <x:c r="F423" s="14" t="str"/>
      <x:c r="G423" s="14" t="str">
        <x:v>Lifestyle</x:v>
      </x:c>
      <x:c r="H423" s="14" t="str"/>
      <x:c r="I423" s="14" t="str">
        <x:v>Detail</x:v>
      </x:c>
      <x:c r="J423" s="14" t="str"/>
      <x:c r="K423" s="14" t="str">
        <x:v>Scale</x:v>
      </x:c>
      <x:c r="L423" s="14" t="str"/>
      <x:c r="M423" s="14" t="str">
        <x:v>Alternate</x:v>
      </x:c>
      <x:c r="N423" s="14" t="n">
        <x:f>IF(E423&lt;&gt;"",1,0)+IF(F423&lt;&gt;"",1,0)+IF(H423&lt;&gt;"",1,0)+IF(J423&lt;&gt;"",1,0)+IF(L423&lt;&gt;"",1,0)</x:f>
        <x:v>1</x:v>
      </x:c>
      <x:c r="O423" s="14" t="str">
        <x:f>IF(E423="","MISSING MAIN",IF(N423=1,"MAIN ONLY","MULTI-PHOTO"))</x:f>
        <x:v>MAIN ONLY</x:v>
      </x:c>
      <x:c r="P423" s="14" t="str">
        <x:v>0474_</x:v>
      </x:c>
      <x:c r="Q423" s="14" t="str">
        <x:v>https://mb1advancedsolutions.github.io/mb1-catalog/index.html?design=0474</x:v>
      </x:c>
      <x:c r="R423" s="14" t="str"/>
    </x:row>
    <x:row r="424">
      <x:c r="A424" s="13" t="str">
        <x:v>MB1-0475</x:v>
      </x:c>
      <x:c r="B424" s="13" t="str">
        <x:v>MB1-0475</x:v>
      </x:c>
      <x:c r="C424" s="14" t="str">
        <x:v>pumpkins</x:v>
      </x:c>
      <x:c r="D424" s="14" t="str">
        <x:v>seasonal and holiday</x:v>
      </x:c>
      <x:c r="E424" s="14" t="str">
        <x:v>https://res.cloudinary.com/oxygre42/image/upload/f_auto,q_auto,c_pad,b_white,w_1200,h_1200/v1788349564/0475_pumpkins.png</x:v>
      </x:c>
      <x:c r="F424" s="14" t="str"/>
      <x:c r="G424" s="14" t="str">
        <x:v>Lifestyle</x:v>
      </x:c>
      <x:c r="H424" s="14" t="str"/>
      <x:c r="I424" s="14" t="str">
        <x:v>Detail</x:v>
      </x:c>
      <x:c r="J424" s="14" t="str"/>
      <x:c r="K424" s="14" t="str">
        <x:v>Scale</x:v>
      </x:c>
      <x:c r="L424" s="14" t="str"/>
      <x:c r="M424" s="14" t="str">
        <x:v>Alternate</x:v>
      </x:c>
      <x:c r="N424" s="14" t="n">
        <x:f>IF(E424&lt;&gt;"",1,0)+IF(F424&lt;&gt;"",1,0)+IF(H424&lt;&gt;"",1,0)+IF(J424&lt;&gt;"",1,0)+IF(L424&lt;&gt;"",1,0)</x:f>
        <x:v>1</x:v>
      </x:c>
      <x:c r="O424" s="14" t="str">
        <x:f>IF(E424="","MISSING MAIN",IF(N424=1,"MAIN ONLY","MULTI-PHOTO"))</x:f>
        <x:v>MAIN ONLY</x:v>
      </x:c>
      <x:c r="P424" s="14" t="str">
        <x:v>0475_</x:v>
      </x:c>
      <x:c r="Q424" s="14" t="str">
        <x:v>https://mb1advancedsolutions.github.io/mb1-catalog/index.html?design=0475</x:v>
      </x:c>
      <x:c r="R424" s="14" t="str"/>
    </x:row>
    <x:row r="425">
      <x:c r="A425" s="13" t="str">
        <x:v>MB1-0476</x:v>
      </x:c>
      <x:c r="B425" s="13" t="str">
        <x:v>MB1-0476</x:v>
      </x:c>
      <x:c r="C425" s="14" t="str">
        <x:v>welcome pumpkins monogram</x:v>
      </x:c>
      <x:c r="D425" s="14" t="str">
        <x:v>seasonal and holiday</x:v>
      </x:c>
      <x:c r="E425" s="14" t="str">
        <x:v>https://res.cloudinary.com/oxygre42/image/upload/f_auto,q_auto,c_pad,b_white,w_1200,h_1200/v1788349566/0476_welcome_pumpkins_monogram.png</x:v>
      </x:c>
      <x:c r="F425" s="14" t="str"/>
      <x:c r="G425" s="14" t="str">
        <x:v>Lifestyle</x:v>
      </x:c>
      <x:c r="H425" s="14" t="str"/>
      <x:c r="I425" s="14" t="str">
        <x:v>Detail</x:v>
      </x:c>
      <x:c r="J425" s="14" t="str"/>
      <x:c r="K425" s="14" t="str">
        <x:v>Scale</x:v>
      </x:c>
      <x:c r="L425" s="14" t="str"/>
      <x:c r="M425" s="14" t="str">
        <x:v>Alternate</x:v>
      </x:c>
      <x:c r="N425" s="14" t="n">
        <x:f>IF(E425&lt;&gt;"",1,0)+IF(F425&lt;&gt;"",1,0)+IF(H425&lt;&gt;"",1,0)+IF(J425&lt;&gt;"",1,0)+IF(L425&lt;&gt;"",1,0)</x:f>
        <x:v>1</x:v>
      </x:c>
      <x:c r="O425" s="14" t="str">
        <x:f>IF(E425="","MISSING MAIN",IF(N425=1,"MAIN ONLY","MULTI-PHOTO"))</x:f>
        <x:v>MAIN ONLY</x:v>
      </x:c>
      <x:c r="P425" s="14" t="str">
        <x:v>0476_</x:v>
      </x:c>
      <x:c r="Q425" s="14" t="str">
        <x:v>https://mb1advancedsolutions.github.io/mb1-catalog/index.html?design=0476</x:v>
      </x:c>
      <x:c r="R425" s="14" t="str"/>
    </x:row>
    <x:row r="426">
      <x:c r="A426" s="13" t="str">
        <x:v>MB1-0477</x:v>
      </x:c>
      <x:c r="B426" s="13" t="str">
        <x:v>MB1-0477</x:v>
      </x:c>
      <x:c r="C426" s="14" t="str">
        <x:v>welcome sign spider v1</x:v>
      </x:c>
      <x:c r="D426" s="14" t="str">
        <x:v>seasonal and holiday</x:v>
      </x:c>
      <x:c r="E426" s="14" t="str">
        <x:v>https://res.cloudinary.com/oxygre42/image/upload/f_auto,q_auto,c_pad,b_white,w_1200,h_1200/v1788349568/0477_welcome_sign_spider_v1.png</x:v>
      </x:c>
      <x:c r="F426" s="14" t="str"/>
      <x:c r="G426" s="14" t="str">
        <x:v>Lifestyle</x:v>
      </x:c>
      <x:c r="H426" s="14" t="str"/>
      <x:c r="I426" s="14" t="str">
        <x:v>Detail</x:v>
      </x:c>
      <x:c r="J426" s="14" t="str"/>
      <x:c r="K426" s="14" t="str">
        <x:v>Scale</x:v>
      </x:c>
      <x:c r="L426" s="14" t="str"/>
      <x:c r="M426" s="14" t="str">
        <x:v>Alternate</x:v>
      </x:c>
      <x:c r="N426" s="14" t="n">
        <x:f>IF(E426&lt;&gt;"",1,0)+IF(F426&lt;&gt;"",1,0)+IF(H426&lt;&gt;"",1,0)+IF(J426&lt;&gt;"",1,0)+IF(L426&lt;&gt;"",1,0)</x:f>
        <x:v>1</x:v>
      </x:c>
      <x:c r="O426" s="14" t="str">
        <x:f>IF(E426="","MISSING MAIN",IF(N426=1,"MAIN ONLY","MULTI-PHOTO"))</x:f>
        <x:v>MAIN ONLY</x:v>
      </x:c>
      <x:c r="P426" s="14" t="str">
        <x:v>0477_</x:v>
      </x:c>
      <x:c r="Q426" s="14" t="str">
        <x:v>https://mb1advancedsolutions.github.io/mb1-catalog/index.html?design=0477</x:v>
      </x:c>
      <x:c r="R426" s="14" t="str"/>
    </x:row>
    <x:row r="427">
      <x:c r="A427" s="13" t="str">
        <x:v>MB1-0478</x:v>
      </x:c>
      <x:c r="B427" s="13" t="str">
        <x:v>MB1-0478</x:v>
      </x:c>
      <x:c r="C427" s="14" t="str">
        <x:v>welcome sign spider v2</x:v>
      </x:c>
      <x:c r="D427" s="14" t="str">
        <x:v>seasonal and holiday</x:v>
      </x:c>
      <x:c r="E427" s="14" t="str">
        <x:v>https://res.cloudinary.com/oxygre42/image/upload/f_auto,q_auto,c_pad,b_white,w_1200,h_1200/v1788349570/0478_welcome_sign_spider_v2.png</x:v>
      </x:c>
      <x:c r="F427" s="14" t="str"/>
      <x:c r="G427" s="14" t="str">
        <x:v>Lifestyle</x:v>
      </x:c>
      <x:c r="H427" s="14" t="str"/>
      <x:c r="I427" s="14" t="str">
        <x:v>Detail</x:v>
      </x:c>
      <x:c r="J427" s="14" t="str"/>
      <x:c r="K427" s="14" t="str">
        <x:v>Scale</x:v>
      </x:c>
      <x:c r="L427" s="14" t="str"/>
      <x:c r="M427" s="14" t="str">
        <x:v>Alternate</x:v>
      </x:c>
      <x:c r="N427" s="14" t="n">
        <x:f>IF(E427&lt;&gt;"",1,0)+IF(F427&lt;&gt;"",1,0)+IF(H427&lt;&gt;"",1,0)+IF(J427&lt;&gt;"",1,0)+IF(L427&lt;&gt;"",1,0)</x:f>
        <x:v>1</x:v>
      </x:c>
      <x:c r="O427" s="14" t="str">
        <x:f>IF(E427="","MISSING MAIN",IF(N427=1,"MAIN ONLY","MULTI-PHOTO"))</x:f>
        <x:v>MAIN ONLY</x:v>
      </x:c>
      <x:c r="P427" s="14" t="str">
        <x:v>0478_</x:v>
      </x:c>
      <x:c r="Q427" s="14" t="str">
        <x:v>https://mb1advancedsolutions.github.io/mb1-catalog/index.html?design=0478</x:v>
      </x:c>
      <x:c r="R427" s="14" t="str"/>
    </x:row>
    <x:row r="428">
      <x:c r="A428" s="13" t="str">
        <x:v>MB1-0479</x:v>
      </x:c>
      <x:c r="B428" s="13" t="str">
        <x:v>MB1-0479</x:v>
      </x:c>
      <x:c r="C428" s="14" t="str">
        <x:v>welcome spider monogram sign</x:v>
      </x:c>
      <x:c r="D428" s="14" t="str">
        <x:v>seasonal and holiday</x:v>
      </x:c>
      <x:c r="E428" s="14" t="str">
        <x:v>https://res.cloudinary.com/oxygre42/image/upload/f_auto,q_auto,c_pad,b_white,w_1200,h_1200/v1788349572/0479_welcome_spider_monogram_sign.png</x:v>
      </x:c>
      <x:c r="F428" s="14" t="str"/>
      <x:c r="G428" s="14" t="str">
        <x:v>Lifestyle</x:v>
      </x:c>
      <x:c r="H428" s="14" t="str"/>
      <x:c r="I428" s="14" t="str">
        <x:v>Detail</x:v>
      </x:c>
      <x:c r="J428" s="14" t="str"/>
      <x:c r="K428" s="14" t="str">
        <x:v>Scale</x:v>
      </x:c>
      <x:c r="L428" s="14" t="str"/>
      <x:c r="M428" s="14" t="str">
        <x:v>Alternate</x:v>
      </x:c>
      <x:c r="N428" s="14" t="n">
        <x:f>IF(E428&lt;&gt;"",1,0)+IF(F428&lt;&gt;"",1,0)+IF(H428&lt;&gt;"",1,0)+IF(J428&lt;&gt;"",1,0)+IF(L428&lt;&gt;"",1,0)</x:f>
        <x:v>1</x:v>
      </x:c>
      <x:c r="O428" s="14" t="str">
        <x:f>IF(E428="","MISSING MAIN",IF(N428=1,"MAIN ONLY","MULTI-PHOTO"))</x:f>
        <x:v>MAIN ONLY</x:v>
      </x:c>
      <x:c r="P428" s="14" t="str">
        <x:v>0479_</x:v>
      </x:c>
      <x:c r="Q428" s="14" t="str">
        <x:v>https://mb1advancedsolutions.github.io/mb1-catalog/index.html?design=0479</x:v>
      </x:c>
      <x:c r="R428" s="14" t="str"/>
    </x:row>
    <x:row r="429">
      <x:c r="A429" s="13" t="str">
        <x:v>MB1-0480</x:v>
      </x:c>
      <x:c r="B429" s="13" t="str">
        <x:v>MB1-0480</x:v>
      </x:c>
      <x:c r="C429" s="14" t="str">
        <x:v>INFINITY</x:v>
      </x:c>
      <x:c r="D429" s="14" t="str">
        <x:v>home decor and inspirational</x:v>
      </x:c>
      <x:c r="E429" s="14" t="str">
        <x:v>https://res.cloudinary.com/oxygre42/image/upload/f_auto,q_auto,c_pad,b_white,w_1200,h_1200/v1788349574/0480_INFINITY.png</x:v>
      </x:c>
      <x:c r="F429" s="14" t="str"/>
      <x:c r="G429" s="14" t="str">
        <x:v>Lifestyle</x:v>
      </x:c>
      <x:c r="H429" s="14" t="str"/>
      <x:c r="I429" s="14" t="str">
        <x:v>Detail</x:v>
      </x:c>
      <x:c r="J429" s="14" t="str"/>
      <x:c r="K429" s="14" t="str">
        <x:v>Scale</x:v>
      </x:c>
      <x:c r="L429" s="14" t="str"/>
      <x:c r="M429" s="14" t="str">
        <x:v>Alternate</x:v>
      </x:c>
      <x:c r="N429" s="14" t="n">
        <x:f>IF(E429&lt;&gt;"",1,0)+IF(F429&lt;&gt;"",1,0)+IF(H429&lt;&gt;"",1,0)+IF(J429&lt;&gt;"",1,0)+IF(L429&lt;&gt;"",1,0)</x:f>
        <x:v>1</x:v>
      </x:c>
      <x:c r="O429" s="14" t="str">
        <x:f>IF(E429="","MISSING MAIN",IF(N429=1,"MAIN ONLY","MULTI-PHOTO"))</x:f>
        <x:v>MAIN ONLY</x:v>
      </x:c>
      <x:c r="P429" s="14" t="str">
        <x:v>0480_</x:v>
      </x:c>
      <x:c r="Q429" s="14" t="str">
        <x:v>https://mb1advancedsolutions.github.io/mb1-catalog/index.html?design=0480</x:v>
      </x:c>
      <x:c r="R429" s="14" t="str"/>
    </x:row>
    <x:row r="430">
      <x:c r="A430" s="13" t="str">
        <x:v>MB1-0481</x:v>
      </x:c>
      <x:c r="B430" s="13" t="str">
        <x:v>MB1-0481</x:v>
      </x:c>
      <x:c r="C430" s="14" t="str">
        <x:v>tree of life 34</x:v>
      </x:c>
      <x:c r="D430" s="14" t="str">
        <x:v>home decor and inspirational</x:v>
      </x:c>
      <x:c r="E430" s="14" t="str">
        <x:v>https://res.cloudinary.com/oxygre42/image/upload/f_auto,q_auto,c_pad,b_white,w_1200,h_1200/v1788349575/0481_tree_of_life_34.png</x:v>
      </x:c>
      <x:c r="F430" s="14" t="str"/>
      <x:c r="G430" s="14" t="str">
        <x:v>Lifestyle</x:v>
      </x:c>
      <x:c r="H430" s="14" t="str"/>
      <x:c r="I430" s="14" t="str">
        <x:v>Detail</x:v>
      </x:c>
      <x:c r="J430" s="14" t="str"/>
      <x:c r="K430" s="14" t="str">
        <x:v>Scale</x:v>
      </x:c>
      <x:c r="L430" s="14" t="str"/>
      <x:c r="M430" s="14" t="str">
        <x:v>Alternate</x:v>
      </x:c>
      <x:c r="N430" s="14" t="n">
        <x:f>IF(E430&lt;&gt;"",1,0)+IF(F430&lt;&gt;"",1,0)+IF(H430&lt;&gt;"",1,0)+IF(J430&lt;&gt;"",1,0)+IF(L430&lt;&gt;"",1,0)</x:f>
        <x:v>1</x:v>
      </x:c>
      <x:c r="O430" s="14" t="str">
        <x:f>IF(E430="","MISSING MAIN",IF(N430=1,"MAIN ONLY","MULTI-PHOTO"))</x:f>
        <x:v>MAIN ONLY</x:v>
      </x:c>
      <x:c r="P430" s="14" t="str">
        <x:v>0481_</x:v>
      </x:c>
      <x:c r="Q430" s="14" t="str">
        <x:v>https://mb1advancedsolutions.github.io/mb1-catalog/index.html?design=0481</x:v>
      </x:c>
      <x:c r="R430" s="14" t="str"/>
    </x:row>
    <x:row r="431">
      <x:c r="A431" s="13" t="str">
        <x:v>MB1-0482</x:v>
      </x:c>
      <x:c r="B431" s="13" t="str">
        <x:v>MB1-0482</x:v>
      </x:c>
      <x:c r="C431" s="14" t="str">
        <x:v>V DAY 1</x:v>
      </x:c>
      <x:c r="D431" s="14" t="str">
        <x:v>seasonal and holiday</x:v>
      </x:c>
      <x:c r="E431" s="14" t="str">
        <x:v>https://res.cloudinary.com/oxygre42/image/upload/f_auto,q_auto,c_pad,b_white,w_1200,h_1200/v1788349577/0482_V_DAY_1.png</x:v>
      </x:c>
      <x:c r="F431" s="14" t="str"/>
      <x:c r="G431" s="14" t="str">
        <x:v>Lifestyle</x:v>
      </x:c>
      <x:c r="H431" s="14" t="str"/>
      <x:c r="I431" s="14" t="str">
        <x:v>Detail</x:v>
      </x:c>
      <x:c r="J431" s="14" t="str"/>
      <x:c r="K431" s="14" t="str">
        <x:v>Scale</x:v>
      </x:c>
      <x:c r="L431" s="14" t="str"/>
      <x:c r="M431" s="14" t="str">
        <x:v>Alternate</x:v>
      </x:c>
      <x:c r="N431" s="14" t="n">
        <x:f>IF(E431&lt;&gt;"",1,0)+IF(F431&lt;&gt;"",1,0)+IF(H431&lt;&gt;"",1,0)+IF(J431&lt;&gt;"",1,0)+IF(L431&lt;&gt;"",1,0)</x:f>
        <x:v>1</x:v>
      </x:c>
      <x:c r="O431" s="14" t="str">
        <x:f>IF(E431="","MISSING MAIN",IF(N431=1,"MAIN ONLY","MULTI-PHOTO"))</x:f>
        <x:v>MAIN ONLY</x:v>
      </x:c>
      <x:c r="P431" s="14" t="str">
        <x:v>0482_</x:v>
      </x:c>
      <x:c r="Q431" s="14" t="str">
        <x:v>https://mb1advancedsolutions.github.io/mb1-catalog/index.html?design=0482</x:v>
      </x:c>
      <x:c r="R431" s="14" t="str"/>
    </x:row>
    <x:row r="432">
      <x:c r="A432" s="13" t="str">
        <x:v>MB1-0483</x:v>
      </x:c>
      <x:c r="B432" s="13" t="str">
        <x:v>MB1-0483</x:v>
      </x:c>
      <x:c r="C432" s="14" t="str">
        <x:v>V DAY 10</x:v>
      </x:c>
      <x:c r="D432" s="14" t="str">
        <x:v>seasonal and holiday</x:v>
      </x:c>
      <x:c r="E432" s="14" t="str">
        <x:v>https://res.cloudinary.com/oxygre42/image/upload/f_auto,q_auto,c_pad,b_white,w_1200,h_1200/v1788349579/0483_V_DAY_10.png</x:v>
      </x:c>
      <x:c r="F432" s="14" t="str"/>
      <x:c r="G432" s="14" t="str">
        <x:v>Lifestyle</x:v>
      </x:c>
      <x:c r="H432" s="14" t="str"/>
      <x:c r="I432" s="14" t="str">
        <x:v>Detail</x:v>
      </x:c>
      <x:c r="J432" s="14" t="str"/>
      <x:c r="K432" s="14" t="str">
        <x:v>Scale</x:v>
      </x:c>
      <x:c r="L432" s="14" t="str"/>
      <x:c r="M432" s="14" t="str">
        <x:v>Alternate</x:v>
      </x:c>
      <x:c r="N432" s="14" t="n">
        <x:f>IF(E432&lt;&gt;"",1,0)+IF(F432&lt;&gt;"",1,0)+IF(H432&lt;&gt;"",1,0)+IF(J432&lt;&gt;"",1,0)+IF(L432&lt;&gt;"",1,0)</x:f>
        <x:v>1</x:v>
      </x:c>
      <x:c r="O432" s="14" t="str">
        <x:f>IF(E432="","MISSING MAIN",IF(N432=1,"MAIN ONLY","MULTI-PHOTO"))</x:f>
        <x:v>MAIN ONLY</x:v>
      </x:c>
      <x:c r="P432" s="14" t="str">
        <x:v>0483_</x:v>
      </x:c>
      <x:c r="Q432" s="14" t="str">
        <x:v>https://mb1advancedsolutions.github.io/mb1-catalog/index.html?design=0483</x:v>
      </x:c>
      <x:c r="R432" s="14" t="str"/>
    </x:row>
    <x:row r="433">
      <x:c r="A433" s="13" t="str">
        <x:v>MB1-0484</x:v>
      </x:c>
      <x:c r="B433" s="13" t="str">
        <x:v>MB1-0484</x:v>
      </x:c>
      <x:c r="C433" s="14" t="str">
        <x:v>V DAY 11</x:v>
      </x:c>
      <x:c r="D433" s="14" t="str">
        <x:v>seasonal and holiday</x:v>
      </x:c>
      <x:c r="E433" s="14" t="str">
        <x:v>https://res.cloudinary.com/oxygre42/image/upload/f_auto,q_auto,c_pad,b_white,w_1200,h_1200/v1788349581/0484_V_DAY_11.png</x:v>
      </x:c>
      <x:c r="F433" s="14" t="str"/>
      <x:c r="G433" s="14" t="str">
        <x:v>Lifestyle</x:v>
      </x:c>
      <x:c r="H433" s="14" t="str"/>
      <x:c r="I433" s="14" t="str">
        <x:v>Detail</x:v>
      </x:c>
      <x:c r="J433" s="14" t="str"/>
      <x:c r="K433" s="14" t="str">
        <x:v>Scale</x:v>
      </x:c>
      <x:c r="L433" s="14" t="str"/>
      <x:c r="M433" s="14" t="str">
        <x:v>Alternate</x:v>
      </x:c>
      <x:c r="N433" s="14" t="n">
        <x:f>IF(E433&lt;&gt;"",1,0)+IF(F433&lt;&gt;"",1,0)+IF(H433&lt;&gt;"",1,0)+IF(J433&lt;&gt;"",1,0)+IF(L433&lt;&gt;"",1,0)</x:f>
        <x:v>1</x:v>
      </x:c>
      <x:c r="O433" s="14" t="str">
        <x:f>IF(E433="","MISSING MAIN",IF(N433=1,"MAIN ONLY","MULTI-PHOTO"))</x:f>
        <x:v>MAIN ONLY</x:v>
      </x:c>
      <x:c r="P433" s="14" t="str">
        <x:v>0484_</x:v>
      </x:c>
      <x:c r="Q433" s="14" t="str">
        <x:v>https://mb1advancedsolutions.github.io/mb1-catalog/index.html?design=0484</x:v>
      </x:c>
      <x:c r="R433" s="14" t="str"/>
    </x:row>
    <x:row r="434">
      <x:c r="A434" s="13" t="str">
        <x:v>MB1-0485</x:v>
      </x:c>
      <x:c r="B434" s="13" t="str">
        <x:v>MB1-0485</x:v>
      </x:c>
      <x:c r="C434" s="14" t="str">
        <x:v>V DAY 12</x:v>
      </x:c>
      <x:c r="D434" s="14" t="str">
        <x:v>seasonal and holiday</x:v>
      </x:c>
      <x:c r="E434" s="14" t="str">
        <x:v>https://res.cloudinary.com/oxygre42/image/upload/f_auto,q_auto,c_pad,b_white,w_1200,h_1200/v1788349583/0485_V_DAY_12.png</x:v>
      </x:c>
      <x:c r="F434" s="14" t="str"/>
      <x:c r="G434" s="14" t="str">
        <x:v>Lifestyle</x:v>
      </x:c>
      <x:c r="H434" s="14" t="str"/>
      <x:c r="I434" s="14" t="str">
        <x:v>Detail</x:v>
      </x:c>
      <x:c r="J434" s="14" t="str"/>
      <x:c r="K434" s="14" t="str">
        <x:v>Scale</x:v>
      </x:c>
      <x:c r="L434" s="14" t="str"/>
      <x:c r="M434" s="14" t="str">
        <x:v>Alternate</x:v>
      </x:c>
      <x:c r="N434" s="14" t="n">
        <x:f>IF(E434&lt;&gt;"",1,0)+IF(F434&lt;&gt;"",1,0)+IF(H434&lt;&gt;"",1,0)+IF(J434&lt;&gt;"",1,0)+IF(L434&lt;&gt;"",1,0)</x:f>
        <x:v>1</x:v>
      </x:c>
      <x:c r="O434" s="14" t="str">
        <x:f>IF(E434="","MISSING MAIN",IF(N434=1,"MAIN ONLY","MULTI-PHOTO"))</x:f>
        <x:v>MAIN ONLY</x:v>
      </x:c>
      <x:c r="P434" s="14" t="str">
        <x:v>0485_</x:v>
      </x:c>
      <x:c r="Q434" s="14" t="str">
        <x:v>https://mb1advancedsolutions.github.io/mb1-catalog/index.html?design=0485</x:v>
      </x:c>
      <x:c r="R434" s="14" t="str"/>
    </x:row>
    <x:row r="435">
      <x:c r="A435" s="13" t="str">
        <x:v>MB1-0486</x:v>
      </x:c>
      <x:c r="B435" s="13" t="str">
        <x:v>MB1-0486</x:v>
      </x:c>
      <x:c r="C435" s="14" t="str">
        <x:v>V DAY 13</x:v>
      </x:c>
      <x:c r="D435" s="14" t="str">
        <x:v>seasonal and holiday</x:v>
      </x:c>
      <x:c r="E435" s="14" t="str">
        <x:v>https://res.cloudinary.com/oxygre42/image/upload/f_auto,q_auto,c_pad,b_white,w_1200,h_1200/v1788349585/0486_V_DAY_13.png</x:v>
      </x:c>
      <x:c r="F435" s="14" t="str"/>
      <x:c r="G435" s="14" t="str">
        <x:v>Lifestyle</x:v>
      </x:c>
      <x:c r="H435" s="14" t="str"/>
      <x:c r="I435" s="14" t="str">
        <x:v>Detail</x:v>
      </x:c>
      <x:c r="J435" s="14" t="str"/>
      <x:c r="K435" s="14" t="str">
        <x:v>Scale</x:v>
      </x:c>
      <x:c r="L435" s="14" t="str"/>
      <x:c r="M435" s="14" t="str">
        <x:v>Alternate</x:v>
      </x:c>
      <x:c r="N435" s="14" t="n">
        <x:f>IF(E435&lt;&gt;"",1,0)+IF(F435&lt;&gt;"",1,0)+IF(H435&lt;&gt;"",1,0)+IF(J435&lt;&gt;"",1,0)+IF(L435&lt;&gt;"",1,0)</x:f>
        <x:v>1</x:v>
      </x:c>
      <x:c r="O435" s="14" t="str">
        <x:f>IF(E435="","MISSING MAIN",IF(N435=1,"MAIN ONLY","MULTI-PHOTO"))</x:f>
        <x:v>MAIN ONLY</x:v>
      </x:c>
      <x:c r="P435" s="14" t="str">
        <x:v>0486_</x:v>
      </x:c>
      <x:c r="Q435" s="14" t="str">
        <x:v>https://mb1advancedsolutions.github.io/mb1-catalog/index.html?design=0486</x:v>
      </x:c>
      <x:c r="R435" s="14" t="str"/>
    </x:row>
    <x:row r="436">
      <x:c r="A436" s="13" t="str">
        <x:v>MB1-0487</x:v>
      </x:c>
      <x:c r="B436" s="13" t="str">
        <x:v>MB1-0487</x:v>
      </x:c>
      <x:c r="C436" s="14" t="str">
        <x:v>V DAY 14</x:v>
      </x:c>
      <x:c r="D436" s="14" t="str">
        <x:v>seasonal and holiday</x:v>
      </x:c>
      <x:c r="E436" s="14" t="str">
        <x:v>https://res.cloudinary.com/oxygre42/image/upload/f_auto,q_auto,c_pad,b_white,w_1200,h_1200/v1788349587/0487_V_DAY_14.png</x:v>
      </x:c>
      <x:c r="F436" s="14" t="str"/>
      <x:c r="G436" s="14" t="str">
        <x:v>Lifestyle</x:v>
      </x:c>
      <x:c r="H436" s="14" t="str"/>
      <x:c r="I436" s="14" t="str">
        <x:v>Detail</x:v>
      </x:c>
      <x:c r="J436" s="14" t="str"/>
      <x:c r="K436" s="14" t="str">
        <x:v>Scale</x:v>
      </x:c>
      <x:c r="L436" s="14" t="str"/>
      <x:c r="M436" s="14" t="str">
        <x:v>Alternate</x:v>
      </x:c>
      <x:c r="N436" s="14" t="n">
        <x:f>IF(E436&lt;&gt;"",1,0)+IF(F436&lt;&gt;"",1,0)+IF(H436&lt;&gt;"",1,0)+IF(J436&lt;&gt;"",1,0)+IF(L436&lt;&gt;"",1,0)</x:f>
        <x:v>1</x:v>
      </x:c>
      <x:c r="O436" s="14" t="str">
        <x:f>IF(E436="","MISSING MAIN",IF(N436=1,"MAIN ONLY","MULTI-PHOTO"))</x:f>
        <x:v>MAIN ONLY</x:v>
      </x:c>
      <x:c r="P436" s="14" t="str">
        <x:v>0487_</x:v>
      </x:c>
      <x:c r="Q436" s="14" t="str">
        <x:v>https://mb1advancedsolutions.github.io/mb1-catalog/index.html?design=0487</x:v>
      </x:c>
      <x:c r="R436" s="14" t="str"/>
    </x:row>
    <x:row r="437">
      <x:c r="A437" s="13" t="str">
        <x:v>MB1-0488</x:v>
      </x:c>
      <x:c r="B437" s="13" t="str">
        <x:v>MB1-0488</x:v>
      </x:c>
      <x:c r="C437" s="14" t="str">
        <x:v>V DAY 15</x:v>
      </x:c>
      <x:c r="D437" s="14" t="str">
        <x:v>seasonal and holiday</x:v>
      </x:c>
      <x:c r="E437" s="14" t="str">
        <x:v>https://res.cloudinary.com/oxygre42/image/upload/f_auto,q_auto,c_pad,b_white,w_1200,h_1200/v1788349588/0488_V_DAY_15.png</x:v>
      </x:c>
      <x:c r="F437" s="14" t="str"/>
      <x:c r="G437" s="14" t="str">
        <x:v>Lifestyle</x:v>
      </x:c>
      <x:c r="H437" s="14" t="str"/>
      <x:c r="I437" s="14" t="str">
        <x:v>Detail</x:v>
      </x:c>
      <x:c r="J437" s="14" t="str"/>
      <x:c r="K437" s="14" t="str">
        <x:v>Scale</x:v>
      </x:c>
      <x:c r="L437" s="14" t="str"/>
      <x:c r="M437" s="14" t="str">
        <x:v>Alternate</x:v>
      </x:c>
      <x:c r="N437" s="14" t="n">
        <x:f>IF(E437&lt;&gt;"",1,0)+IF(F437&lt;&gt;"",1,0)+IF(H437&lt;&gt;"",1,0)+IF(J437&lt;&gt;"",1,0)+IF(L437&lt;&gt;"",1,0)</x:f>
        <x:v>1</x:v>
      </x:c>
      <x:c r="O437" s="14" t="str">
        <x:f>IF(E437="","MISSING MAIN",IF(N437=1,"MAIN ONLY","MULTI-PHOTO"))</x:f>
        <x:v>MAIN ONLY</x:v>
      </x:c>
      <x:c r="P437" s="14" t="str">
        <x:v>0488_</x:v>
      </x:c>
      <x:c r="Q437" s="14" t="str">
        <x:v>https://mb1advancedsolutions.github.io/mb1-catalog/index.html?design=0488</x:v>
      </x:c>
      <x:c r="R437" s="14" t="str"/>
    </x:row>
    <x:row r="438">
      <x:c r="A438" s="13" t="str">
        <x:v>MB1-0489</x:v>
      </x:c>
      <x:c r="B438" s="13" t="str">
        <x:v>MB1-0489</x:v>
      </x:c>
      <x:c r="C438" s="14" t="str">
        <x:v>V DAY 16</x:v>
      </x:c>
      <x:c r="D438" s="14" t="str">
        <x:v>seasonal and holiday</x:v>
      </x:c>
      <x:c r="E438" s="14" t="str">
        <x:v>https://res.cloudinary.com/oxygre42/image/upload/f_auto,q_auto,c_pad,b_white,w_1200,h_1200/v1788349590/0489_V_DAY_16.png</x:v>
      </x:c>
      <x:c r="F438" s="14" t="str"/>
      <x:c r="G438" s="14" t="str">
        <x:v>Lifestyle</x:v>
      </x:c>
      <x:c r="H438" s="14" t="str"/>
      <x:c r="I438" s="14" t="str">
        <x:v>Detail</x:v>
      </x:c>
      <x:c r="J438" s="14" t="str"/>
      <x:c r="K438" s="14" t="str">
        <x:v>Scale</x:v>
      </x:c>
      <x:c r="L438" s="14" t="str"/>
      <x:c r="M438" s="14" t="str">
        <x:v>Alternate</x:v>
      </x:c>
      <x:c r="N438" s="14" t="n">
        <x:f>IF(E438&lt;&gt;"",1,0)+IF(F438&lt;&gt;"",1,0)+IF(H438&lt;&gt;"",1,0)+IF(J438&lt;&gt;"",1,0)+IF(L438&lt;&gt;"",1,0)</x:f>
        <x:v>1</x:v>
      </x:c>
      <x:c r="O438" s="14" t="str">
        <x:f>IF(E438="","MISSING MAIN",IF(N438=1,"MAIN ONLY","MULTI-PHOTO"))</x:f>
        <x:v>MAIN ONLY</x:v>
      </x:c>
      <x:c r="P438" s="14" t="str">
        <x:v>0489_</x:v>
      </x:c>
      <x:c r="Q438" s="14" t="str">
        <x:v>https://mb1advancedsolutions.github.io/mb1-catalog/index.html?design=0489</x:v>
      </x:c>
      <x:c r="R438" s="14" t="str"/>
    </x:row>
    <x:row r="439">
      <x:c r="A439" s="13" t="str">
        <x:v>MB1-0490</x:v>
      </x:c>
      <x:c r="B439" s="13" t="str">
        <x:v>MB1-0490</x:v>
      </x:c>
      <x:c r="C439" s="14" t="str">
        <x:v>V DAY 17</x:v>
      </x:c>
      <x:c r="D439" s="14" t="str">
        <x:v>seasonal and holiday</x:v>
      </x:c>
      <x:c r="E439" s="14" t="str">
        <x:v>https://res.cloudinary.com/oxygre42/image/upload/f_auto,q_auto,c_pad,b_white,w_1200,h_1200/v1788349592/0490_V_DAY_17.png</x:v>
      </x:c>
      <x:c r="F439" s="14" t="str"/>
      <x:c r="G439" s="14" t="str">
        <x:v>Lifestyle</x:v>
      </x:c>
      <x:c r="H439" s="14" t="str"/>
      <x:c r="I439" s="14" t="str">
        <x:v>Detail</x:v>
      </x:c>
      <x:c r="J439" s="14" t="str"/>
      <x:c r="K439" s="14" t="str">
        <x:v>Scale</x:v>
      </x:c>
      <x:c r="L439" s="14" t="str"/>
      <x:c r="M439" s="14" t="str">
        <x:v>Alternate</x:v>
      </x:c>
      <x:c r="N439" s="14" t="n">
        <x:f>IF(E439&lt;&gt;"",1,0)+IF(F439&lt;&gt;"",1,0)+IF(H439&lt;&gt;"",1,0)+IF(J439&lt;&gt;"",1,0)+IF(L439&lt;&gt;"",1,0)</x:f>
        <x:v>1</x:v>
      </x:c>
      <x:c r="O439" s="14" t="str">
        <x:f>IF(E439="","MISSING MAIN",IF(N439=1,"MAIN ONLY","MULTI-PHOTO"))</x:f>
        <x:v>MAIN ONLY</x:v>
      </x:c>
      <x:c r="P439" s="14" t="str">
        <x:v>0490_</x:v>
      </x:c>
      <x:c r="Q439" s="14" t="str">
        <x:v>https://mb1advancedsolutions.github.io/mb1-catalog/index.html?design=0490</x:v>
      </x:c>
      <x:c r="R439" s="14" t="str"/>
    </x:row>
    <x:row r="440">
      <x:c r="A440" s="13" t="str">
        <x:v>MB1-0491</x:v>
      </x:c>
      <x:c r="B440" s="13" t="str">
        <x:v>MB1-0491</x:v>
      </x:c>
      <x:c r="C440" s="14" t="str">
        <x:v>V DAY 2</x:v>
      </x:c>
      <x:c r="D440" s="14" t="str">
        <x:v>seasonal and holiday</x:v>
      </x:c>
      <x:c r="E440" s="14" t="str">
        <x:v>https://res.cloudinary.com/oxygre42/image/upload/f_auto,q_auto,c_pad,b_white,w_1200,h_1200/v1788349594/0491_V_DAY_2.png</x:v>
      </x:c>
      <x:c r="F440" s="14" t="str"/>
      <x:c r="G440" s="14" t="str">
        <x:v>Lifestyle</x:v>
      </x:c>
      <x:c r="H440" s="14" t="str"/>
      <x:c r="I440" s="14" t="str">
        <x:v>Detail</x:v>
      </x:c>
      <x:c r="J440" s="14" t="str"/>
      <x:c r="K440" s="14" t="str">
        <x:v>Scale</x:v>
      </x:c>
      <x:c r="L440" s="14" t="str"/>
      <x:c r="M440" s="14" t="str">
        <x:v>Alternate</x:v>
      </x:c>
      <x:c r="N440" s="14" t="n">
        <x:f>IF(E440&lt;&gt;"",1,0)+IF(F440&lt;&gt;"",1,0)+IF(H440&lt;&gt;"",1,0)+IF(J440&lt;&gt;"",1,0)+IF(L440&lt;&gt;"",1,0)</x:f>
        <x:v>1</x:v>
      </x:c>
      <x:c r="O440" s="14" t="str">
        <x:f>IF(E440="","MISSING MAIN",IF(N440=1,"MAIN ONLY","MULTI-PHOTO"))</x:f>
        <x:v>MAIN ONLY</x:v>
      </x:c>
      <x:c r="P440" s="14" t="str">
        <x:v>0491_</x:v>
      </x:c>
      <x:c r="Q440" s="14" t="str">
        <x:v>https://mb1advancedsolutions.github.io/mb1-catalog/index.html?design=0491</x:v>
      </x:c>
      <x:c r="R440" s="14" t="str"/>
    </x:row>
    <x:row r="441">
      <x:c r="A441" s="13" t="str">
        <x:v>MB1-0492</x:v>
      </x:c>
      <x:c r="B441" s="13" t="str">
        <x:v>MB1-0492</x:v>
      </x:c>
      <x:c r="C441" s="14" t="str">
        <x:v>V DAY 3</x:v>
      </x:c>
      <x:c r="D441" s="14" t="str">
        <x:v>seasonal and holiday</x:v>
      </x:c>
      <x:c r="E441" s="14" t="str">
        <x:v>https://res.cloudinary.com/oxygre42/image/upload/f_auto,q_auto,c_pad,b_white,w_1200,h_1200/v1788349596/0492_V_DAY_3.png</x:v>
      </x:c>
      <x:c r="F441" s="14" t="str"/>
      <x:c r="G441" s="14" t="str">
        <x:v>Lifestyle</x:v>
      </x:c>
      <x:c r="H441" s="14" t="str"/>
      <x:c r="I441" s="14" t="str">
        <x:v>Detail</x:v>
      </x:c>
      <x:c r="J441" s="14" t="str"/>
      <x:c r="K441" s="14" t="str">
        <x:v>Scale</x:v>
      </x:c>
      <x:c r="L441" s="14" t="str"/>
      <x:c r="M441" s="14" t="str">
        <x:v>Alternate</x:v>
      </x:c>
      <x:c r="N441" s="14" t="n">
        <x:f>IF(E441&lt;&gt;"",1,0)+IF(F441&lt;&gt;"",1,0)+IF(H441&lt;&gt;"",1,0)+IF(J441&lt;&gt;"",1,0)+IF(L441&lt;&gt;"",1,0)</x:f>
        <x:v>1</x:v>
      </x:c>
      <x:c r="O441" s="14" t="str">
        <x:f>IF(E441="","MISSING MAIN",IF(N441=1,"MAIN ONLY","MULTI-PHOTO"))</x:f>
        <x:v>MAIN ONLY</x:v>
      </x:c>
      <x:c r="P441" s="14" t="str">
        <x:v>0492_</x:v>
      </x:c>
      <x:c r="Q441" s="14" t="str">
        <x:v>https://mb1advancedsolutions.github.io/mb1-catalog/index.html?design=0492</x:v>
      </x:c>
      <x:c r="R441" s="14" t="str"/>
    </x:row>
    <x:row r="442">
      <x:c r="A442" s="13" t="str">
        <x:v>MB1-0493</x:v>
      </x:c>
      <x:c r="B442" s="13" t="str">
        <x:v>MB1-0493</x:v>
      </x:c>
      <x:c r="C442" s="14" t="str">
        <x:v>V DAY 4</x:v>
      </x:c>
      <x:c r="D442" s="14" t="str">
        <x:v>seasonal and holiday</x:v>
      </x:c>
      <x:c r="E442" s="14" t="str">
        <x:v>https://res.cloudinary.com/oxygre42/image/upload/f_auto,q_auto,c_pad,b_white,w_1200,h_1200/v1788349598/0493_V_DAY_4.png</x:v>
      </x:c>
      <x:c r="F442" s="14" t="str"/>
      <x:c r="G442" s="14" t="str">
        <x:v>Lifestyle</x:v>
      </x:c>
      <x:c r="H442" s="14" t="str"/>
      <x:c r="I442" s="14" t="str">
        <x:v>Detail</x:v>
      </x:c>
      <x:c r="J442" s="14" t="str"/>
      <x:c r="K442" s="14" t="str">
        <x:v>Scale</x:v>
      </x:c>
      <x:c r="L442" s="14" t="str"/>
      <x:c r="M442" s="14" t="str">
        <x:v>Alternate</x:v>
      </x:c>
      <x:c r="N442" s="14" t="n">
        <x:f>IF(E442&lt;&gt;"",1,0)+IF(F442&lt;&gt;"",1,0)+IF(H442&lt;&gt;"",1,0)+IF(J442&lt;&gt;"",1,0)+IF(L442&lt;&gt;"",1,0)</x:f>
        <x:v>1</x:v>
      </x:c>
      <x:c r="O442" s="14" t="str">
        <x:f>IF(E442="","MISSING MAIN",IF(N442=1,"MAIN ONLY","MULTI-PHOTO"))</x:f>
        <x:v>MAIN ONLY</x:v>
      </x:c>
      <x:c r="P442" s="14" t="str">
        <x:v>0493_</x:v>
      </x:c>
      <x:c r="Q442" s="14" t="str">
        <x:v>https://mb1advancedsolutions.github.io/mb1-catalog/index.html?design=0493</x:v>
      </x:c>
      <x:c r="R442" s="14" t="str"/>
    </x:row>
    <x:row r="443">
      <x:c r="A443" s="13" t="str">
        <x:v>MB1-0494</x:v>
      </x:c>
      <x:c r="B443" s="13" t="str">
        <x:v>MB1-0494</x:v>
      </x:c>
      <x:c r="C443" s="14" t="str">
        <x:v>V DAY 5</x:v>
      </x:c>
      <x:c r="D443" s="14" t="str">
        <x:v>seasonal and holiday</x:v>
      </x:c>
      <x:c r="E443" s="14" t="str">
        <x:v>https://res.cloudinary.com/oxygre42/image/upload/f_auto,q_auto,c_pad,b_white,w_1200,h_1200/v1788349600/0494_V_DAY_5.png</x:v>
      </x:c>
      <x:c r="F443" s="14" t="str"/>
      <x:c r="G443" s="14" t="str">
        <x:v>Lifestyle</x:v>
      </x:c>
      <x:c r="H443" s="14" t="str"/>
      <x:c r="I443" s="14" t="str">
        <x:v>Detail</x:v>
      </x:c>
      <x:c r="J443" s="14" t="str"/>
      <x:c r="K443" s="14" t="str">
        <x:v>Scale</x:v>
      </x:c>
      <x:c r="L443" s="14" t="str"/>
      <x:c r="M443" s="14" t="str">
        <x:v>Alternate</x:v>
      </x:c>
      <x:c r="N443" s="14" t="n">
        <x:f>IF(E443&lt;&gt;"",1,0)+IF(F443&lt;&gt;"",1,0)+IF(H443&lt;&gt;"",1,0)+IF(J443&lt;&gt;"",1,0)+IF(L443&lt;&gt;"",1,0)</x:f>
        <x:v>1</x:v>
      </x:c>
      <x:c r="O443" s="14" t="str">
        <x:f>IF(E443="","MISSING MAIN",IF(N443=1,"MAIN ONLY","MULTI-PHOTO"))</x:f>
        <x:v>MAIN ONLY</x:v>
      </x:c>
      <x:c r="P443" s="14" t="str">
        <x:v>0494_</x:v>
      </x:c>
      <x:c r="Q443" s="14" t="str">
        <x:v>https://mb1advancedsolutions.github.io/mb1-catalog/index.html?design=0494</x:v>
      </x:c>
      <x:c r="R443" s="14" t="str"/>
    </x:row>
    <x:row r="444">
      <x:c r="A444" s="13" t="str">
        <x:v>MB1-0495</x:v>
      </x:c>
      <x:c r="B444" s="13" t="str">
        <x:v>MB1-0495</x:v>
      </x:c>
      <x:c r="C444" s="14" t="str">
        <x:v>V DAY 6</x:v>
      </x:c>
      <x:c r="D444" s="14" t="str">
        <x:v>seasonal and holiday</x:v>
      </x:c>
      <x:c r="E444" s="14" t="str">
        <x:v>https://res.cloudinary.com/oxygre42/image/upload/f_auto,q_auto,c_pad,b_white,w_1200,h_1200/v1788349601/0495_V_DAY_6.png</x:v>
      </x:c>
      <x:c r="F444" s="14" t="str"/>
      <x:c r="G444" s="14" t="str">
        <x:v>Lifestyle</x:v>
      </x:c>
      <x:c r="H444" s="14" t="str"/>
      <x:c r="I444" s="14" t="str">
        <x:v>Detail</x:v>
      </x:c>
      <x:c r="J444" s="14" t="str"/>
      <x:c r="K444" s="14" t="str">
        <x:v>Scale</x:v>
      </x:c>
      <x:c r="L444" s="14" t="str"/>
      <x:c r="M444" s="14" t="str">
        <x:v>Alternate</x:v>
      </x:c>
      <x:c r="N444" s="14" t="n">
        <x:f>IF(E444&lt;&gt;"",1,0)+IF(F444&lt;&gt;"",1,0)+IF(H444&lt;&gt;"",1,0)+IF(J444&lt;&gt;"",1,0)+IF(L444&lt;&gt;"",1,0)</x:f>
        <x:v>1</x:v>
      </x:c>
      <x:c r="O444" s="14" t="str">
        <x:f>IF(E444="","MISSING MAIN",IF(N444=1,"MAIN ONLY","MULTI-PHOTO"))</x:f>
        <x:v>MAIN ONLY</x:v>
      </x:c>
      <x:c r="P444" s="14" t="str">
        <x:v>0495_</x:v>
      </x:c>
      <x:c r="Q444" s="14" t="str">
        <x:v>https://mb1advancedsolutions.github.io/mb1-catalog/index.html?design=0495</x:v>
      </x:c>
      <x:c r="R444" s="14" t="str"/>
    </x:row>
    <x:row r="445">
      <x:c r="A445" s="13" t="str">
        <x:v>MB1-0496</x:v>
      </x:c>
      <x:c r="B445" s="13" t="str">
        <x:v>MB1-0496</x:v>
      </x:c>
      <x:c r="C445" s="14" t="str">
        <x:v>V DAY 7</x:v>
      </x:c>
      <x:c r="D445" s="14" t="str">
        <x:v>seasonal and holiday</x:v>
      </x:c>
      <x:c r="E445" s="14" t="str">
        <x:v>https://res.cloudinary.com/oxygre42/image/upload/f_auto,q_auto,c_pad,b_white,w_1200,h_1200/v1788349603/0496_V_DAY_7.png</x:v>
      </x:c>
      <x:c r="F445" s="14" t="str"/>
      <x:c r="G445" s="14" t="str">
        <x:v>Lifestyle</x:v>
      </x:c>
      <x:c r="H445" s="14" t="str"/>
      <x:c r="I445" s="14" t="str">
        <x:v>Detail</x:v>
      </x:c>
      <x:c r="J445" s="14" t="str"/>
      <x:c r="K445" s="14" t="str">
        <x:v>Scale</x:v>
      </x:c>
      <x:c r="L445" s="14" t="str"/>
      <x:c r="M445" s="14" t="str">
        <x:v>Alternate</x:v>
      </x:c>
      <x:c r="N445" s="14" t="n">
        <x:f>IF(E445&lt;&gt;"",1,0)+IF(F445&lt;&gt;"",1,0)+IF(H445&lt;&gt;"",1,0)+IF(J445&lt;&gt;"",1,0)+IF(L445&lt;&gt;"",1,0)</x:f>
        <x:v>1</x:v>
      </x:c>
      <x:c r="O445" s="14" t="str">
        <x:f>IF(E445="","MISSING MAIN",IF(N445=1,"MAIN ONLY","MULTI-PHOTO"))</x:f>
        <x:v>MAIN ONLY</x:v>
      </x:c>
      <x:c r="P445" s="14" t="str">
        <x:v>0496_</x:v>
      </x:c>
      <x:c r="Q445" s="14" t="str">
        <x:v>https://mb1advancedsolutions.github.io/mb1-catalog/index.html?design=0496</x:v>
      </x:c>
      <x:c r="R445" s="14" t="str"/>
    </x:row>
    <x:row r="446">
      <x:c r="A446" s="13" t="str">
        <x:v>MB1-0497</x:v>
      </x:c>
      <x:c r="B446" s="13" t="str">
        <x:v>MB1-0497</x:v>
      </x:c>
      <x:c r="C446" s="14" t="str">
        <x:v>V DAY 8</x:v>
      </x:c>
      <x:c r="D446" s="14" t="str">
        <x:v>seasonal and holiday</x:v>
      </x:c>
      <x:c r="E446" s="14" t="str">
        <x:v>https://res.cloudinary.com/oxygre42/image/upload/f_auto,q_auto,c_pad,b_white,w_1200,h_1200/v1788349605/0497_V_DAY_8.png</x:v>
      </x:c>
      <x:c r="F446" s="14" t="str"/>
      <x:c r="G446" s="14" t="str">
        <x:v>Lifestyle</x:v>
      </x:c>
      <x:c r="H446" s="14" t="str"/>
      <x:c r="I446" s="14" t="str">
        <x:v>Detail</x:v>
      </x:c>
      <x:c r="J446" s="14" t="str"/>
      <x:c r="K446" s="14" t="str">
        <x:v>Scale</x:v>
      </x:c>
      <x:c r="L446" s="14" t="str"/>
      <x:c r="M446" s="14" t="str">
        <x:v>Alternate</x:v>
      </x:c>
      <x:c r="N446" s="14" t="n">
        <x:f>IF(E446&lt;&gt;"",1,0)+IF(F446&lt;&gt;"",1,0)+IF(H446&lt;&gt;"",1,0)+IF(J446&lt;&gt;"",1,0)+IF(L446&lt;&gt;"",1,0)</x:f>
        <x:v>1</x:v>
      </x:c>
      <x:c r="O446" s="14" t="str">
        <x:f>IF(E446="","MISSING MAIN",IF(N446=1,"MAIN ONLY","MULTI-PHOTO"))</x:f>
        <x:v>MAIN ONLY</x:v>
      </x:c>
      <x:c r="P446" s="14" t="str">
        <x:v>0497_</x:v>
      </x:c>
      <x:c r="Q446" s="14" t="str">
        <x:v>https://mb1advancedsolutions.github.io/mb1-catalog/index.html?design=0497</x:v>
      </x:c>
      <x:c r="R446" s="14" t="str"/>
    </x:row>
    <x:row r="447">
      <x:c r="A447" s="13" t="str">
        <x:v>MB1-0498</x:v>
      </x:c>
      <x:c r="B447" s="13" t="str">
        <x:v>MB1-0498</x:v>
      </x:c>
      <x:c r="C447" s="14" t="str">
        <x:v>V DAY 9</x:v>
      </x:c>
      <x:c r="D447" s="14" t="str">
        <x:v>seasonal and holiday</x:v>
      </x:c>
      <x:c r="E447" s="14" t="str">
        <x:v>https://res.cloudinary.com/oxygre42/image/upload/f_auto,q_auto,c_pad,b_white,w_1200,h_1200/v1788349607/0498_V_DAY_9.png</x:v>
      </x:c>
      <x:c r="F447" s="14" t="str"/>
      <x:c r="G447" s="14" t="str">
        <x:v>Lifestyle</x:v>
      </x:c>
      <x:c r="H447" s="14" t="str"/>
      <x:c r="I447" s="14" t="str">
        <x:v>Detail</x:v>
      </x:c>
      <x:c r="J447" s="14" t="str"/>
      <x:c r="K447" s="14" t="str">
        <x:v>Scale</x:v>
      </x:c>
      <x:c r="L447" s="14" t="str"/>
      <x:c r="M447" s="14" t="str">
        <x:v>Alternate</x:v>
      </x:c>
      <x:c r="N447" s="14" t="n">
        <x:f>IF(E447&lt;&gt;"",1,0)+IF(F447&lt;&gt;"",1,0)+IF(H447&lt;&gt;"",1,0)+IF(J447&lt;&gt;"",1,0)+IF(L447&lt;&gt;"",1,0)</x:f>
        <x:v>1</x:v>
      </x:c>
      <x:c r="O447" s="14" t="str">
        <x:f>IF(E447="","MISSING MAIN",IF(N447=1,"MAIN ONLY","MULTI-PHOTO"))</x:f>
        <x:v>MAIN ONLY</x:v>
      </x:c>
      <x:c r="P447" s="14" t="str">
        <x:v>0498_</x:v>
      </x:c>
      <x:c r="Q447" s="14" t="str">
        <x:v>https://mb1advancedsolutions.github.io/mb1-catalog/index.html?design=0498</x:v>
      </x:c>
      <x:c r="R447" s="14" t="str"/>
    </x:row>
    <x:row r="448">
      <x:c r="A448" s="13" t="str">
        <x:v>MB1-0499</x:v>
      </x:c>
      <x:c r="B448" s="13" t="str">
        <x:v>MB1-0499</x:v>
      </x:c>
      <x:c r="C448" s="14" t="str">
        <x:v>flag map</x:v>
      </x:c>
      <x:c r="D448" s="14" t="str">
        <x:v>seasonal and holiday</x:v>
      </x:c>
      <x:c r="E448" s="14" t="str">
        <x:v>https://res.cloudinary.com/oxygre42/image/upload/f_auto,q_auto,c_pad,b_white,w_1200,h_1200/v1788349609/0499_flag_map.png</x:v>
      </x:c>
      <x:c r="F448" s="14" t="str"/>
      <x:c r="G448" s="14" t="str">
        <x:v>Lifestyle</x:v>
      </x:c>
      <x:c r="H448" s="14" t="str"/>
      <x:c r="I448" s="14" t="str">
        <x:v>Detail</x:v>
      </x:c>
      <x:c r="J448" s="14" t="str"/>
      <x:c r="K448" s="14" t="str">
        <x:v>Scale</x:v>
      </x:c>
      <x:c r="L448" s="14" t="str"/>
      <x:c r="M448" s="14" t="str">
        <x:v>Alternate</x:v>
      </x:c>
      <x:c r="N448" s="14" t="n">
        <x:f>IF(E448&lt;&gt;"",1,0)+IF(F448&lt;&gt;"",1,0)+IF(H448&lt;&gt;"",1,0)+IF(J448&lt;&gt;"",1,0)+IF(L448&lt;&gt;"",1,0)</x:f>
        <x:v>1</x:v>
      </x:c>
      <x:c r="O448" s="14" t="str">
        <x:f>IF(E448="","MISSING MAIN",IF(N448=1,"MAIN ONLY","MULTI-PHOTO"))</x:f>
        <x:v>MAIN ONLY</x:v>
      </x:c>
      <x:c r="P448" s="14" t="str">
        <x:v>0499_</x:v>
      </x:c>
      <x:c r="Q448" s="14" t="str">
        <x:v>https://mb1advancedsolutions.github.io/mb1-catalog/index.html?design=0499</x:v>
      </x:c>
      <x:c r="R448" s="14" t="str"/>
    </x:row>
    <x:row r="449">
      <x:c r="A449" s="13" t="str">
        <x:v>MB1-0500</x:v>
      </x:c>
      <x:c r="B449" s="13" t="str">
        <x:v>MB1-0500</x:v>
      </x:c>
      <x:c r="C449" s="14" t="str">
        <x:v>get some flag map</x:v>
      </x:c>
      <x:c r="D449" s="14" t="str">
        <x:v>seasonal and holiday</x:v>
      </x:c>
      <x:c r="E449" s="14" t="str">
        <x:v>https://res.cloudinary.com/oxygre42/image/upload/f_auto,q_auto,c_pad,b_white,w_1200,h_1200/v1788349611/0500_get_some_flag_map.png</x:v>
      </x:c>
      <x:c r="F449" s="14" t="str"/>
      <x:c r="G449" s="14" t="str">
        <x:v>Lifestyle</x:v>
      </x:c>
      <x:c r="H449" s="14" t="str"/>
      <x:c r="I449" s="14" t="str">
        <x:v>Detail</x:v>
      </x:c>
      <x:c r="J449" s="14" t="str"/>
      <x:c r="K449" s="14" t="str">
        <x:v>Scale</x:v>
      </x:c>
      <x:c r="L449" s="14" t="str"/>
      <x:c r="M449" s="14" t="str">
        <x:v>Alternate</x:v>
      </x:c>
      <x:c r="N449" s="14" t="n">
        <x:f>IF(E449&lt;&gt;"",1,0)+IF(F449&lt;&gt;"",1,0)+IF(H449&lt;&gt;"",1,0)+IF(J449&lt;&gt;"",1,0)+IF(L449&lt;&gt;"",1,0)</x:f>
        <x:v>1</x:v>
      </x:c>
      <x:c r="O449" s="14" t="str">
        <x:f>IF(E449="","MISSING MAIN",IF(N449=1,"MAIN ONLY","MULTI-PHOTO"))</x:f>
        <x:v>MAIN ONLY</x:v>
      </x:c>
      <x:c r="P449" s="14" t="str">
        <x:v>0500_</x:v>
      </x:c>
      <x:c r="Q449" s="14" t="str">
        <x:v>https://mb1advancedsolutions.github.io/mb1-catalog/index.html?design=0500</x:v>
      </x:c>
      <x:c r="R449" s="14" t="str"/>
    </x:row>
    <x:row r="450">
      <x:c r="A450" s="13" t="str">
        <x:v>MB1-0501</x:v>
      </x:c>
      <x:c r="B450" s="13" t="str">
        <x:v>MB1-0501</x:v>
      </x:c>
      <x:c r="C450" s="14" t="str">
        <x:v>merica 2 flag map</x:v>
      </x:c>
      <x:c r="D450" s="14" t="str">
        <x:v>seasonal and holiday</x:v>
      </x:c>
      <x:c r="E450" s="14" t="str">
        <x:v>https://res.cloudinary.com/oxygre42/image/upload/f_auto,q_auto,c_pad,b_white,w_1200,h_1200/v1788349613/0501_merica_2_flag_map.png</x:v>
      </x:c>
      <x:c r="F450" s="14" t="str"/>
      <x:c r="G450" s="14" t="str">
        <x:v>Lifestyle</x:v>
      </x:c>
      <x:c r="H450" s="14" t="str"/>
      <x:c r="I450" s="14" t="str">
        <x:v>Detail</x:v>
      </x:c>
      <x:c r="J450" s="14" t="str"/>
      <x:c r="K450" s="14" t="str">
        <x:v>Scale</x:v>
      </x:c>
      <x:c r="L450" s="14" t="str"/>
      <x:c r="M450" s="14" t="str">
        <x:v>Alternate</x:v>
      </x:c>
      <x:c r="N450" s="14" t="n">
        <x:f>IF(E450&lt;&gt;"",1,0)+IF(F450&lt;&gt;"",1,0)+IF(H450&lt;&gt;"",1,0)+IF(J450&lt;&gt;"",1,0)+IF(L450&lt;&gt;"",1,0)</x:f>
        <x:v>1</x:v>
      </x:c>
      <x:c r="O450" s="14" t="str">
        <x:f>IF(E450="","MISSING MAIN",IF(N450=1,"MAIN ONLY","MULTI-PHOTO"))</x:f>
        <x:v>MAIN ONLY</x:v>
      </x:c>
      <x:c r="P450" s="14" t="str">
        <x:v>0501_</x:v>
      </x:c>
      <x:c r="Q450" s="14" t="str">
        <x:v>https://mb1advancedsolutions.github.io/mb1-catalog/index.html?design=0501</x:v>
      </x:c>
      <x:c r="R450" s="14" t="str"/>
    </x:row>
    <x:row r="451">
      <x:c r="A451" s="13" t="str">
        <x:v>MB1-0502</x:v>
      </x:c>
      <x:c r="B451" s="13" t="str">
        <x:v>MB1-0502</x:v>
      </x:c>
      <x:c r="C451" s="14" t="str">
        <x:v>merica flag map</x:v>
      </x:c>
      <x:c r="D451" s="14" t="str">
        <x:v>seasonal and holiday</x:v>
      </x:c>
      <x:c r="E451" s="14" t="str">
        <x:v>https://res.cloudinary.com/oxygre42/image/upload/f_auto,q_auto,c_pad,b_white,w_1200,h_1200/v1788349615/0502_merica_flag_map.png</x:v>
      </x:c>
      <x:c r="F451" s="14" t="str"/>
      <x:c r="G451" s="14" t="str">
        <x:v>Lifestyle</x:v>
      </x:c>
      <x:c r="H451" s="14" t="str"/>
      <x:c r="I451" s="14" t="str">
        <x:v>Detail</x:v>
      </x:c>
      <x:c r="J451" s="14" t="str"/>
      <x:c r="K451" s="14" t="str">
        <x:v>Scale</x:v>
      </x:c>
      <x:c r="L451" s="14" t="str"/>
      <x:c r="M451" s="14" t="str">
        <x:v>Alternate</x:v>
      </x:c>
      <x:c r="N451" s="14" t="n">
        <x:f>IF(E451&lt;&gt;"",1,0)+IF(F451&lt;&gt;"",1,0)+IF(H451&lt;&gt;"",1,0)+IF(J451&lt;&gt;"",1,0)+IF(L451&lt;&gt;"",1,0)</x:f>
        <x:v>1</x:v>
      </x:c>
      <x:c r="O451" s="14" t="str">
        <x:f>IF(E451="","MISSING MAIN",IF(N451=1,"MAIN ONLY","MULTI-PHOTO"))</x:f>
        <x:v>MAIN ONLY</x:v>
      </x:c>
      <x:c r="P451" s="14" t="str">
        <x:v>0502_</x:v>
      </x:c>
      <x:c r="Q451" s="14" t="str">
        <x:v>https://mb1advancedsolutions.github.io/mb1-catalog/index.html?design=0502</x:v>
      </x:c>
      <x:c r="R451" s="14" t="str"/>
    </x:row>
    <x:row r="452">
      <x:c r="A452" s="13" t="str">
        <x:v>MB1-0503</x:v>
      </x:c>
      <x:c r="B452" s="13" t="str">
        <x:v>MB1-0503</x:v>
      </x:c>
      <x:c r="C452" s="14" t="str">
        <x:v>MONOGRAM 1</x:v>
      </x:c>
      <x:c r="D452" s="14" t="str">
        <x:v>family &amp; name</x:v>
      </x:c>
      <x:c r="E452" s="14" t="str">
        <x:v>https://res.cloudinary.com/oxygre42/image/upload/f_auto,q_auto,c_pad,b_white,w_1200,h_1200/v1788349617/0503_MONOGRAM_1.png</x:v>
      </x:c>
      <x:c r="F452" s="14" t="str"/>
      <x:c r="G452" s="14" t="str">
        <x:v>Lifestyle</x:v>
      </x:c>
      <x:c r="H452" s="14" t="str"/>
      <x:c r="I452" s="14" t="str">
        <x:v>Detail</x:v>
      </x:c>
      <x:c r="J452" s="14" t="str"/>
      <x:c r="K452" s="14" t="str">
        <x:v>Scale</x:v>
      </x:c>
      <x:c r="L452" s="14" t="str"/>
      <x:c r="M452" s="14" t="str">
        <x:v>Alternate</x:v>
      </x:c>
      <x:c r="N452" s="14" t="n">
        <x:f>IF(E452&lt;&gt;"",1,0)+IF(F452&lt;&gt;"",1,0)+IF(H452&lt;&gt;"",1,0)+IF(J452&lt;&gt;"",1,0)+IF(L452&lt;&gt;"",1,0)</x:f>
        <x:v>1</x:v>
      </x:c>
      <x:c r="O452" s="14" t="str">
        <x:f>IF(E452="","MISSING MAIN",IF(N452=1,"MAIN ONLY","MULTI-PHOTO"))</x:f>
        <x:v>MAIN ONLY</x:v>
      </x:c>
      <x:c r="P452" s="14" t="str">
        <x:v>0503_</x:v>
      </x:c>
      <x:c r="Q452" s="14" t="str">
        <x:v>https://mb1advancedsolutions.github.io/mb1-catalog/index.html?design=0503</x:v>
      </x:c>
      <x:c r="R452" s="14" t="str"/>
    </x:row>
    <x:row r="453">
      <x:c r="A453" s="13" t="str">
        <x:v>MB1-0504</x:v>
      </x:c>
      <x:c r="B453" s="13" t="str">
        <x:v>MB1-0504</x:v>
      </x:c>
      <x:c r="C453" s="14" t="str">
        <x:v>MONOGRAM 10</x:v>
      </x:c>
      <x:c r="D453" s="14" t="str">
        <x:v>family &amp; name</x:v>
      </x:c>
      <x:c r="E453" s="14" t="str">
        <x:v>https://res.cloudinary.com/oxygre42/image/upload/f_auto,q_auto,c_pad,b_white,w_1200,h_1200/v1788349618/0504_MONOGRAM_10.png</x:v>
      </x:c>
      <x:c r="F453" s="14" t="str"/>
      <x:c r="G453" s="14" t="str">
        <x:v>Lifestyle</x:v>
      </x:c>
      <x:c r="H453" s="14" t="str"/>
      <x:c r="I453" s="14" t="str">
        <x:v>Detail</x:v>
      </x:c>
      <x:c r="J453" s="14" t="str"/>
      <x:c r="K453" s="14" t="str">
        <x:v>Scale</x:v>
      </x:c>
      <x:c r="L453" s="14" t="str"/>
      <x:c r="M453" s="14" t="str">
        <x:v>Alternate</x:v>
      </x:c>
      <x:c r="N453" s="14" t="n">
        <x:f>IF(E453&lt;&gt;"",1,0)+IF(F453&lt;&gt;"",1,0)+IF(H453&lt;&gt;"",1,0)+IF(J453&lt;&gt;"",1,0)+IF(L453&lt;&gt;"",1,0)</x:f>
        <x:v>1</x:v>
      </x:c>
      <x:c r="O453" s="14" t="str">
        <x:f>IF(E453="","MISSING MAIN",IF(N453=1,"MAIN ONLY","MULTI-PHOTO"))</x:f>
        <x:v>MAIN ONLY</x:v>
      </x:c>
      <x:c r="P453" s="14" t="str">
        <x:v>0504_</x:v>
      </x:c>
      <x:c r="Q453" s="14" t="str">
        <x:v>https://mb1advancedsolutions.github.io/mb1-catalog/index.html?design=0504</x:v>
      </x:c>
      <x:c r="R453" s="14" t="str"/>
    </x:row>
    <x:row r="454">
      <x:c r="A454" s="13" t="str">
        <x:v>MB1-0505</x:v>
      </x:c>
      <x:c r="B454" s="13" t="str">
        <x:v>MB1-0505</x:v>
      </x:c>
      <x:c r="C454" s="14" t="str">
        <x:v>MONOGRAM 11</x:v>
      </x:c>
      <x:c r="D454" s="14" t="str">
        <x:v>family &amp; name</x:v>
      </x:c>
      <x:c r="E454" s="14" t="str">
        <x:v>https://res.cloudinary.com/oxygre42/image/upload/f_auto,q_auto,c_pad,b_white,w_1200,h_1200/v1788349620/0505_MONOGRAM_11.png</x:v>
      </x:c>
      <x:c r="F454" s="14" t="str"/>
      <x:c r="G454" s="14" t="str">
        <x:v>Lifestyle</x:v>
      </x:c>
      <x:c r="H454" s="14" t="str"/>
      <x:c r="I454" s="14" t="str">
        <x:v>Detail</x:v>
      </x:c>
      <x:c r="J454" s="14" t="str"/>
      <x:c r="K454" s="14" t="str">
        <x:v>Scale</x:v>
      </x:c>
      <x:c r="L454" s="14" t="str"/>
      <x:c r="M454" s="14" t="str">
        <x:v>Alternate</x:v>
      </x:c>
      <x:c r="N454" s="14" t="n">
        <x:f>IF(E454&lt;&gt;"",1,0)+IF(F454&lt;&gt;"",1,0)+IF(H454&lt;&gt;"",1,0)+IF(J454&lt;&gt;"",1,0)+IF(L454&lt;&gt;"",1,0)</x:f>
        <x:v>1</x:v>
      </x:c>
      <x:c r="O454" s="14" t="str">
        <x:f>IF(E454="","MISSING MAIN",IF(N454=1,"MAIN ONLY","MULTI-PHOTO"))</x:f>
        <x:v>MAIN ONLY</x:v>
      </x:c>
      <x:c r="P454" s="14" t="str">
        <x:v>0505_</x:v>
      </x:c>
      <x:c r="Q454" s="14" t="str">
        <x:v>https://mb1advancedsolutions.github.io/mb1-catalog/index.html?design=0505</x:v>
      </x:c>
      <x:c r="R454" s="14" t="str"/>
    </x:row>
    <x:row r="455">
      <x:c r="A455" s="13" t="str">
        <x:v>MB1-0506</x:v>
      </x:c>
      <x:c r="B455" s="13" t="str">
        <x:v>MB1-0506</x:v>
      </x:c>
      <x:c r="C455" s="14" t="str">
        <x:v>MONOGRAM 12</x:v>
      </x:c>
      <x:c r="D455" s="14" t="str">
        <x:v>family &amp; name</x:v>
      </x:c>
      <x:c r="E455" s="14" t="str">
        <x:v>https://res.cloudinary.com/oxygre42/image/upload/f_auto,q_auto,c_pad,b_white,w_1200,h_1200/v1788349622/0506_MONOGRAM_12.png</x:v>
      </x:c>
      <x:c r="F455" s="14" t="str"/>
      <x:c r="G455" s="14" t="str">
        <x:v>Lifestyle</x:v>
      </x:c>
      <x:c r="H455" s="14" t="str"/>
      <x:c r="I455" s="14" t="str">
        <x:v>Detail</x:v>
      </x:c>
      <x:c r="J455" s="14" t="str"/>
      <x:c r="K455" s="14" t="str">
        <x:v>Scale</x:v>
      </x:c>
      <x:c r="L455" s="14" t="str"/>
      <x:c r="M455" s="14" t="str">
        <x:v>Alternate</x:v>
      </x:c>
      <x:c r="N455" s="14" t="n">
        <x:f>IF(E455&lt;&gt;"",1,0)+IF(F455&lt;&gt;"",1,0)+IF(H455&lt;&gt;"",1,0)+IF(J455&lt;&gt;"",1,0)+IF(L455&lt;&gt;"",1,0)</x:f>
        <x:v>1</x:v>
      </x:c>
      <x:c r="O455" s="14" t="str">
        <x:f>IF(E455="","MISSING MAIN",IF(N455=1,"MAIN ONLY","MULTI-PHOTO"))</x:f>
        <x:v>MAIN ONLY</x:v>
      </x:c>
      <x:c r="P455" s="14" t="str">
        <x:v>0506_</x:v>
      </x:c>
      <x:c r="Q455" s="14" t="str">
        <x:v>https://mb1advancedsolutions.github.io/mb1-catalog/index.html?design=0506</x:v>
      </x:c>
      <x:c r="R455" s="14" t="str"/>
    </x:row>
    <x:row r="456">
      <x:c r="A456" s="13" t="str">
        <x:v>MB1-0507</x:v>
      </x:c>
      <x:c r="B456" s="13" t="str">
        <x:v>MB1-0507</x:v>
      </x:c>
      <x:c r="C456" s="14" t="str">
        <x:v>MONOGRAM 13</x:v>
      </x:c>
      <x:c r="D456" s="14" t="str">
        <x:v>family &amp; name</x:v>
      </x:c>
      <x:c r="E456" s="14" t="str">
        <x:v>https://res.cloudinary.com/oxygre42/image/upload/f_auto,q_auto,c_pad,b_white,w_1200,h_1200/v1788349624/0507_MONOGRAM_13.png</x:v>
      </x:c>
      <x:c r="F456" s="14" t="str"/>
      <x:c r="G456" s="14" t="str">
        <x:v>Lifestyle</x:v>
      </x:c>
      <x:c r="H456" s="14" t="str"/>
      <x:c r="I456" s="14" t="str">
        <x:v>Detail</x:v>
      </x:c>
      <x:c r="J456" s="14" t="str"/>
      <x:c r="K456" s="14" t="str">
        <x:v>Scale</x:v>
      </x:c>
      <x:c r="L456" s="14" t="str"/>
      <x:c r="M456" s="14" t="str">
        <x:v>Alternate</x:v>
      </x:c>
      <x:c r="N456" s="14" t="n">
        <x:f>IF(E456&lt;&gt;"",1,0)+IF(F456&lt;&gt;"",1,0)+IF(H456&lt;&gt;"",1,0)+IF(J456&lt;&gt;"",1,0)+IF(L456&lt;&gt;"",1,0)</x:f>
        <x:v>1</x:v>
      </x:c>
      <x:c r="O456" s="14" t="str">
        <x:f>IF(E456="","MISSING MAIN",IF(N456=1,"MAIN ONLY","MULTI-PHOTO"))</x:f>
        <x:v>MAIN ONLY</x:v>
      </x:c>
      <x:c r="P456" s="14" t="str">
        <x:v>0507_</x:v>
      </x:c>
      <x:c r="Q456" s="14" t="str">
        <x:v>https://mb1advancedsolutions.github.io/mb1-catalog/index.html?design=0507</x:v>
      </x:c>
      <x:c r="R456" s="14" t="str"/>
    </x:row>
    <x:row r="457">
      <x:c r="A457" s="13" t="str">
        <x:v>MB1-0508</x:v>
      </x:c>
      <x:c r="B457" s="13" t="str">
        <x:v>MB1-0508</x:v>
      </x:c>
      <x:c r="C457" s="14" t="str">
        <x:v>MONOGRAM 14</x:v>
      </x:c>
      <x:c r="D457" s="14" t="str">
        <x:v>family &amp; name</x:v>
      </x:c>
      <x:c r="E457" s="14" t="str">
        <x:v>https://res.cloudinary.com/oxygre42/image/upload/f_auto,q_auto,c_pad,b_white,w_1200,h_1200/v1788349626/0508_MONOGRAM_14.png</x:v>
      </x:c>
      <x:c r="F457" s="14" t="str"/>
      <x:c r="G457" s="14" t="str">
        <x:v>Lifestyle</x:v>
      </x:c>
      <x:c r="H457" s="14" t="str"/>
      <x:c r="I457" s="14" t="str">
        <x:v>Detail</x:v>
      </x:c>
      <x:c r="J457" s="14" t="str"/>
      <x:c r="K457" s="14" t="str">
        <x:v>Scale</x:v>
      </x:c>
      <x:c r="L457" s="14" t="str"/>
      <x:c r="M457" s="14" t="str">
        <x:v>Alternate</x:v>
      </x:c>
      <x:c r="N457" s="14" t="n">
        <x:f>IF(E457&lt;&gt;"",1,0)+IF(F457&lt;&gt;"",1,0)+IF(H457&lt;&gt;"",1,0)+IF(J457&lt;&gt;"",1,0)+IF(L457&lt;&gt;"",1,0)</x:f>
        <x:v>1</x:v>
      </x:c>
      <x:c r="O457" s="14" t="str">
        <x:f>IF(E457="","MISSING MAIN",IF(N457=1,"MAIN ONLY","MULTI-PHOTO"))</x:f>
        <x:v>MAIN ONLY</x:v>
      </x:c>
      <x:c r="P457" s="14" t="str">
        <x:v>0508_</x:v>
      </x:c>
      <x:c r="Q457" s="14" t="str">
        <x:v>https://mb1advancedsolutions.github.io/mb1-catalog/index.html?design=0508</x:v>
      </x:c>
      <x:c r="R457" s="14" t="str"/>
    </x:row>
    <x:row r="458">
      <x:c r="A458" s="13" t="str">
        <x:v>MB1-0509</x:v>
      </x:c>
      <x:c r="B458" s="13" t="str">
        <x:v>MB1-0509</x:v>
      </x:c>
      <x:c r="C458" s="14" t="str">
        <x:v>MONOGRAM 15</x:v>
      </x:c>
      <x:c r="D458" s="14" t="str">
        <x:v>family &amp; name</x:v>
      </x:c>
      <x:c r="E458" s="14" t="str">
        <x:v>https://res.cloudinary.com/oxygre42/image/upload/f_auto,q_auto,c_pad,b_white,w_1200,h_1200/v1788349628/0509_MONOGRAM_15.png</x:v>
      </x:c>
      <x:c r="F458" s="14" t="str"/>
      <x:c r="G458" s="14" t="str">
        <x:v>Lifestyle</x:v>
      </x:c>
      <x:c r="H458" s="14" t="str"/>
      <x:c r="I458" s="14" t="str">
        <x:v>Detail</x:v>
      </x:c>
      <x:c r="J458" s="14" t="str"/>
      <x:c r="K458" s="14" t="str">
        <x:v>Scale</x:v>
      </x:c>
      <x:c r="L458" s="14" t="str"/>
      <x:c r="M458" s="14" t="str">
        <x:v>Alternate</x:v>
      </x:c>
      <x:c r="N458" s="14" t="n">
        <x:f>IF(E458&lt;&gt;"",1,0)+IF(F458&lt;&gt;"",1,0)+IF(H458&lt;&gt;"",1,0)+IF(J458&lt;&gt;"",1,0)+IF(L458&lt;&gt;"",1,0)</x:f>
        <x:v>1</x:v>
      </x:c>
      <x:c r="O458" s="14" t="str">
        <x:f>IF(E458="","MISSING MAIN",IF(N458=1,"MAIN ONLY","MULTI-PHOTO"))</x:f>
        <x:v>MAIN ONLY</x:v>
      </x:c>
      <x:c r="P458" s="14" t="str">
        <x:v>0509_</x:v>
      </x:c>
      <x:c r="Q458" s="14" t="str">
        <x:v>https://mb1advancedsolutions.github.io/mb1-catalog/index.html?design=0509</x:v>
      </x:c>
      <x:c r="R458" s="14" t="str"/>
    </x:row>
    <x:row r="459">
      <x:c r="A459" s="13" t="str">
        <x:v>MB1-0510</x:v>
      </x:c>
      <x:c r="B459" s="13" t="str">
        <x:v>MB1-0510</x:v>
      </x:c>
      <x:c r="C459" s="14" t="str">
        <x:v>MONOGRAM 16</x:v>
      </x:c>
      <x:c r="D459" s="14" t="str">
        <x:v>family &amp; name</x:v>
      </x:c>
      <x:c r="E459" s="14" t="str">
        <x:v>https://res.cloudinary.com/oxygre42/image/upload/f_auto,q_auto,c_pad,b_white,w_1200,h_1200/v1788349630/0510_MONOGRAM_16.png</x:v>
      </x:c>
      <x:c r="F459" s="14" t="str"/>
      <x:c r="G459" s="14" t="str">
        <x:v>Lifestyle</x:v>
      </x:c>
      <x:c r="H459" s="14" t="str"/>
      <x:c r="I459" s="14" t="str">
        <x:v>Detail</x:v>
      </x:c>
      <x:c r="J459" s="14" t="str"/>
      <x:c r="K459" s="14" t="str">
        <x:v>Scale</x:v>
      </x:c>
      <x:c r="L459" s="14" t="str"/>
      <x:c r="M459" s="14" t="str">
        <x:v>Alternate</x:v>
      </x:c>
      <x:c r="N459" s="14" t="n">
        <x:f>IF(E459&lt;&gt;"",1,0)+IF(F459&lt;&gt;"",1,0)+IF(H459&lt;&gt;"",1,0)+IF(J459&lt;&gt;"",1,0)+IF(L459&lt;&gt;"",1,0)</x:f>
        <x:v>1</x:v>
      </x:c>
      <x:c r="O459" s="14" t="str">
        <x:f>IF(E459="","MISSING MAIN",IF(N459=1,"MAIN ONLY","MULTI-PHOTO"))</x:f>
        <x:v>MAIN ONLY</x:v>
      </x:c>
      <x:c r="P459" s="14" t="str">
        <x:v>0510_</x:v>
      </x:c>
      <x:c r="Q459" s="14" t="str">
        <x:v>https://mb1advancedsolutions.github.io/mb1-catalog/index.html?design=0510</x:v>
      </x:c>
      <x:c r="R459" s="14" t="str"/>
    </x:row>
    <x:row r="460">
      <x:c r="A460" s="13" t="str">
        <x:v>MB1-0511</x:v>
      </x:c>
      <x:c r="B460" s="13" t="str">
        <x:v>MB1-0511</x:v>
      </x:c>
      <x:c r="C460" s="14" t="str">
        <x:v>MONOGRAM 17</x:v>
      </x:c>
      <x:c r="D460" s="14" t="str">
        <x:v>family &amp; name</x:v>
      </x:c>
      <x:c r="E460" s="14" t="str">
        <x:v>https://res.cloudinary.com/oxygre42/image/upload/f_auto,q_auto,c_pad,b_white,w_1200,h_1200/v1788349632/0511_MONOGRAM_17.png</x:v>
      </x:c>
      <x:c r="F460" s="14" t="str"/>
      <x:c r="G460" s="14" t="str">
        <x:v>Lifestyle</x:v>
      </x:c>
      <x:c r="H460" s="14" t="str"/>
      <x:c r="I460" s="14" t="str">
        <x:v>Detail</x:v>
      </x:c>
      <x:c r="J460" s="14" t="str"/>
      <x:c r="K460" s="14" t="str">
        <x:v>Scale</x:v>
      </x:c>
      <x:c r="L460" s="14" t="str"/>
      <x:c r="M460" s="14" t="str">
        <x:v>Alternate</x:v>
      </x:c>
      <x:c r="N460" s="14" t="n">
        <x:f>IF(E460&lt;&gt;"",1,0)+IF(F460&lt;&gt;"",1,0)+IF(H460&lt;&gt;"",1,0)+IF(J460&lt;&gt;"",1,0)+IF(L460&lt;&gt;"",1,0)</x:f>
        <x:v>1</x:v>
      </x:c>
      <x:c r="O460" s="14" t="str">
        <x:f>IF(E460="","MISSING MAIN",IF(N460=1,"MAIN ONLY","MULTI-PHOTO"))</x:f>
        <x:v>MAIN ONLY</x:v>
      </x:c>
      <x:c r="P460" s="14" t="str">
        <x:v>0511_</x:v>
      </x:c>
      <x:c r="Q460" s="14" t="str">
        <x:v>https://mb1advancedsolutions.github.io/mb1-catalog/index.html?design=0511</x:v>
      </x:c>
      <x:c r="R460" s="14" t="str"/>
    </x:row>
    <x:row r="461">
      <x:c r="A461" s="13" t="str">
        <x:v>MB1-0512</x:v>
      </x:c>
      <x:c r="B461" s="13" t="str">
        <x:v>MB1-0512</x:v>
      </x:c>
      <x:c r="C461" s="14" t="str">
        <x:v>MONOGRAM 2</x:v>
      </x:c>
      <x:c r="D461" s="14" t="str">
        <x:v>family &amp; name</x:v>
      </x:c>
      <x:c r="E461" s="14" t="str">
        <x:v>https://res.cloudinary.com/oxygre42/image/upload/f_auto,q_auto,c_pad,b_white,w_1200,h_1200/v1788349633/0512_MONOGRAM_2.png</x:v>
      </x:c>
      <x:c r="F461" s="14" t="str"/>
      <x:c r="G461" s="14" t="str">
        <x:v>Lifestyle</x:v>
      </x:c>
      <x:c r="H461" s="14" t="str"/>
      <x:c r="I461" s="14" t="str">
        <x:v>Detail</x:v>
      </x:c>
      <x:c r="J461" s="14" t="str"/>
      <x:c r="K461" s="14" t="str">
        <x:v>Scale</x:v>
      </x:c>
      <x:c r="L461" s="14" t="str"/>
      <x:c r="M461" s="14" t="str">
        <x:v>Alternate</x:v>
      </x:c>
      <x:c r="N461" s="14" t="n">
        <x:f>IF(E461&lt;&gt;"",1,0)+IF(F461&lt;&gt;"",1,0)+IF(H461&lt;&gt;"",1,0)+IF(J461&lt;&gt;"",1,0)+IF(L461&lt;&gt;"",1,0)</x:f>
        <x:v>1</x:v>
      </x:c>
      <x:c r="O461" s="14" t="str">
        <x:f>IF(E461="","MISSING MAIN",IF(N461=1,"MAIN ONLY","MULTI-PHOTO"))</x:f>
        <x:v>MAIN ONLY</x:v>
      </x:c>
      <x:c r="P461" s="14" t="str">
        <x:v>0512_</x:v>
      </x:c>
      <x:c r="Q461" s="14" t="str">
        <x:v>https://mb1advancedsolutions.github.io/mb1-catalog/index.html?design=0512</x:v>
      </x:c>
      <x:c r="R461" s="14" t="str"/>
    </x:row>
    <x:row r="462">
      <x:c r="A462" s="13" t="str">
        <x:v>MB1-0513</x:v>
      </x:c>
      <x:c r="B462" s="13" t="str">
        <x:v>MB1-0513</x:v>
      </x:c>
      <x:c r="C462" s="14" t="str">
        <x:v>MONOGRAM 3</x:v>
      </x:c>
      <x:c r="D462" s="14" t="str">
        <x:v>family &amp; name</x:v>
      </x:c>
      <x:c r="E462" s="14" t="str">
        <x:v>https://res.cloudinary.com/oxygre42/image/upload/f_auto,q_auto,c_pad,b_white,w_1200,h_1200/v1788349635/0513_MONOGRAM_3.png</x:v>
      </x:c>
      <x:c r="F462" s="14" t="str"/>
      <x:c r="G462" s="14" t="str">
        <x:v>Lifestyle</x:v>
      </x:c>
      <x:c r="H462" s="14" t="str"/>
      <x:c r="I462" s="14" t="str">
        <x:v>Detail</x:v>
      </x:c>
      <x:c r="J462" s="14" t="str"/>
      <x:c r="K462" s="14" t="str">
        <x:v>Scale</x:v>
      </x:c>
      <x:c r="L462" s="14" t="str"/>
      <x:c r="M462" s="14" t="str">
        <x:v>Alternate</x:v>
      </x:c>
      <x:c r="N462" s="14" t="n">
        <x:f>IF(E462&lt;&gt;"",1,0)+IF(F462&lt;&gt;"",1,0)+IF(H462&lt;&gt;"",1,0)+IF(J462&lt;&gt;"",1,0)+IF(L462&lt;&gt;"",1,0)</x:f>
        <x:v>1</x:v>
      </x:c>
      <x:c r="O462" s="14" t="str">
        <x:f>IF(E462="","MISSING MAIN",IF(N462=1,"MAIN ONLY","MULTI-PHOTO"))</x:f>
        <x:v>MAIN ONLY</x:v>
      </x:c>
      <x:c r="P462" s="14" t="str">
        <x:v>0513_</x:v>
      </x:c>
      <x:c r="Q462" s="14" t="str">
        <x:v>https://mb1advancedsolutions.github.io/mb1-catalog/index.html?design=0513</x:v>
      </x:c>
      <x:c r="R462" s="14" t="str"/>
    </x:row>
    <x:row r="463">
      <x:c r="A463" s="13" t="str">
        <x:v>MB1-0514</x:v>
      </x:c>
      <x:c r="B463" s="13" t="str">
        <x:v>MB1-0514</x:v>
      </x:c>
      <x:c r="C463" s="14" t="str">
        <x:v>MONOGRAM 4</x:v>
      </x:c>
      <x:c r="D463" s="14" t="str">
        <x:v>family &amp; name</x:v>
      </x:c>
      <x:c r="E463" s="14" t="str">
        <x:v>https://res.cloudinary.com/oxygre42/image/upload/f_auto,q_auto,c_pad,b_white,w_1200,h_1200/v1788349637/0514_MONOGRAM_4.png</x:v>
      </x:c>
      <x:c r="F463" s="14" t="str"/>
      <x:c r="G463" s="14" t="str">
        <x:v>Lifestyle</x:v>
      </x:c>
      <x:c r="H463" s="14" t="str"/>
      <x:c r="I463" s="14" t="str">
        <x:v>Detail</x:v>
      </x:c>
      <x:c r="J463" s="14" t="str"/>
      <x:c r="K463" s="14" t="str">
        <x:v>Scale</x:v>
      </x:c>
      <x:c r="L463" s="14" t="str"/>
      <x:c r="M463" s="14" t="str">
        <x:v>Alternate</x:v>
      </x:c>
      <x:c r="N463" s="14" t="n">
        <x:f>IF(E463&lt;&gt;"",1,0)+IF(F463&lt;&gt;"",1,0)+IF(H463&lt;&gt;"",1,0)+IF(J463&lt;&gt;"",1,0)+IF(L463&lt;&gt;"",1,0)</x:f>
        <x:v>1</x:v>
      </x:c>
      <x:c r="O463" s="14" t="str">
        <x:f>IF(E463="","MISSING MAIN",IF(N463=1,"MAIN ONLY","MULTI-PHOTO"))</x:f>
        <x:v>MAIN ONLY</x:v>
      </x:c>
      <x:c r="P463" s="14" t="str">
        <x:v>0514_</x:v>
      </x:c>
      <x:c r="Q463" s="14" t="str">
        <x:v>https://mb1advancedsolutions.github.io/mb1-catalog/index.html?design=0514</x:v>
      </x:c>
      <x:c r="R463" s="14" t="str"/>
    </x:row>
    <x:row r="464">
      <x:c r="A464" s="13" t="str">
        <x:v>MB1-0515</x:v>
      </x:c>
      <x:c r="B464" s="13" t="str">
        <x:v>MB1-0515</x:v>
      </x:c>
      <x:c r="C464" s="14" t="str">
        <x:v>MONOGRAM 5</x:v>
      </x:c>
      <x:c r="D464" s="14" t="str">
        <x:v>family &amp; name</x:v>
      </x:c>
      <x:c r="E464" s="14" t="str">
        <x:v>https://res.cloudinary.com/oxygre42/image/upload/f_auto,q_auto,c_pad,b_white,w_1200,h_1200/v1788349639/0515_MONOGRAM_5.png</x:v>
      </x:c>
      <x:c r="F464" s="14" t="str"/>
      <x:c r="G464" s="14" t="str">
        <x:v>Lifestyle</x:v>
      </x:c>
      <x:c r="H464" s="14" t="str"/>
      <x:c r="I464" s="14" t="str">
        <x:v>Detail</x:v>
      </x:c>
      <x:c r="J464" s="14" t="str"/>
      <x:c r="K464" s="14" t="str">
        <x:v>Scale</x:v>
      </x:c>
      <x:c r="L464" s="14" t="str"/>
      <x:c r="M464" s="14" t="str">
        <x:v>Alternate</x:v>
      </x:c>
      <x:c r="N464" s="14" t="n">
        <x:f>IF(E464&lt;&gt;"",1,0)+IF(F464&lt;&gt;"",1,0)+IF(H464&lt;&gt;"",1,0)+IF(J464&lt;&gt;"",1,0)+IF(L464&lt;&gt;"",1,0)</x:f>
        <x:v>1</x:v>
      </x:c>
      <x:c r="O464" s="14" t="str">
        <x:f>IF(E464="","MISSING MAIN",IF(N464=1,"MAIN ONLY","MULTI-PHOTO"))</x:f>
        <x:v>MAIN ONLY</x:v>
      </x:c>
      <x:c r="P464" s="14" t="str">
        <x:v>0515_</x:v>
      </x:c>
      <x:c r="Q464" s="14" t="str">
        <x:v>https://mb1advancedsolutions.github.io/mb1-catalog/index.html?design=0515</x:v>
      </x:c>
      <x:c r="R464" s="14" t="str"/>
    </x:row>
    <x:row r="465">
      <x:c r="A465" s="13" t="str">
        <x:v>MB1-0516</x:v>
      </x:c>
      <x:c r="B465" s="13" t="str">
        <x:v>MB1-0516</x:v>
      </x:c>
      <x:c r="C465" s="14" t="str">
        <x:v>MONOGRAM 6</x:v>
      </x:c>
      <x:c r="D465" s="14" t="str">
        <x:v>family &amp; name</x:v>
      </x:c>
      <x:c r="E465" s="14" t="str">
        <x:v>https://res.cloudinary.com/oxygre42/image/upload/f_auto,q_auto,c_pad,b_white,w_1200,h_1200/v1788349641/0516_MONOGRAM_6.png</x:v>
      </x:c>
      <x:c r="F465" s="14" t="str"/>
      <x:c r="G465" s="14" t="str">
        <x:v>Lifestyle</x:v>
      </x:c>
      <x:c r="H465" s="14" t="str"/>
      <x:c r="I465" s="14" t="str">
        <x:v>Detail</x:v>
      </x:c>
      <x:c r="J465" s="14" t="str"/>
      <x:c r="K465" s="14" t="str">
        <x:v>Scale</x:v>
      </x:c>
      <x:c r="L465" s="14" t="str"/>
      <x:c r="M465" s="14" t="str">
        <x:v>Alternate</x:v>
      </x:c>
      <x:c r="N465" s="14" t="n">
        <x:f>IF(E465&lt;&gt;"",1,0)+IF(F465&lt;&gt;"",1,0)+IF(H465&lt;&gt;"",1,0)+IF(J465&lt;&gt;"",1,0)+IF(L465&lt;&gt;"",1,0)</x:f>
        <x:v>1</x:v>
      </x:c>
      <x:c r="O465" s="14" t="str">
        <x:f>IF(E465="","MISSING MAIN",IF(N465=1,"MAIN ONLY","MULTI-PHOTO"))</x:f>
        <x:v>MAIN ONLY</x:v>
      </x:c>
      <x:c r="P465" s="14" t="str">
        <x:v>0516_</x:v>
      </x:c>
      <x:c r="Q465" s="14" t="str">
        <x:v>https://mb1advancedsolutions.github.io/mb1-catalog/index.html?design=0516</x:v>
      </x:c>
      <x:c r="R465" s="14" t="str"/>
    </x:row>
    <x:row r="466">
      <x:c r="A466" s="13" t="str">
        <x:v>MB1-0517</x:v>
      </x:c>
      <x:c r="B466" s="13" t="str">
        <x:v>MB1-0517</x:v>
      </x:c>
      <x:c r="C466" s="14" t="str">
        <x:v>MONOGRAM 7</x:v>
      </x:c>
      <x:c r="D466" s="14" t="str">
        <x:v>family &amp; name</x:v>
      </x:c>
      <x:c r="E466" s="14" t="str">
        <x:v>https://res.cloudinary.com/oxygre42/image/upload/f_auto,q_auto,c_pad,b_white,w_1200,h_1200/v1788349643/0517_MONOGRAM_7.png</x:v>
      </x:c>
      <x:c r="F466" s="14" t="str"/>
      <x:c r="G466" s="14" t="str">
        <x:v>Lifestyle</x:v>
      </x:c>
      <x:c r="H466" s="14" t="str"/>
      <x:c r="I466" s="14" t="str">
        <x:v>Detail</x:v>
      </x:c>
      <x:c r="J466" s="14" t="str"/>
      <x:c r="K466" s="14" t="str">
        <x:v>Scale</x:v>
      </x:c>
      <x:c r="L466" s="14" t="str"/>
      <x:c r="M466" s="14" t="str">
        <x:v>Alternate</x:v>
      </x:c>
      <x:c r="N466" s="14" t="n">
        <x:f>IF(E466&lt;&gt;"",1,0)+IF(F466&lt;&gt;"",1,0)+IF(H466&lt;&gt;"",1,0)+IF(J466&lt;&gt;"",1,0)+IF(L466&lt;&gt;"",1,0)</x:f>
        <x:v>1</x:v>
      </x:c>
      <x:c r="O466" s="14" t="str">
        <x:f>IF(E466="","MISSING MAIN",IF(N466=1,"MAIN ONLY","MULTI-PHOTO"))</x:f>
        <x:v>MAIN ONLY</x:v>
      </x:c>
      <x:c r="P466" s="14" t="str">
        <x:v>0517_</x:v>
      </x:c>
      <x:c r="Q466" s="14" t="str">
        <x:v>https://mb1advancedsolutions.github.io/mb1-catalog/index.html?design=0517</x:v>
      </x:c>
      <x:c r="R466" s="14" t="str"/>
    </x:row>
    <x:row r="467">
      <x:c r="A467" s="13" t="str">
        <x:v>MB1-0518</x:v>
      </x:c>
      <x:c r="B467" s="13" t="str">
        <x:v>MB1-0518</x:v>
      </x:c>
      <x:c r="C467" s="14" t="str">
        <x:v>MONOGRAM 8</x:v>
      </x:c>
      <x:c r="D467" s="14" t="str">
        <x:v>family &amp; name</x:v>
      </x:c>
      <x:c r="E467" s="14" t="str">
        <x:v>https://res.cloudinary.com/oxygre42/image/upload/f_auto,q_auto,c_pad,b_white,w_1200,h_1200/v1788349645/0518_MONOGRAM_8.png</x:v>
      </x:c>
      <x:c r="F467" s="14" t="str"/>
      <x:c r="G467" s="14" t="str">
        <x:v>Lifestyle</x:v>
      </x:c>
      <x:c r="H467" s="14" t="str"/>
      <x:c r="I467" s="14" t="str">
        <x:v>Detail</x:v>
      </x:c>
      <x:c r="J467" s="14" t="str"/>
      <x:c r="K467" s="14" t="str">
        <x:v>Scale</x:v>
      </x:c>
      <x:c r="L467" s="14" t="str"/>
      <x:c r="M467" s="14" t="str">
        <x:v>Alternate</x:v>
      </x:c>
      <x:c r="N467" s="14" t="n">
        <x:f>IF(E467&lt;&gt;"",1,0)+IF(F467&lt;&gt;"",1,0)+IF(H467&lt;&gt;"",1,0)+IF(J467&lt;&gt;"",1,0)+IF(L467&lt;&gt;"",1,0)</x:f>
        <x:v>1</x:v>
      </x:c>
      <x:c r="O467" s="14" t="str">
        <x:f>IF(E467="","MISSING MAIN",IF(N467=1,"MAIN ONLY","MULTI-PHOTO"))</x:f>
        <x:v>MAIN ONLY</x:v>
      </x:c>
      <x:c r="P467" s="14" t="str">
        <x:v>0518_</x:v>
      </x:c>
      <x:c r="Q467" s="14" t="str">
        <x:v>https://mb1advancedsolutions.github.io/mb1-catalog/index.html?design=0518</x:v>
      </x:c>
      <x:c r="R467" s="14" t="str"/>
    </x:row>
    <x:row r="468">
      <x:c r="A468" s="13" t="str">
        <x:v>MB1-0519</x:v>
      </x:c>
      <x:c r="B468" s="13" t="str">
        <x:v>MB1-0519</x:v>
      </x:c>
      <x:c r="C468" s="14" t="str">
        <x:v>MONOGRAM 9</x:v>
      </x:c>
      <x:c r="D468" s="14" t="str">
        <x:v>family &amp; name</x:v>
      </x:c>
      <x:c r="E468" s="14" t="str">
        <x:v>https://res.cloudinary.com/oxygre42/image/upload/f_auto,q_auto,c_pad,b_white,w_1200,h_1200/v1788349647/0519_MONOGRAM_9.png</x:v>
      </x:c>
      <x:c r="F468" s="14" t="str"/>
      <x:c r="G468" s="14" t="str">
        <x:v>Lifestyle</x:v>
      </x:c>
      <x:c r="H468" s="14" t="str"/>
      <x:c r="I468" s="14" t="str">
        <x:v>Detail</x:v>
      </x:c>
      <x:c r="J468" s="14" t="str"/>
      <x:c r="K468" s="14" t="str">
        <x:v>Scale</x:v>
      </x:c>
      <x:c r="L468" s="14" t="str"/>
      <x:c r="M468" s="14" t="str">
        <x:v>Alternate</x:v>
      </x:c>
      <x:c r="N468" s="14" t="n">
        <x:f>IF(E468&lt;&gt;"",1,0)+IF(F468&lt;&gt;"",1,0)+IF(H468&lt;&gt;"",1,0)+IF(J468&lt;&gt;"",1,0)+IF(L468&lt;&gt;"",1,0)</x:f>
        <x:v>1</x:v>
      </x:c>
      <x:c r="O468" s="14" t="str">
        <x:f>IF(E468="","MISSING MAIN",IF(N468=1,"MAIN ONLY","MULTI-PHOTO"))</x:f>
        <x:v>MAIN ONLY</x:v>
      </x:c>
      <x:c r="P468" s="14" t="str">
        <x:v>0519_</x:v>
      </x:c>
      <x:c r="Q468" s="14" t="str">
        <x:v>https://mb1advancedsolutions.github.io/mb1-catalog/index.html?design=0519</x:v>
      </x:c>
      <x:c r="R468" s="14" t="str"/>
    </x:row>
    <x:row r="469">
      <x:c r="A469" s="13" t="str">
        <x:v>MB1-0520</x:v>
      </x:c>
      <x:c r="B469" s="13" t="str">
        <x:v>MB1-0520</x:v>
      </x:c>
      <x:c r="C469" s="14" t="str">
        <x:v>MOMOGRAM 23</x:v>
      </x:c>
      <x:c r="D469" s="14" t="str">
        <x:v>family &amp; name</x:v>
      </x:c>
      <x:c r="E469" s="14" t="str">
        <x:v>https://res.cloudinary.com/oxygre42/image/upload/f_auto,q_auto,c_pad,b_white,w_1200,h_1200/v1788349648/0520_MOMOGRAM_23.png</x:v>
      </x:c>
      <x:c r="F469" s="14" t="str"/>
      <x:c r="G469" s="14" t="str">
        <x:v>Lifestyle</x:v>
      </x:c>
      <x:c r="H469" s="14" t="str"/>
      <x:c r="I469" s="14" t="str">
        <x:v>Detail</x:v>
      </x:c>
      <x:c r="J469" s="14" t="str"/>
      <x:c r="K469" s="14" t="str">
        <x:v>Scale</x:v>
      </x:c>
      <x:c r="L469" s="14" t="str"/>
      <x:c r="M469" s="14" t="str">
        <x:v>Alternate</x:v>
      </x:c>
      <x:c r="N469" s="14" t="n">
        <x:f>IF(E469&lt;&gt;"",1,0)+IF(F469&lt;&gt;"",1,0)+IF(H469&lt;&gt;"",1,0)+IF(J469&lt;&gt;"",1,0)+IF(L469&lt;&gt;"",1,0)</x:f>
        <x:v>1</x:v>
      </x:c>
      <x:c r="O469" s="14" t="str">
        <x:f>IF(E469="","MISSING MAIN",IF(N469=1,"MAIN ONLY","MULTI-PHOTO"))</x:f>
        <x:v>MAIN ONLY</x:v>
      </x:c>
      <x:c r="P469" s="14" t="str">
        <x:v>0520_</x:v>
      </x:c>
      <x:c r="Q469" s="14" t="str">
        <x:v>https://mb1advancedsolutions.github.io/mb1-catalog/index.html?design=0520</x:v>
      </x:c>
      <x:c r="R469" s="14" t="str"/>
    </x:row>
    <x:row r="470">
      <x:c r="A470" s="13" t="str">
        <x:v>MB1-0521</x:v>
      </x:c>
      <x:c r="B470" s="13" t="str">
        <x:v>MB1-0521</x:v>
      </x:c>
      <x:c r="C470" s="14" t="str">
        <x:v>MONOGRAM 18</x:v>
      </x:c>
      <x:c r="D470" s="14" t="str">
        <x:v>family &amp; name</x:v>
      </x:c>
      <x:c r="E470" s="14" t="str">
        <x:v>https://res.cloudinary.com/oxygre42/image/upload/f_auto,q_auto,c_pad,b_white,w_1200,h_1200/v1788349651/0521_MONOGRAM_18.png</x:v>
      </x:c>
      <x:c r="F470" s="14" t="str"/>
      <x:c r="G470" s="14" t="str">
        <x:v>Lifestyle</x:v>
      </x:c>
      <x:c r="H470" s="14" t="str"/>
      <x:c r="I470" s="14" t="str">
        <x:v>Detail</x:v>
      </x:c>
      <x:c r="J470" s="14" t="str"/>
      <x:c r="K470" s="14" t="str">
        <x:v>Scale</x:v>
      </x:c>
      <x:c r="L470" s="14" t="str"/>
      <x:c r="M470" s="14" t="str">
        <x:v>Alternate</x:v>
      </x:c>
      <x:c r="N470" s="14" t="n">
        <x:f>IF(E470&lt;&gt;"",1,0)+IF(F470&lt;&gt;"",1,0)+IF(H470&lt;&gt;"",1,0)+IF(J470&lt;&gt;"",1,0)+IF(L470&lt;&gt;"",1,0)</x:f>
        <x:v>1</x:v>
      </x:c>
      <x:c r="O470" s="14" t="str">
        <x:f>IF(E470="","MISSING MAIN",IF(N470=1,"MAIN ONLY","MULTI-PHOTO"))</x:f>
        <x:v>MAIN ONLY</x:v>
      </x:c>
      <x:c r="P470" s="14" t="str">
        <x:v>0521_</x:v>
      </x:c>
      <x:c r="Q470" s="14" t="str">
        <x:v>https://mb1advancedsolutions.github.io/mb1-catalog/index.html?design=0521</x:v>
      </x:c>
      <x:c r="R470" s="14" t="str"/>
    </x:row>
    <x:row r="471">
      <x:c r="A471" s="13" t="str">
        <x:v>MB1-0522</x:v>
      </x:c>
      <x:c r="B471" s="13" t="str">
        <x:v>MB1-0522</x:v>
      </x:c>
      <x:c r="C471" s="14" t="str">
        <x:v>MONOGRAM 19</x:v>
      </x:c>
      <x:c r="D471" s="14" t="str">
        <x:v>family &amp; name</x:v>
      </x:c>
      <x:c r="E471" s="14" t="str">
        <x:v>https://res.cloudinary.com/oxygre42/image/upload/f_auto,q_auto,c_pad,b_white,w_1200,h_1200/v1788349652/0522_MONOGRAM_19.png</x:v>
      </x:c>
      <x:c r="F471" s="14" t="str"/>
      <x:c r="G471" s="14" t="str">
        <x:v>Lifestyle</x:v>
      </x:c>
      <x:c r="H471" s="14" t="str"/>
      <x:c r="I471" s="14" t="str">
        <x:v>Detail</x:v>
      </x:c>
      <x:c r="J471" s="14" t="str"/>
      <x:c r="K471" s="14" t="str">
        <x:v>Scale</x:v>
      </x:c>
      <x:c r="L471" s="14" t="str"/>
      <x:c r="M471" s="14" t="str">
        <x:v>Alternate</x:v>
      </x:c>
      <x:c r="N471" s="14" t="n">
        <x:f>IF(E471&lt;&gt;"",1,0)+IF(F471&lt;&gt;"",1,0)+IF(H471&lt;&gt;"",1,0)+IF(J471&lt;&gt;"",1,0)+IF(L471&lt;&gt;"",1,0)</x:f>
        <x:v>1</x:v>
      </x:c>
      <x:c r="O471" s="14" t="str">
        <x:f>IF(E471="","MISSING MAIN",IF(N471=1,"MAIN ONLY","MULTI-PHOTO"))</x:f>
        <x:v>MAIN ONLY</x:v>
      </x:c>
      <x:c r="P471" s="14" t="str">
        <x:v>0522_</x:v>
      </x:c>
      <x:c r="Q471" s="14" t="str">
        <x:v>https://mb1advancedsolutions.github.io/mb1-catalog/index.html?design=0522</x:v>
      </x:c>
      <x:c r="R471" s="14" t="str"/>
    </x:row>
    <x:row r="472">
      <x:c r="A472" s="13" t="str">
        <x:v>MB1-0523</x:v>
      </x:c>
      <x:c r="B472" s="13" t="str">
        <x:v>MB1-0523</x:v>
      </x:c>
      <x:c r="C472" s="14" t="str">
        <x:v>MONOGRAM 20</x:v>
      </x:c>
      <x:c r="D472" s="14" t="str">
        <x:v>family &amp; name</x:v>
      </x:c>
      <x:c r="E472" s="14" t="str">
        <x:v>https://res.cloudinary.com/oxygre42/image/upload/f_auto,q_auto,c_pad,b_white,w_1200,h_1200/v1788349654/0523_MONOGRAM_20.png</x:v>
      </x:c>
      <x:c r="F472" s="14" t="str"/>
      <x:c r="G472" s="14" t="str">
        <x:v>Lifestyle</x:v>
      </x:c>
      <x:c r="H472" s="14" t="str"/>
      <x:c r="I472" s="14" t="str">
        <x:v>Detail</x:v>
      </x:c>
      <x:c r="J472" s="14" t="str"/>
      <x:c r="K472" s="14" t="str">
        <x:v>Scale</x:v>
      </x:c>
      <x:c r="L472" s="14" t="str"/>
      <x:c r="M472" s="14" t="str">
        <x:v>Alternate</x:v>
      </x:c>
      <x:c r="N472" s="14" t="n">
        <x:f>IF(E472&lt;&gt;"",1,0)+IF(F472&lt;&gt;"",1,0)+IF(H472&lt;&gt;"",1,0)+IF(J472&lt;&gt;"",1,0)+IF(L472&lt;&gt;"",1,0)</x:f>
        <x:v>1</x:v>
      </x:c>
      <x:c r="O472" s="14" t="str">
        <x:f>IF(E472="","MISSING MAIN",IF(N472=1,"MAIN ONLY","MULTI-PHOTO"))</x:f>
        <x:v>MAIN ONLY</x:v>
      </x:c>
      <x:c r="P472" s="14" t="str">
        <x:v>0523_</x:v>
      </x:c>
      <x:c r="Q472" s="14" t="str">
        <x:v>https://mb1advancedsolutions.github.io/mb1-catalog/index.html?design=0523</x:v>
      </x:c>
      <x:c r="R472" s="14" t="str"/>
    </x:row>
    <x:row r="473">
      <x:c r="A473" s="13" t="str">
        <x:v>MB1-0524</x:v>
      </x:c>
      <x:c r="B473" s="13" t="str">
        <x:v>MB1-0524</x:v>
      </x:c>
      <x:c r="C473" s="14" t="str">
        <x:v>MONOGRAM 21</x:v>
      </x:c>
      <x:c r="D473" s="14" t="str">
        <x:v>family &amp; name</x:v>
      </x:c>
      <x:c r="E473" s="14" t="str">
        <x:v>https://res.cloudinary.com/oxygre42/image/upload/f_auto,q_auto,c_pad,b_white,w_1200,h_1200/v1788349656/0524_MONOGRAM_21.png</x:v>
      </x:c>
      <x:c r="F473" s="14" t="str"/>
      <x:c r="G473" s="14" t="str">
        <x:v>Lifestyle</x:v>
      </x:c>
      <x:c r="H473" s="14" t="str"/>
      <x:c r="I473" s="14" t="str">
        <x:v>Detail</x:v>
      </x:c>
      <x:c r="J473" s="14" t="str"/>
      <x:c r="K473" s="14" t="str">
        <x:v>Scale</x:v>
      </x:c>
      <x:c r="L473" s="14" t="str"/>
      <x:c r="M473" s="14" t="str">
        <x:v>Alternate</x:v>
      </x:c>
      <x:c r="N473" s="14" t="n">
        <x:f>IF(E473&lt;&gt;"",1,0)+IF(F473&lt;&gt;"",1,0)+IF(H473&lt;&gt;"",1,0)+IF(J473&lt;&gt;"",1,0)+IF(L473&lt;&gt;"",1,0)</x:f>
        <x:v>1</x:v>
      </x:c>
      <x:c r="O473" s="14" t="str">
        <x:f>IF(E473="","MISSING MAIN",IF(N473=1,"MAIN ONLY","MULTI-PHOTO"))</x:f>
        <x:v>MAIN ONLY</x:v>
      </x:c>
      <x:c r="P473" s="14" t="str">
        <x:v>0524_</x:v>
      </x:c>
      <x:c r="Q473" s="14" t="str">
        <x:v>https://mb1advancedsolutions.github.io/mb1-catalog/index.html?design=0524</x:v>
      </x:c>
      <x:c r="R473" s="14" t="str"/>
    </x:row>
    <x:row r="474">
      <x:c r="A474" s="13" t="str">
        <x:v>MB1-0525</x:v>
      </x:c>
      <x:c r="B474" s="13" t="str">
        <x:v>MB1-0525</x:v>
      </x:c>
      <x:c r="C474" s="14" t="str">
        <x:v>MONOGRAM 22</x:v>
      </x:c>
      <x:c r="D474" s="14" t="str">
        <x:v>family &amp; name</x:v>
      </x:c>
      <x:c r="E474" s="14" t="str">
        <x:v>https://res.cloudinary.com/oxygre42/image/upload/f_auto,q_auto,c_pad,b_white,w_1200,h_1200/v1788349658/0525_MONOGRAM_22.png</x:v>
      </x:c>
      <x:c r="F474" s="14" t="str"/>
      <x:c r="G474" s="14" t="str">
        <x:v>Lifestyle</x:v>
      </x:c>
      <x:c r="H474" s="14" t="str"/>
      <x:c r="I474" s="14" t="str">
        <x:v>Detail</x:v>
      </x:c>
      <x:c r="J474" s="14" t="str"/>
      <x:c r="K474" s="14" t="str">
        <x:v>Scale</x:v>
      </x:c>
      <x:c r="L474" s="14" t="str"/>
      <x:c r="M474" s="14" t="str">
        <x:v>Alternate</x:v>
      </x:c>
      <x:c r="N474" s="14" t="n">
        <x:f>IF(E474&lt;&gt;"",1,0)+IF(F474&lt;&gt;"",1,0)+IF(H474&lt;&gt;"",1,0)+IF(J474&lt;&gt;"",1,0)+IF(L474&lt;&gt;"",1,0)</x:f>
        <x:v>1</x:v>
      </x:c>
      <x:c r="O474" s="14" t="str">
        <x:f>IF(E474="","MISSING MAIN",IF(N474=1,"MAIN ONLY","MULTI-PHOTO"))</x:f>
        <x:v>MAIN ONLY</x:v>
      </x:c>
      <x:c r="P474" s="14" t="str">
        <x:v>0525_</x:v>
      </x:c>
      <x:c r="Q474" s="14" t="str">
        <x:v>https://mb1advancedsolutions.github.io/mb1-catalog/index.html?design=0525</x:v>
      </x:c>
      <x:c r="R474" s="14" t="str"/>
    </x:row>
    <x:row r="475">
      <x:c r="A475" s="13" t="str">
        <x:v>MB1-0541</x:v>
      </x:c>
      <x:c r="B475" s="13" t="str">
        <x:v>MB1-0541</x:v>
      </x:c>
      <x:c r="C475" s="14" t="str">
        <x:v>AntlerBaseA</x:v>
      </x:c>
      <x:c r="D475" s="14" t="str">
        <x:v>home decor and inspirational</x:v>
      </x:c>
      <x:c r="E475" s="14" t="str">
        <x:v>https://res.cloudinary.com/oxygre42/image/upload/f_auto,q_auto,c_pad,b_white,w_1200,h_1200/v1788349660/0541_AntlerBaseA.jpg</x:v>
      </x:c>
      <x:c r="F475" s="14" t="str"/>
      <x:c r="G475" s="14" t="str">
        <x:v>Lifestyle</x:v>
      </x:c>
      <x:c r="H475" s="14" t="str"/>
      <x:c r="I475" s="14" t="str">
        <x:v>Detail</x:v>
      </x:c>
      <x:c r="J475" s="14" t="str"/>
      <x:c r="K475" s="14" t="str">
        <x:v>Scale</x:v>
      </x:c>
      <x:c r="L475" s="14" t="str"/>
      <x:c r="M475" s="14" t="str">
        <x:v>Alternate</x:v>
      </x:c>
      <x:c r="N475" s="14" t="n">
        <x:f>IF(E475&lt;&gt;"",1,0)+IF(F475&lt;&gt;"",1,0)+IF(H475&lt;&gt;"",1,0)+IF(J475&lt;&gt;"",1,0)+IF(L475&lt;&gt;"",1,0)</x:f>
        <x:v>1</x:v>
      </x:c>
      <x:c r="O475" s="14" t="str">
        <x:f>IF(E475="","MISSING MAIN",IF(N475=1,"MAIN ONLY","MULTI-PHOTO"))</x:f>
        <x:v>MAIN ONLY</x:v>
      </x:c>
      <x:c r="P475" s="14" t="str">
        <x:v>0541_</x:v>
      </x:c>
      <x:c r="Q475" s="14" t="str">
        <x:v>https://mb1advancedsolutions.github.io/mb1-catalog/index.html?design=0541</x:v>
      </x:c>
      <x:c r="R475" s="14" t="str"/>
    </x:row>
    <x:row r="476">
      <x:c r="A476" s="13" t="str">
        <x:v>MB1-0542</x:v>
      </x:c>
      <x:c r="B476" s="13" t="str">
        <x:v>MB1-0542</x:v>
      </x:c>
      <x:c r="C476" s="14" t="str">
        <x:v>AntlerBaseB</x:v>
      </x:c>
      <x:c r="D476" s="14" t="str">
        <x:v>home decor and inspirational</x:v>
      </x:c>
      <x:c r="E476" s="14" t="str">
        <x:v>https://res.cloudinary.com/oxygre42/image/upload/f_auto,q_auto,c_pad,b_white,w_1200,h_1200/v1788349662/0542_AntlerBaseB.jpg</x:v>
      </x:c>
      <x:c r="F476" s="14" t="str"/>
      <x:c r="G476" s="14" t="str">
        <x:v>Lifestyle</x:v>
      </x:c>
      <x:c r="H476" s="14" t="str"/>
      <x:c r="I476" s="14" t="str">
        <x:v>Detail</x:v>
      </x:c>
      <x:c r="J476" s="14" t="str"/>
      <x:c r="K476" s="14" t="str">
        <x:v>Scale</x:v>
      </x:c>
      <x:c r="L476" s="14" t="str"/>
      <x:c r="M476" s="14" t="str">
        <x:v>Alternate</x:v>
      </x:c>
      <x:c r="N476" s="14" t="n">
        <x:f>IF(E476&lt;&gt;"",1,0)+IF(F476&lt;&gt;"",1,0)+IF(H476&lt;&gt;"",1,0)+IF(J476&lt;&gt;"",1,0)+IF(L476&lt;&gt;"",1,0)</x:f>
        <x:v>1</x:v>
      </x:c>
      <x:c r="O476" s="14" t="str">
        <x:f>IF(E476="","MISSING MAIN",IF(N476=1,"MAIN ONLY","MULTI-PHOTO"))</x:f>
        <x:v>MAIN ONLY</x:v>
      </x:c>
      <x:c r="P476" s="14" t="str">
        <x:v>0542_</x:v>
      </x:c>
      <x:c r="Q476" s="14" t="str">
        <x:v>https://mb1advancedsolutions.github.io/mb1-catalog/index.html?design=0542</x:v>
      </x:c>
      <x:c r="R476" s="14" t="str"/>
    </x:row>
    <x:row r="477">
      <x:c r="A477" s="13" t="str">
        <x:v>MB1-0543</x:v>
      </x:c>
      <x:c r="B477" s="13" t="str">
        <x:v>MB1-0543</x:v>
      </x:c>
      <x:c r="C477" s="14" t="str">
        <x:v>AntlerBaseC</x:v>
      </x:c>
      <x:c r="D477" s="14" t="str">
        <x:v>home decor and inspirational</x:v>
      </x:c>
      <x:c r="E477" s="14" t="str">
        <x:v>https://res.cloudinary.com/oxygre42/image/upload/f_auto,q_auto,c_pad,b_white,w_1200,h_1200/v1788349663/0543_AntlerBaseC.jpg</x:v>
      </x:c>
      <x:c r="F477" s="14" t="str"/>
      <x:c r="G477" s="14" t="str">
        <x:v>Lifestyle</x:v>
      </x:c>
      <x:c r="H477" s="14" t="str"/>
      <x:c r="I477" s="14" t="str">
        <x:v>Detail</x:v>
      </x:c>
      <x:c r="J477" s="14" t="str"/>
      <x:c r="K477" s="14" t="str">
        <x:v>Scale</x:v>
      </x:c>
      <x:c r="L477" s="14" t="str"/>
      <x:c r="M477" s="14" t="str">
        <x:v>Alternate</x:v>
      </x:c>
      <x:c r="N477" s="14" t="n">
        <x:f>IF(E477&lt;&gt;"",1,0)+IF(F477&lt;&gt;"",1,0)+IF(H477&lt;&gt;"",1,0)+IF(J477&lt;&gt;"",1,0)+IF(L477&lt;&gt;"",1,0)</x:f>
        <x:v>1</x:v>
      </x:c>
      <x:c r="O477" s="14" t="str">
        <x:f>IF(E477="","MISSING MAIN",IF(N477=1,"MAIN ONLY","MULTI-PHOTO"))</x:f>
        <x:v>MAIN ONLY</x:v>
      </x:c>
      <x:c r="P477" s="14" t="str">
        <x:v>0543_</x:v>
      </x:c>
      <x:c r="Q477" s="14" t="str">
        <x:v>https://mb1advancedsolutions.github.io/mb1-catalog/index.html?design=0543</x:v>
      </x:c>
      <x:c r="R477" s="14" t="str"/>
    </x:row>
    <x:row r="478">
      <x:c r="A478" s="13" t="str">
        <x:v>MB1-0544</x:v>
      </x:c>
      <x:c r="B478" s="13" t="str">
        <x:v>MB1-0544</x:v>
      </x:c>
      <x:c r="C478" s="14" t="str">
        <x:v>AntlerBaseD</x:v>
      </x:c>
      <x:c r="D478" s="14" t="str">
        <x:v>home decor and inspirational</x:v>
      </x:c>
      <x:c r="E478" s="14" t="str">
        <x:v>https://res.cloudinary.com/oxygre42/image/upload/f_auto,q_auto,c_pad,b_white,w_1200,h_1200/v1788349665/0544_AntlerBaseD.jpg</x:v>
      </x:c>
      <x:c r="F478" s="14" t="str"/>
      <x:c r="G478" s="14" t="str">
        <x:v>Lifestyle</x:v>
      </x:c>
      <x:c r="H478" s="14" t="str"/>
      <x:c r="I478" s="14" t="str">
        <x:v>Detail</x:v>
      </x:c>
      <x:c r="J478" s="14" t="str"/>
      <x:c r="K478" s="14" t="str">
        <x:v>Scale</x:v>
      </x:c>
      <x:c r="L478" s="14" t="str"/>
      <x:c r="M478" s="14" t="str">
        <x:v>Alternate</x:v>
      </x:c>
      <x:c r="N478" s="14" t="n">
        <x:f>IF(E478&lt;&gt;"",1,0)+IF(F478&lt;&gt;"",1,0)+IF(H478&lt;&gt;"",1,0)+IF(J478&lt;&gt;"",1,0)+IF(L478&lt;&gt;"",1,0)</x:f>
        <x:v>1</x:v>
      </x:c>
      <x:c r="O478" s="14" t="str">
        <x:f>IF(E478="","MISSING MAIN",IF(N478=1,"MAIN ONLY","MULTI-PHOTO"))</x:f>
        <x:v>MAIN ONLY</x:v>
      </x:c>
      <x:c r="P478" s="14" t="str">
        <x:v>0544_</x:v>
      </x:c>
      <x:c r="Q478" s="14" t="str">
        <x:v>https://mb1advancedsolutions.github.io/mb1-catalog/index.html?design=0544</x:v>
      </x:c>
      <x:c r="R478" s="14" t="str"/>
    </x:row>
    <x:row r="479">
      <x:c r="A479" s="13" t="str">
        <x:v>MB1-0545</x:v>
      </x:c>
      <x:c r="B479" s="13" t="str">
        <x:v>MB1-0545</x:v>
      </x:c>
      <x:c r="C479" s="14" t="str">
        <x:v>AntlerBaseE</x:v>
      </x:c>
      <x:c r="D479" s="14" t="str">
        <x:v>home decor and inspirational</x:v>
      </x:c>
      <x:c r="E479" s="14" t="str">
        <x:v>https://res.cloudinary.com/oxygre42/image/upload/f_auto,q_auto,c_pad,b_white,w_1200,h_1200/v1788349667/0545_AntlerBaseE.jpg</x:v>
      </x:c>
      <x:c r="F479" s="14" t="str"/>
      <x:c r="G479" s="14" t="str">
        <x:v>Lifestyle</x:v>
      </x:c>
      <x:c r="H479" s="14" t="str"/>
      <x:c r="I479" s="14" t="str">
        <x:v>Detail</x:v>
      </x:c>
      <x:c r="J479" s="14" t="str"/>
      <x:c r="K479" s="14" t="str">
        <x:v>Scale</x:v>
      </x:c>
      <x:c r="L479" s="14" t="str"/>
      <x:c r="M479" s="14" t="str">
        <x:v>Alternate</x:v>
      </x:c>
      <x:c r="N479" s="14" t="n">
        <x:f>IF(E479&lt;&gt;"",1,0)+IF(F479&lt;&gt;"",1,0)+IF(H479&lt;&gt;"",1,0)+IF(J479&lt;&gt;"",1,0)+IF(L479&lt;&gt;"",1,0)</x:f>
        <x:v>1</x:v>
      </x:c>
      <x:c r="O479" s="14" t="str">
        <x:f>IF(E479="","MISSING MAIN",IF(N479=1,"MAIN ONLY","MULTI-PHOTO"))</x:f>
        <x:v>MAIN ONLY</x:v>
      </x:c>
      <x:c r="P479" s="14" t="str">
        <x:v>0545_</x:v>
      </x:c>
      <x:c r="Q479" s="14" t="str">
        <x:v>https://mb1advancedsolutions.github.io/mb1-catalog/index.html?design=0545</x:v>
      </x:c>
      <x:c r="R479" s="14" t="str"/>
    </x:row>
    <x:row r="480">
      <x:c r="A480" s="13" t="str">
        <x:v>MB1-0546</x:v>
      </x:c>
      <x:c r="B480" s="13" t="str">
        <x:v>MB1-0546</x:v>
      </x:c>
      <x:c r="C480" s="14" t="str">
        <x:v>AntlerBaseF</x:v>
      </x:c>
      <x:c r="D480" s="14" t="str">
        <x:v>home decor and inspirational</x:v>
      </x:c>
      <x:c r="E480" s="14" t="str">
        <x:v>https://res.cloudinary.com/oxygre42/image/upload/f_auto,q_auto,c_pad,b_white,w_1200,h_1200/v1788349669/0546_AntlerBaseF.jpg</x:v>
      </x:c>
      <x:c r="F480" s="14" t="str"/>
      <x:c r="G480" s="14" t="str">
        <x:v>Lifestyle</x:v>
      </x:c>
      <x:c r="H480" s="14" t="str"/>
      <x:c r="I480" s="14" t="str">
        <x:v>Detail</x:v>
      </x:c>
      <x:c r="J480" s="14" t="str"/>
      <x:c r="K480" s="14" t="str">
        <x:v>Scale</x:v>
      </x:c>
      <x:c r="L480" s="14" t="str"/>
      <x:c r="M480" s="14" t="str">
        <x:v>Alternate</x:v>
      </x:c>
      <x:c r="N480" s="14" t="n">
        <x:f>IF(E480&lt;&gt;"",1,0)+IF(F480&lt;&gt;"",1,0)+IF(H480&lt;&gt;"",1,0)+IF(J480&lt;&gt;"",1,0)+IF(L480&lt;&gt;"",1,0)</x:f>
        <x:v>1</x:v>
      </x:c>
      <x:c r="O480" s="14" t="str">
        <x:f>IF(E480="","MISSING MAIN",IF(N480=1,"MAIN ONLY","MULTI-PHOTO"))</x:f>
        <x:v>MAIN ONLY</x:v>
      </x:c>
      <x:c r="P480" s="14" t="str">
        <x:v>0546_</x:v>
      </x:c>
      <x:c r="Q480" s="14" t="str">
        <x:v>https://mb1advancedsolutions.github.io/mb1-catalog/index.html?design=0546</x:v>
      </x:c>
      <x:c r="R480" s="14" t="str"/>
    </x:row>
    <x:row r="481">
      <x:c r="A481" s="13" t="str">
        <x:v>MB1-0547</x:v>
      </x:c>
      <x:c r="B481" s="13" t="str">
        <x:v>MB1-0547</x:v>
      </x:c>
      <x:c r="C481" s="14" t="str">
        <x:v>AntlerBaseG</x:v>
      </x:c>
      <x:c r="D481" s="14" t="str">
        <x:v>home decor and inspirational</x:v>
      </x:c>
      <x:c r="E481" s="14" t="str">
        <x:v>https://res.cloudinary.com/oxygre42/image/upload/f_auto,q_auto,c_pad,b_white,w_1200,h_1200/v1788349671/0547_AntlerBaseG.jpg</x:v>
      </x:c>
      <x:c r="F481" s="14" t="str"/>
      <x:c r="G481" s="14" t="str">
        <x:v>Lifestyle</x:v>
      </x:c>
      <x:c r="H481" s="14" t="str"/>
      <x:c r="I481" s="14" t="str">
        <x:v>Detail</x:v>
      </x:c>
      <x:c r="J481" s="14" t="str"/>
      <x:c r="K481" s="14" t="str">
        <x:v>Scale</x:v>
      </x:c>
      <x:c r="L481" s="14" t="str"/>
      <x:c r="M481" s="14" t="str">
        <x:v>Alternate</x:v>
      </x:c>
      <x:c r="N481" s="14" t="n">
        <x:f>IF(E481&lt;&gt;"",1,0)+IF(F481&lt;&gt;"",1,0)+IF(H481&lt;&gt;"",1,0)+IF(J481&lt;&gt;"",1,0)+IF(L481&lt;&gt;"",1,0)</x:f>
        <x:v>1</x:v>
      </x:c>
      <x:c r="O481" s="14" t="str">
        <x:f>IF(E481="","MISSING MAIN",IF(N481=1,"MAIN ONLY","MULTI-PHOTO"))</x:f>
        <x:v>MAIN ONLY</x:v>
      </x:c>
      <x:c r="P481" s="14" t="str">
        <x:v>0547_</x:v>
      </x:c>
      <x:c r="Q481" s="14" t="str">
        <x:v>https://mb1advancedsolutions.github.io/mb1-catalog/index.html?design=0547</x:v>
      </x:c>
      <x:c r="R481" s="14" t="str"/>
    </x:row>
    <x:row r="482">
      <x:c r="A482" s="13" t="str">
        <x:v>MB1-0548</x:v>
      </x:c>
      <x:c r="B482" s="13" t="str">
        <x:v>MB1-0548</x:v>
      </x:c>
      <x:c r="C482" s="14" t="str">
        <x:v>AntlerBaseH</x:v>
      </x:c>
      <x:c r="D482" s="14" t="str">
        <x:v>home decor and inspirational</x:v>
      </x:c>
      <x:c r="E482" s="14" t="str">
        <x:v>https://res.cloudinary.com/oxygre42/image/upload/f_auto,q_auto,c_pad,b_white,w_1200,h_1200/v1788349672/0548_AntlerBaseH.jpg</x:v>
      </x:c>
      <x:c r="F482" s="14" t="str"/>
      <x:c r="G482" s="14" t="str">
        <x:v>Lifestyle</x:v>
      </x:c>
      <x:c r="H482" s="14" t="str"/>
      <x:c r="I482" s="14" t="str">
        <x:v>Detail</x:v>
      </x:c>
      <x:c r="J482" s="14" t="str"/>
      <x:c r="K482" s="14" t="str">
        <x:v>Scale</x:v>
      </x:c>
      <x:c r="L482" s="14" t="str"/>
      <x:c r="M482" s="14" t="str">
        <x:v>Alternate</x:v>
      </x:c>
      <x:c r="N482" s="14" t="n">
        <x:f>IF(E482&lt;&gt;"",1,0)+IF(F482&lt;&gt;"",1,0)+IF(H482&lt;&gt;"",1,0)+IF(J482&lt;&gt;"",1,0)+IF(L482&lt;&gt;"",1,0)</x:f>
        <x:v>1</x:v>
      </x:c>
      <x:c r="O482" s="14" t="str">
        <x:f>IF(E482="","MISSING MAIN",IF(N482=1,"MAIN ONLY","MULTI-PHOTO"))</x:f>
        <x:v>MAIN ONLY</x:v>
      </x:c>
      <x:c r="P482" s="14" t="str">
        <x:v>0548_</x:v>
      </x:c>
      <x:c r="Q482" s="14" t="str">
        <x:v>https://mb1advancedsolutions.github.io/mb1-catalog/index.html?design=0548</x:v>
      </x:c>
      <x:c r="R482" s="14" t="str"/>
    </x:row>
    <x:row r="483">
      <x:c r="A483" s="13" t="str">
        <x:v>MB1-0549</x:v>
      </x:c>
      <x:c r="B483" s="13" t="str">
        <x:v>MB1-0549</x:v>
      </x:c>
      <x:c r="C483" s="14" t="str">
        <x:v>AntlerBaseI</x:v>
      </x:c>
      <x:c r="D483" s="14" t="str">
        <x:v>home decor and inspirational</x:v>
      </x:c>
      <x:c r="E483" s="14" t="str">
        <x:v>https://res.cloudinary.com/oxygre42/image/upload/f_auto,q_auto,c_pad,b_white,w_1200,h_1200/v1788349674/0549_AntlerBaseI.jpg</x:v>
      </x:c>
      <x:c r="F483" s="14" t="str"/>
      <x:c r="G483" s="14" t="str">
        <x:v>Lifestyle</x:v>
      </x:c>
      <x:c r="H483" s="14" t="str"/>
      <x:c r="I483" s="14" t="str">
        <x:v>Detail</x:v>
      </x:c>
      <x:c r="J483" s="14" t="str"/>
      <x:c r="K483" s="14" t="str">
        <x:v>Scale</x:v>
      </x:c>
      <x:c r="L483" s="14" t="str"/>
      <x:c r="M483" s="14" t="str">
        <x:v>Alternate</x:v>
      </x:c>
      <x:c r="N483" s="14" t="n">
        <x:f>IF(E483&lt;&gt;"",1,0)+IF(F483&lt;&gt;"",1,0)+IF(H483&lt;&gt;"",1,0)+IF(J483&lt;&gt;"",1,0)+IF(L483&lt;&gt;"",1,0)</x:f>
        <x:v>1</x:v>
      </x:c>
      <x:c r="O483" s="14" t="str">
        <x:f>IF(E483="","MISSING MAIN",IF(N483=1,"MAIN ONLY","MULTI-PHOTO"))</x:f>
        <x:v>MAIN ONLY</x:v>
      </x:c>
      <x:c r="P483" s="14" t="str">
        <x:v>0549_</x:v>
      </x:c>
      <x:c r="Q483" s="14" t="str">
        <x:v>https://mb1advancedsolutions.github.io/mb1-catalog/index.html?design=0549</x:v>
      </x:c>
      <x:c r="R483" s="14" t="str"/>
    </x:row>
    <x:row r="484">
      <x:c r="A484" s="13" t="str">
        <x:v>MB1-0550</x:v>
      </x:c>
      <x:c r="B484" s="13" t="str">
        <x:v>MB1-0550</x:v>
      </x:c>
      <x:c r="C484" s="14" t="str">
        <x:v>AntlerBaseJ</x:v>
      </x:c>
      <x:c r="D484" s="14" t="str">
        <x:v>home decor and inspirational</x:v>
      </x:c>
      <x:c r="E484" s="14" t="str">
        <x:v>https://res.cloudinary.com/oxygre42/image/upload/f_auto,q_auto,c_pad,b_white,w_1200,h_1200/v1788349676/0550_AntlerBaseJ.jpg</x:v>
      </x:c>
      <x:c r="F484" s="14" t="str"/>
      <x:c r="G484" s="14" t="str">
        <x:v>Lifestyle</x:v>
      </x:c>
      <x:c r="H484" s="14" t="str"/>
      <x:c r="I484" s="14" t="str">
        <x:v>Detail</x:v>
      </x:c>
      <x:c r="J484" s="14" t="str"/>
      <x:c r="K484" s="14" t="str">
        <x:v>Scale</x:v>
      </x:c>
      <x:c r="L484" s="14" t="str"/>
      <x:c r="M484" s="14" t="str">
        <x:v>Alternate</x:v>
      </x:c>
      <x:c r="N484" s="14" t="n">
        <x:f>IF(E484&lt;&gt;"",1,0)+IF(F484&lt;&gt;"",1,0)+IF(H484&lt;&gt;"",1,0)+IF(J484&lt;&gt;"",1,0)+IF(L484&lt;&gt;"",1,0)</x:f>
        <x:v>1</x:v>
      </x:c>
      <x:c r="O484" s="14" t="str">
        <x:f>IF(E484="","MISSING MAIN",IF(N484=1,"MAIN ONLY","MULTI-PHOTO"))</x:f>
        <x:v>MAIN ONLY</x:v>
      </x:c>
      <x:c r="P484" s="14" t="str">
        <x:v>0550_</x:v>
      </x:c>
      <x:c r="Q484" s="14" t="str">
        <x:v>https://mb1advancedsolutions.github.io/mb1-catalog/index.html?design=0550</x:v>
      </x:c>
      <x:c r="R484" s="14" t="str"/>
    </x:row>
    <x:row r="485">
      <x:c r="A485" s="13" t="str">
        <x:v>MB1-0551</x:v>
      </x:c>
      <x:c r="B485" s="13" t="str">
        <x:v>MB1-0551</x:v>
      </x:c>
      <x:c r="C485" s="14" t="str">
        <x:v>AntlerBaseK</x:v>
      </x:c>
      <x:c r="D485" s="14" t="str">
        <x:v>home decor and inspirational</x:v>
      </x:c>
      <x:c r="E485" s="14" t="str">
        <x:v>https://res.cloudinary.com/oxygre42/image/upload/f_auto,q_auto,c_pad,b_white,w_1200,h_1200/v1788349678/0551_AntlerBaseK.jpg</x:v>
      </x:c>
      <x:c r="F485" s="14" t="str"/>
      <x:c r="G485" s="14" t="str">
        <x:v>Lifestyle</x:v>
      </x:c>
      <x:c r="H485" s="14" t="str"/>
      <x:c r="I485" s="14" t="str">
        <x:v>Detail</x:v>
      </x:c>
      <x:c r="J485" s="14" t="str"/>
      <x:c r="K485" s="14" t="str">
        <x:v>Scale</x:v>
      </x:c>
      <x:c r="L485" s="14" t="str"/>
      <x:c r="M485" s="14" t="str">
        <x:v>Alternate</x:v>
      </x:c>
      <x:c r="N485" s="14" t="n">
        <x:f>IF(E485&lt;&gt;"",1,0)+IF(F485&lt;&gt;"",1,0)+IF(H485&lt;&gt;"",1,0)+IF(J485&lt;&gt;"",1,0)+IF(L485&lt;&gt;"",1,0)</x:f>
        <x:v>1</x:v>
      </x:c>
      <x:c r="O485" s="14" t="str">
        <x:f>IF(E485="","MISSING MAIN",IF(N485=1,"MAIN ONLY","MULTI-PHOTO"))</x:f>
        <x:v>MAIN ONLY</x:v>
      </x:c>
      <x:c r="P485" s="14" t="str">
        <x:v>0551_</x:v>
      </x:c>
      <x:c r="Q485" s="14" t="str">
        <x:v>https://mb1advancedsolutions.github.io/mb1-catalog/index.html?design=0551</x:v>
      </x:c>
      <x:c r="R485" s="14" t="str"/>
    </x:row>
    <x:row r="486">
      <x:c r="A486" s="13" t="str">
        <x:v>MB1-0552</x:v>
      </x:c>
      <x:c r="B486" s="13" t="str">
        <x:v>MB1-0552</x:v>
      </x:c>
      <x:c r="C486" s="14" t="str">
        <x:v>AntlerBaseL</x:v>
      </x:c>
      <x:c r="D486" s="14" t="str">
        <x:v>home decor and inspirational</x:v>
      </x:c>
      <x:c r="E486" s="14" t="str">
        <x:v>https://res.cloudinary.com/oxygre42/image/upload/f_auto,q_auto,c_pad,b_white,w_1200,h_1200/v1788349680/0552_AntlerBaseL.jpg</x:v>
      </x:c>
      <x:c r="F486" s="14" t="str"/>
      <x:c r="G486" s="14" t="str">
        <x:v>Lifestyle</x:v>
      </x:c>
      <x:c r="H486" s="14" t="str"/>
      <x:c r="I486" s="14" t="str">
        <x:v>Detail</x:v>
      </x:c>
      <x:c r="J486" s="14" t="str"/>
      <x:c r="K486" s="14" t="str">
        <x:v>Scale</x:v>
      </x:c>
      <x:c r="L486" s="14" t="str"/>
      <x:c r="M486" s="14" t="str">
        <x:v>Alternate</x:v>
      </x:c>
      <x:c r="N486" s="14" t="n">
        <x:f>IF(E486&lt;&gt;"",1,0)+IF(F486&lt;&gt;"",1,0)+IF(H486&lt;&gt;"",1,0)+IF(J486&lt;&gt;"",1,0)+IF(L486&lt;&gt;"",1,0)</x:f>
        <x:v>1</x:v>
      </x:c>
      <x:c r="O486" s="14" t="str">
        <x:f>IF(E486="","MISSING MAIN",IF(N486=1,"MAIN ONLY","MULTI-PHOTO"))</x:f>
        <x:v>MAIN ONLY</x:v>
      </x:c>
      <x:c r="P486" s="14" t="str">
        <x:v>0552_</x:v>
      </x:c>
      <x:c r="Q486" s="14" t="str">
        <x:v>https://mb1advancedsolutions.github.io/mb1-catalog/index.html?design=0552</x:v>
      </x:c>
      <x:c r="R486" s="14" t="str"/>
    </x:row>
    <x:row r="487">
      <x:c r="A487" s="13" t="str">
        <x:v>MB1-0553</x:v>
      </x:c>
      <x:c r="B487" s="13" t="str">
        <x:v>MB1-0553</x:v>
      </x:c>
      <x:c r="C487" s="14" t="str">
        <x:v>AntlerBaseM</x:v>
      </x:c>
      <x:c r="D487" s="14" t="str">
        <x:v>home decor and inspirational</x:v>
      </x:c>
      <x:c r="E487" s="14" t="str">
        <x:v>https://res.cloudinary.com/oxygre42/image/upload/f_auto,q_auto,c_pad,b_white,w_1200,h_1200/v1788349682/0553_AntlerBaseM.jpg</x:v>
      </x:c>
      <x:c r="F487" s="14" t="str"/>
      <x:c r="G487" s="14" t="str">
        <x:v>Lifestyle</x:v>
      </x:c>
      <x:c r="H487" s="14" t="str"/>
      <x:c r="I487" s="14" t="str">
        <x:v>Detail</x:v>
      </x:c>
      <x:c r="J487" s="14" t="str"/>
      <x:c r="K487" s="14" t="str">
        <x:v>Scale</x:v>
      </x:c>
      <x:c r="L487" s="14" t="str"/>
      <x:c r="M487" s="14" t="str">
        <x:v>Alternate</x:v>
      </x:c>
      <x:c r="N487" s="14" t="n">
        <x:f>IF(E487&lt;&gt;"",1,0)+IF(F487&lt;&gt;"",1,0)+IF(H487&lt;&gt;"",1,0)+IF(J487&lt;&gt;"",1,0)+IF(L487&lt;&gt;"",1,0)</x:f>
        <x:v>1</x:v>
      </x:c>
      <x:c r="O487" s="14" t="str">
        <x:f>IF(E487="","MISSING MAIN",IF(N487=1,"MAIN ONLY","MULTI-PHOTO"))</x:f>
        <x:v>MAIN ONLY</x:v>
      </x:c>
      <x:c r="P487" s="14" t="str">
        <x:v>0553_</x:v>
      </x:c>
      <x:c r="Q487" s="14" t="str">
        <x:v>https://mb1advancedsolutions.github.io/mb1-catalog/index.html?design=0553</x:v>
      </x:c>
      <x:c r="R487" s="14" t="str"/>
    </x:row>
    <x:row r="488">
      <x:c r="A488" s="13" t="str">
        <x:v>MB1-0554</x:v>
      </x:c>
      <x:c r="B488" s="13" t="str">
        <x:v>MB1-0554</x:v>
      </x:c>
      <x:c r="C488" s="14" t="str">
        <x:v>AntlerBaseN</x:v>
      </x:c>
      <x:c r="D488" s="14" t="str">
        <x:v>home decor and inspirational</x:v>
      </x:c>
      <x:c r="E488" s="14" t="str">
        <x:v>https://res.cloudinary.com/oxygre42/image/upload/f_auto,q_auto,c_pad,b_white,w_1200,h_1200/v1788349683/0554_AntlerBaseN.jpg</x:v>
      </x:c>
      <x:c r="F488" s="14" t="str"/>
      <x:c r="G488" s="14" t="str">
        <x:v>Lifestyle</x:v>
      </x:c>
      <x:c r="H488" s="14" t="str"/>
      <x:c r="I488" s="14" t="str">
        <x:v>Detail</x:v>
      </x:c>
      <x:c r="J488" s="14" t="str"/>
      <x:c r="K488" s="14" t="str">
        <x:v>Scale</x:v>
      </x:c>
      <x:c r="L488" s="14" t="str"/>
      <x:c r="M488" s="14" t="str">
        <x:v>Alternate</x:v>
      </x:c>
      <x:c r="N488" s="14" t="n">
        <x:f>IF(E488&lt;&gt;"",1,0)+IF(F488&lt;&gt;"",1,0)+IF(H488&lt;&gt;"",1,0)+IF(J488&lt;&gt;"",1,0)+IF(L488&lt;&gt;"",1,0)</x:f>
        <x:v>1</x:v>
      </x:c>
      <x:c r="O488" s="14" t="str">
        <x:f>IF(E488="","MISSING MAIN",IF(N488=1,"MAIN ONLY","MULTI-PHOTO"))</x:f>
        <x:v>MAIN ONLY</x:v>
      </x:c>
      <x:c r="P488" s="14" t="str">
        <x:v>0554_</x:v>
      </x:c>
      <x:c r="Q488" s="14" t="str">
        <x:v>https://mb1advancedsolutions.github.io/mb1-catalog/index.html?design=0554</x:v>
      </x:c>
      <x:c r="R488" s="14" t="str"/>
    </x:row>
    <x:row r="489">
      <x:c r="A489" s="13" t="str">
        <x:v>MB1-0555</x:v>
      </x:c>
      <x:c r="B489" s="13" t="str">
        <x:v>MB1-0555</x:v>
      </x:c>
      <x:c r="C489" s="14" t="str">
        <x:v>AntlerBaseO</x:v>
      </x:c>
      <x:c r="D489" s="14" t="str">
        <x:v>home decor and inspirational</x:v>
      </x:c>
      <x:c r="E489" s="14" t="str">
        <x:v>https://res.cloudinary.com/oxygre42/image/upload/f_auto,q_auto,c_pad,b_white,w_1200,h_1200/v1788349685/0555_AntlerBaseO.jpg</x:v>
      </x:c>
      <x:c r="F489" s="14" t="str"/>
      <x:c r="G489" s="14" t="str">
        <x:v>Lifestyle</x:v>
      </x:c>
      <x:c r="H489" s="14" t="str"/>
      <x:c r="I489" s="14" t="str">
        <x:v>Detail</x:v>
      </x:c>
      <x:c r="J489" s="14" t="str"/>
      <x:c r="K489" s="14" t="str">
        <x:v>Scale</x:v>
      </x:c>
      <x:c r="L489" s="14" t="str"/>
      <x:c r="M489" s="14" t="str">
        <x:v>Alternate</x:v>
      </x:c>
      <x:c r="N489" s="14" t="n">
        <x:f>IF(E489&lt;&gt;"",1,0)+IF(F489&lt;&gt;"",1,0)+IF(H489&lt;&gt;"",1,0)+IF(J489&lt;&gt;"",1,0)+IF(L489&lt;&gt;"",1,0)</x:f>
        <x:v>1</x:v>
      </x:c>
      <x:c r="O489" s="14" t="str">
        <x:f>IF(E489="","MISSING MAIN",IF(N489=1,"MAIN ONLY","MULTI-PHOTO"))</x:f>
        <x:v>MAIN ONLY</x:v>
      </x:c>
      <x:c r="P489" s="14" t="str">
        <x:v>0555_</x:v>
      </x:c>
      <x:c r="Q489" s="14" t="str">
        <x:v>https://mb1advancedsolutions.github.io/mb1-catalog/index.html?design=0555</x:v>
      </x:c>
      <x:c r="R489" s="14" t="str"/>
    </x:row>
    <x:row r="490">
      <x:c r="A490" s="13" t="str">
        <x:v>MB1-0556</x:v>
      </x:c>
      <x:c r="B490" s="13" t="str">
        <x:v>MB1-0556</x:v>
      </x:c>
      <x:c r="C490" s="14" t="str">
        <x:v>AntlerBaseP</x:v>
      </x:c>
      <x:c r="D490" s="14" t="str">
        <x:v>home decor and inspirational</x:v>
      </x:c>
      <x:c r="E490" s="14" t="str">
        <x:v>https://res.cloudinary.com/oxygre42/image/upload/f_auto,q_auto,c_pad,b_white,w_1200,h_1200/v1788349687/0556_AntlerBaseP.jpg</x:v>
      </x:c>
      <x:c r="F490" s="14" t="str"/>
      <x:c r="G490" s="14" t="str">
        <x:v>Lifestyle</x:v>
      </x:c>
      <x:c r="H490" s="14" t="str"/>
      <x:c r="I490" s="14" t="str">
        <x:v>Detail</x:v>
      </x:c>
      <x:c r="J490" s="14" t="str"/>
      <x:c r="K490" s="14" t="str">
        <x:v>Scale</x:v>
      </x:c>
      <x:c r="L490" s="14" t="str"/>
      <x:c r="M490" s="14" t="str">
        <x:v>Alternate</x:v>
      </x:c>
      <x:c r="N490" s="14" t="n">
        <x:f>IF(E490&lt;&gt;"",1,0)+IF(F490&lt;&gt;"",1,0)+IF(H490&lt;&gt;"",1,0)+IF(J490&lt;&gt;"",1,0)+IF(L490&lt;&gt;"",1,0)</x:f>
        <x:v>1</x:v>
      </x:c>
      <x:c r="O490" s="14" t="str">
        <x:f>IF(E490="","MISSING MAIN",IF(N490=1,"MAIN ONLY","MULTI-PHOTO"))</x:f>
        <x:v>MAIN ONLY</x:v>
      </x:c>
      <x:c r="P490" s="14" t="str">
        <x:v>0556_</x:v>
      </x:c>
      <x:c r="Q490" s="14" t="str">
        <x:v>https://mb1advancedsolutions.github.io/mb1-catalog/index.html?design=0556</x:v>
      </x:c>
      <x:c r="R490" s="14" t="str"/>
    </x:row>
    <x:row r="491">
      <x:c r="A491" s="13" t="str">
        <x:v>MB1-0557</x:v>
      </x:c>
      <x:c r="B491" s="13" t="str">
        <x:v>MB1-0557</x:v>
      </x:c>
      <x:c r="C491" s="14" t="str">
        <x:v>AntlerBaseQ</x:v>
      </x:c>
      <x:c r="D491" s="14" t="str">
        <x:v>home decor and inspirational</x:v>
      </x:c>
      <x:c r="E491" s="14" t="str">
        <x:v>https://res.cloudinary.com/oxygre42/image/upload/f_auto,q_auto,c_pad,b_white,w_1200,h_1200/v1788349689/0557_AntlerBaseQ.jpg</x:v>
      </x:c>
      <x:c r="F491" s="14" t="str"/>
      <x:c r="G491" s="14" t="str">
        <x:v>Lifestyle</x:v>
      </x:c>
      <x:c r="H491" s="14" t="str"/>
      <x:c r="I491" s="14" t="str">
        <x:v>Detail</x:v>
      </x:c>
      <x:c r="J491" s="14" t="str"/>
      <x:c r="K491" s="14" t="str">
        <x:v>Scale</x:v>
      </x:c>
      <x:c r="L491" s="14" t="str"/>
      <x:c r="M491" s="14" t="str">
        <x:v>Alternate</x:v>
      </x:c>
      <x:c r="N491" s="14" t="n">
        <x:f>IF(E491&lt;&gt;"",1,0)+IF(F491&lt;&gt;"",1,0)+IF(H491&lt;&gt;"",1,0)+IF(J491&lt;&gt;"",1,0)+IF(L491&lt;&gt;"",1,0)</x:f>
        <x:v>1</x:v>
      </x:c>
      <x:c r="O491" s="14" t="str">
        <x:f>IF(E491="","MISSING MAIN",IF(N491=1,"MAIN ONLY","MULTI-PHOTO"))</x:f>
        <x:v>MAIN ONLY</x:v>
      </x:c>
      <x:c r="P491" s="14" t="str">
        <x:v>0557_</x:v>
      </x:c>
      <x:c r="Q491" s="14" t="str">
        <x:v>https://mb1advancedsolutions.github.io/mb1-catalog/index.html?design=0557</x:v>
      </x:c>
      <x:c r="R491" s="14" t="str"/>
    </x:row>
    <x:row r="492">
      <x:c r="A492" s="13" t="str">
        <x:v>MB1-0558</x:v>
      </x:c>
      <x:c r="B492" s="13" t="str">
        <x:v>MB1-0558</x:v>
      </x:c>
      <x:c r="C492" s="14" t="str">
        <x:v>AntlerBaseR</x:v>
      </x:c>
      <x:c r="D492" s="14" t="str">
        <x:v>home decor and inspirational</x:v>
      </x:c>
      <x:c r="E492" s="14" t="str">
        <x:v>https://res.cloudinary.com/oxygre42/image/upload/f_auto,q_auto,c_pad,b_white,w_1200,h_1200/v1788349691/0558_AntlerBaseR.jpg</x:v>
      </x:c>
      <x:c r="F492" s="14" t="str"/>
      <x:c r="G492" s="14" t="str">
        <x:v>Lifestyle</x:v>
      </x:c>
      <x:c r="H492" s="14" t="str"/>
      <x:c r="I492" s="14" t="str">
        <x:v>Detail</x:v>
      </x:c>
      <x:c r="J492" s="14" t="str"/>
      <x:c r="K492" s="14" t="str">
        <x:v>Scale</x:v>
      </x:c>
      <x:c r="L492" s="14" t="str"/>
      <x:c r="M492" s="14" t="str">
        <x:v>Alternate</x:v>
      </x:c>
      <x:c r="N492" s="14" t="n">
        <x:f>IF(E492&lt;&gt;"",1,0)+IF(F492&lt;&gt;"",1,0)+IF(H492&lt;&gt;"",1,0)+IF(J492&lt;&gt;"",1,0)+IF(L492&lt;&gt;"",1,0)</x:f>
        <x:v>1</x:v>
      </x:c>
      <x:c r="O492" s="14" t="str">
        <x:f>IF(E492="","MISSING MAIN",IF(N492=1,"MAIN ONLY","MULTI-PHOTO"))</x:f>
        <x:v>MAIN ONLY</x:v>
      </x:c>
      <x:c r="P492" s="14" t="str">
        <x:v>0558_</x:v>
      </x:c>
      <x:c r="Q492" s="14" t="str">
        <x:v>https://mb1advancedsolutions.github.io/mb1-catalog/index.html?design=0558</x:v>
      </x:c>
      <x:c r="R492" s="14" t="str"/>
    </x:row>
    <x:row r="493">
      <x:c r="A493" s="13" t="str">
        <x:v>MB1-0559</x:v>
      </x:c>
      <x:c r="B493" s="13" t="str">
        <x:v>MB1-0559</x:v>
      </x:c>
      <x:c r="C493" s="14" t="str">
        <x:v>AntlerBaseS</x:v>
      </x:c>
      <x:c r="D493" s="14" t="str">
        <x:v>home decor and inspirational</x:v>
      </x:c>
      <x:c r="E493" s="14" t="str">
        <x:v>https://res.cloudinary.com/oxygre42/image/upload/f_auto,q_auto,c_pad,b_white,w_1200,h_1200/v1788349693/0559_AntlerBaseS.jpg</x:v>
      </x:c>
      <x:c r="F493" s="14" t="str"/>
      <x:c r="G493" s="14" t="str">
        <x:v>Lifestyle</x:v>
      </x:c>
      <x:c r="H493" s="14" t="str"/>
      <x:c r="I493" s="14" t="str">
        <x:v>Detail</x:v>
      </x:c>
      <x:c r="J493" s="14" t="str"/>
      <x:c r="K493" s="14" t="str">
        <x:v>Scale</x:v>
      </x:c>
      <x:c r="L493" s="14" t="str"/>
      <x:c r="M493" s="14" t="str">
        <x:v>Alternate</x:v>
      </x:c>
      <x:c r="N493" s="14" t="n">
        <x:f>IF(E493&lt;&gt;"",1,0)+IF(F493&lt;&gt;"",1,0)+IF(H493&lt;&gt;"",1,0)+IF(J493&lt;&gt;"",1,0)+IF(L493&lt;&gt;"",1,0)</x:f>
        <x:v>1</x:v>
      </x:c>
      <x:c r="O493" s="14" t="str">
        <x:f>IF(E493="","MISSING MAIN",IF(N493=1,"MAIN ONLY","MULTI-PHOTO"))</x:f>
        <x:v>MAIN ONLY</x:v>
      </x:c>
      <x:c r="P493" s="14" t="str">
        <x:v>0559_</x:v>
      </x:c>
      <x:c r="Q493" s="14" t="str">
        <x:v>https://mb1advancedsolutions.github.io/mb1-catalog/index.html?design=0559</x:v>
      </x:c>
      <x:c r="R493" s="14" t="str"/>
    </x:row>
    <x:row r="494">
      <x:c r="A494" s="13" t="str">
        <x:v>MB1-0560</x:v>
      </x:c>
      <x:c r="B494" s="13" t="str">
        <x:v>MB1-0560</x:v>
      </x:c>
      <x:c r="C494" s="14" t="str">
        <x:v>AntlerBaseT</x:v>
      </x:c>
      <x:c r="D494" s="14" t="str">
        <x:v>home decor and inspirational</x:v>
      </x:c>
      <x:c r="E494" s="14" t="str">
        <x:v>https://res.cloudinary.com/oxygre42/image/upload/f_auto,q_auto,c_pad,b_white,w_1200,h_1200/v1788349694/0560_AntlerBaseT.jpg</x:v>
      </x:c>
      <x:c r="F494" s="14" t="str"/>
      <x:c r="G494" s="14" t="str">
        <x:v>Lifestyle</x:v>
      </x:c>
      <x:c r="H494" s="14" t="str"/>
      <x:c r="I494" s="14" t="str">
        <x:v>Detail</x:v>
      </x:c>
      <x:c r="J494" s="14" t="str"/>
      <x:c r="K494" s="14" t="str">
        <x:v>Scale</x:v>
      </x:c>
      <x:c r="L494" s="14" t="str"/>
      <x:c r="M494" s="14" t="str">
        <x:v>Alternate</x:v>
      </x:c>
      <x:c r="N494" s="14" t="n">
        <x:f>IF(E494&lt;&gt;"",1,0)+IF(F494&lt;&gt;"",1,0)+IF(H494&lt;&gt;"",1,0)+IF(J494&lt;&gt;"",1,0)+IF(L494&lt;&gt;"",1,0)</x:f>
        <x:v>1</x:v>
      </x:c>
      <x:c r="O494" s="14" t="str">
        <x:f>IF(E494="","MISSING MAIN",IF(N494=1,"MAIN ONLY","MULTI-PHOTO"))</x:f>
        <x:v>MAIN ONLY</x:v>
      </x:c>
      <x:c r="P494" s="14" t="str">
        <x:v>0560_</x:v>
      </x:c>
      <x:c r="Q494" s="14" t="str">
        <x:v>https://mb1advancedsolutions.github.io/mb1-catalog/index.html?design=0560</x:v>
      </x:c>
      <x:c r="R494" s="14" t="str"/>
    </x:row>
    <x:row r="495">
      <x:c r="A495" s="13" t="str">
        <x:v>MB1-0561</x:v>
      </x:c>
      <x:c r="B495" s="13" t="str">
        <x:v>MB1-0561</x:v>
      </x:c>
      <x:c r="C495" s="14" t="str">
        <x:v>AntlerBaseU</x:v>
      </x:c>
      <x:c r="D495" s="14" t="str">
        <x:v>home decor and inspirational</x:v>
      </x:c>
      <x:c r="E495" s="14" t="str">
        <x:v>https://res.cloudinary.com/oxygre42/image/upload/f_auto,q_auto,c_pad,b_white,w_1200,h_1200/v1788349696/0561_AntlerBaseU.jpg</x:v>
      </x:c>
      <x:c r="F495" s="14" t="str"/>
      <x:c r="G495" s="14" t="str">
        <x:v>Lifestyle</x:v>
      </x:c>
      <x:c r="H495" s="14" t="str"/>
      <x:c r="I495" s="14" t="str">
        <x:v>Detail</x:v>
      </x:c>
      <x:c r="J495" s="14" t="str"/>
      <x:c r="K495" s="14" t="str">
        <x:v>Scale</x:v>
      </x:c>
      <x:c r="L495" s="14" t="str"/>
      <x:c r="M495" s="14" t="str">
        <x:v>Alternate</x:v>
      </x:c>
      <x:c r="N495" s="14" t="n">
        <x:f>IF(E495&lt;&gt;"",1,0)+IF(F495&lt;&gt;"",1,0)+IF(H495&lt;&gt;"",1,0)+IF(J495&lt;&gt;"",1,0)+IF(L495&lt;&gt;"",1,0)</x:f>
        <x:v>1</x:v>
      </x:c>
      <x:c r="O495" s="14" t="str">
        <x:f>IF(E495="","MISSING MAIN",IF(N495=1,"MAIN ONLY","MULTI-PHOTO"))</x:f>
        <x:v>MAIN ONLY</x:v>
      </x:c>
      <x:c r="P495" s="14" t="str">
        <x:v>0561_</x:v>
      </x:c>
      <x:c r="Q495" s="14" t="str">
        <x:v>https://mb1advancedsolutions.github.io/mb1-catalog/index.html?design=0561</x:v>
      </x:c>
      <x:c r="R495" s="14" t="str"/>
    </x:row>
    <x:row r="496">
      <x:c r="A496" s="13" t="str">
        <x:v>MB1-0562</x:v>
      </x:c>
      <x:c r="B496" s="13" t="str">
        <x:v>MB1-0562</x:v>
      </x:c>
      <x:c r="C496" s="14" t="str">
        <x:v>AntlerBaseV</x:v>
      </x:c>
      <x:c r="D496" s="14" t="str">
        <x:v>home decor and inspirational</x:v>
      </x:c>
      <x:c r="E496" s="14" t="str">
        <x:v>https://res.cloudinary.com/oxygre42/image/upload/f_auto,q_auto,c_pad,b_white,w_1200,h_1200/v1788349698/0562_AntlerBaseV.jpg</x:v>
      </x:c>
      <x:c r="F496" s="14" t="str"/>
      <x:c r="G496" s="14" t="str">
        <x:v>Lifestyle</x:v>
      </x:c>
      <x:c r="H496" s="14" t="str"/>
      <x:c r="I496" s="14" t="str">
        <x:v>Detail</x:v>
      </x:c>
      <x:c r="J496" s="14" t="str"/>
      <x:c r="K496" s="14" t="str">
        <x:v>Scale</x:v>
      </x:c>
      <x:c r="L496" s="14" t="str"/>
      <x:c r="M496" s="14" t="str">
        <x:v>Alternate</x:v>
      </x:c>
      <x:c r="N496" s="14" t="n">
        <x:f>IF(E496&lt;&gt;"",1,0)+IF(F496&lt;&gt;"",1,0)+IF(H496&lt;&gt;"",1,0)+IF(J496&lt;&gt;"",1,0)+IF(L496&lt;&gt;"",1,0)</x:f>
        <x:v>1</x:v>
      </x:c>
      <x:c r="O496" s="14" t="str">
        <x:f>IF(E496="","MISSING MAIN",IF(N496=1,"MAIN ONLY","MULTI-PHOTO"))</x:f>
        <x:v>MAIN ONLY</x:v>
      </x:c>
      <x:c r="P496" s="14" t="str">
        <x:v>0562_</x:v>
      </x:c>
      <x:c r="Q496" s="14" t="str">
        <x:v>https://mb1advancedsolutions.github.io/mb1-catalog/index.html?design=0562</x:v>
      </x:c>
      <x:c r="R496" s="14" t="str"/>
    </x:row>
    <x:row r="497">
      <x:c r="A497" s="13" t="str">
        <x:v>MB1-0563</x:v>
      </x:c>
      <x:c r="B497" s="13" t="str">
        <x:v>MB1-0563</x:v>
      </x:c>
      <x:c r="C497" s="14" t="str">
        <x:v>AntlerBaseW</x:v>
      </x:c>
      <x:c r="D497" s="14" t="str">
        <x:v>home decor and inspirational</x:v>
      </x:c>
      <x:c r="E497" s="14" t="str">
        <x:v>https://res.cloudinary.com/oxygre42/image/upload/f_auto,q_auto,c_pad,b_white,w_1200,h_1200/v1788349700/0563_AntlerBaseW.jpg</x:v>
      </x:c>
      <x:c r="F497" s="14" t="str"/>
      <x:c r="G497" s="14" t="str">
        <x:v>Lifestyle</x:v>
      </x:c>
      <x:c r="H497" s="14" t="str"/>
      <x:c r="I497" s="14" t="str">
        <x:v>Detail</x:v>
      </x:c>
      <x:c r="J497" s="14" t="str"/>
      <x:c r="K497" s="14" t="str">
        <x:v>Scale</x:v>
      </x:c>
      <x:c r="L497" s="14" t="str"/>
      <x:c r="M497" s="14" t="str">
        <x:v>Alternate</x:v>
      </x:c>
      <x:c r="N497" s="14" t="n">
        <x:f>IF(E497&lt;&gt;"",1,0)+IF(F497&lt;&gt;"",1,0)+IF(H497&lt;&gt;"",1,0)+IF(J497&lt;&gt;"",1,0)+IF(L497&lt;&gt;"",1,0)</x:f>
        <x:v>1</x:v>
      </x:c>
      <x:c r="O497" s="14" t="str">
        <x:f>IF(E497="","MISSING MAIN",IF(N497=1,"MAIN ONLY","MULTI-PHOTO"))</x:f>
        <x:v>MAIN ONLY</x:v>
      </x:c>
      <x:c r="P497" s="14" t="str">
        <x:v>0563_</x:v>
      </x:c>
      <x:c r="Q497" s="14" t="str">
        <x:v>https://mb1advancedsolutions.github.io/mb1-catalog/index.html?design=0563</x:v>
      </x:c>
      <x:c r="R497" s="14" t="str"/>
    </x:row>
    <x:row r="498">
      <x:c r="A498" s="13" t="str">
        <x:v>MB1-0564</x:v>
      </x:c>
      <x:c r="B498" s="13" t="str">
        <x:v>MB1-0564</x:v>
      </x:c>
      <x:c r="C498" s="14" t="str">
        <x:v>AntlerBaseX</x:v>
      </x:c>
      <x:c r="D498" s="14" t="str">
        <x:v>home decor and inspirational</x:v>
      </x:c>
      <x:c r="E498" s="14" t="str">
        <x:v>https://res.cloudinary.com/oxygre42/image/upload/f_auto,q_auto,c_pad,b_white,w_1200,h_1200/v1788349702/0564_AntlerBaseX.jpg</x:v>
      </x:c>
      <x:c r="F498" s="14" t="str"/>
      <x:c r="G498" s="14" t="str">
        <x:v>Lifestyle</x:v>
      </x:c>
      <x:c r="H498" s="14" t="str"/>
      <x:c r="I498" s="14" t="str">
        <x:v>Detail</x:v>
      </x:c>
      <x:c r="J498" s="14" t="str"/>
      <x:c r="K498" s="14" t="str">
        <x:v>Scale</x:v>
      </x:c>
      <x:c r="L498" s="14" t="str"/>
      <x:c r="M498" s="14" t="str">
        <x:v>Alternate</x:v>
      </x:c>
      <x:c r="N498" s="14" t="n">
        <x:f>IF(E498&lt;&gt;"",1,0)+IF(F498&lt;&gt;"",1,0)+IF(H498&lt;&gt;"",1,0)+IF(J498&lt;&gt;"",1,0)+IF(L498&lt;&gt;"",1,0)</x:f>
        <x:v>1</x:v>
      </x:c>
      <x:c r="O498" s="14" t="str">
        <x:f>IF(E498="","MISSING MAIN",IF(N498=1,"MAIN ONLY","MULTI-PHOTO"))</x:f>
        <x:v>MAIN ONLY</x:v>
      </x:c>
      <x:c r="P498" s="14" t="str">
        <x:v>0564_</x:v>
      </x:c>
      <x:c r="Q498" s="14" t="str">
        <x:v>https://mb1advancedsolutions.github.io/mb1-catalog/index.html?design=0564</x:v>
      </x:c>
      <x:c r="R498" s="14" t="str"/>
    </x:row>
    <x:row r="499">
      <x:c r="A499" s="13" t="str">
        <x:v>MB1-0565</x:v>
      </x:c>
      <x:c r="B499" s="13" t="str">
        <x:v>MB1-0565</x:v>
      </x:c>
      <x:c r="C499" s="14" t="str">
        <x:v>AntlerBaseY</x:v>
      </x:c>
      <x:c r="D499" s="14" t="str">
        <x:v>home decor and inspirational</x:v>
      </x:c>
      <x:c r="E499" s="14" t="str">
        <x:v>https://res.cloudinary.com/oxygre42/image/upload/f_auto,q_auto,c_pad,b_white,w_1200,h_1200/v1788349704/0565_AntlerBaseY.jpg</x:v>
      </x:c>
      <x:c r="F499" s="14" t="str"/>
      <x:c r="G499" s="14" t="str">
        <x:v>Lifestyle</x:v>
      </x:c>
      <x:c r="H499" s="14" t="str"/>
      <x:c r="I499" s="14" t="str">
        <x:v>Detail</x:v>
      </x:c>
      <x:c r="J499" s="14" t="str"/>
      <x:c r="K499" s="14" t="str">
        <x:v>Scale</x:v>
      </x:c>
      <x:c r="L499" s="14" t="str"/>
      <x:c r="M499" s="14" t="str">
        <x:v>Alternate</x:v>
      </x:c>
      <x:c r="N499" s="14" t="n">
        <x:f>IF(E499&lt;&gt;"",1,0)+IF(F499&lt;&gt;"",1,0)+IF(H499&lt;&gt;"",1,0)+IF(J499&lt;&gt;"",1,0)+IF(L499&lt;&gt;"",1,0)</x:f>
        <x:v>1</x:v>
      </x:c>
      <x:c r="O499" s="14" t="str">
        <x:f>IF(E499="","MISSING MAIN",IF(N499=1,"MAIN ONLY","MULTI-PHOTO"))</x:f>
        <x:v>MAIN ONLY</x:v>
      </x:c>
      <x:c r="P499" s="14" t="str">
        <x:v>0565_</x:v>
      </x:c>
      <x:c r="Q499" s="14" t="str">
        <x:v>https://mb1advancedsolutions.github.io/mb1-catalog/index.html?design=0565</x:v>
      </x:c>
      <x:c r="R499" s="14" t="str"/>
    </x:row>
    <x:row r="500">
      <x:c r="A500" s="13" t="str">
        <x:v>MB1-0566</x:v>
      </x:c>
      <x:c r="B500" s="13" t="str">
        <x:v>MB1-0566</x:v>
      </x:c>
      <x:c r="C500" s="14" t="str">
        <x:v>AntlerBaseZ</x:v>
      </x:c>
      <x:c r="D500" s="14" t="str">
        <x:v>home decor and inspirational</x:v>
      </x:c>
      <x:c r="E500" s="14" t="str">
        <x:v>https://res.cloudinary.com/oxygre42/image/upload/f_auto,q_auto,c_pad,b_white,w_1200,h_1200/v1788349705/0566_AntlerBaseZ.jpg</x:v>
      </x:c>
      <x:c r="F500" s="14" t="str"/>
      <x:c r="G500" s="14" t="str">
        <x:v>Lifestyle</x:v>
      </x:c>
      <x:c r="H500" s="14" t="str"/>
      <x:c r="I500" s="14" t="str">
        <x:v>Detail</x:v>
      </x:c>
      <x:c r="J500" s="14" t="str"/>
      <x:c r="K500" s="14" t="str">
        <x:v>Scale</x:v>
      </x:c>
      <x:c r="L500" s="14" t="str"/>
      <x:c r="M500" s="14" t="str">
        <x:v>Alternate</x:v>
      </x:c>
      <x:c r="N500" s="14" t="n">
        <x:f>IF(E500&lt;&gt;"",1,0)+IF(F500&lt;&gt;"",1,0)+IF(H500&lt;&gt;"",1,0)+IF(J500&lt;&gt;"",1,0)+IF(L500&lt;&gt;"",1,0)</x:f>
        <x:v>1</x:v>
      </x:c>
      <x:c r="O500" s="14" t="str">
        <x:f>IF(E500="","MISSING MAIN",IF(N500=1,"MAIN ONLY","MULTI-PHOTO"))</x:f>
        <x:v>MAIN ONLY</x:v>
      </x:c>
      <x:c r="P500" s="14" t="str">
        <x:v>0566_</x:v>
      </x:c>
      <x:c r="Q500" s="14" t="str">
        <x:v>https://mb1advancedsolutions.github.io/mb1-catalog/index.html?design=0566</x:v>
      </x:c>
      <x:c r="R500" s="14" t="str"/>
    </x:row>
    <x:row r="501">
      <x:c r="A501" s="13" t="str">
        <x:v>MB1-0567</x:v>
      </x:c>
      <x:c r="B501" s="13" t="str">
        <x:v>MB1-0567</x:v>
      </x:c>
      <x:c r="C501" s="14" t="str">
        <x:v>Antler Monogram A</x:v>
      </x:c>
      <x:c r="D501" s="14" t="str">
        <x:v>wildlife and outdoors</x:v>
      </x:c>
      <x:c r="E501" s="14" t="str">
        <x:v>https://res.cloudinary.com/oxygre42/image/upload/f_auto,q_auto,c_pad,b_white,w_1200,h_1200/v1788349707/0567_Antler_Monogram_A.png</x:v>
      </x:c>
      <x:c r="F501" s="14" t="str"/>
      <x:c r="G501" s="14" t="str">
        <x:v>Lifestyle</x:v>
      </x:c>
      <x:c r="H501" s="14" t="str"/>
      <x:c r="I501" s="14" t="str">
        <x:v>Detail</x:v>
      </x:c>
      <x:c r="J501" s="14" t="str"/>
      <x:c r="K501" s="14" t="str">
        <x:v>Scale</x:v>
      </x:c>
      <x:c r="L501" s="14" t="str"/>
      <x:c r="M501" s="14" t="str">
        <x:v>Alternate</x:v>
      </x:c>
      <x:c r="N501" s="14" t="n">
        <x:f>IF(E501&lt;&gt;"",1,0)+IF(F501&lt;&gt;"",1,0)+IF(H501&lt;&gt;"",1,0)+IF(J501&lt;&gt;"",1,0)+IF(L501&lt;&gt;"",1,0)</x:f>
        <x:v>1</x:v>
      </x:c>
      <x:c r="O501" s="14" t="str">
        <x:f>IF(E501="","MISSING MAIN",IF(N501=1,"MAIN ONLY","MULTI-PHOTO"))</x:f>
        <x:v>MAIN ONLY</x:v>
      </x:c>
      <x:c r="P501" s="14" t="str">
        <x:v>0567_</x:v>
      </x:c>
      <x:c r="Q501" s="14" t="str">
        <x:v>https://mb1advancedsolutions.github.io/mb1-catalog/index.html?design=0567</x:v>
      </x:c>
      <x:c r="R501" s="14" t="str"/>
    </x:row>
    <x:row r="502">
      <x:c r="A502" s="13" t="str">
        <x:v>MB1-0568</x:v>
      </x:c>
      <x:c r="B502" s="13" t="str">
        <x:v>MB1-0568</x:v>
      </x:c>
      <x:c r="C502" s="14" t="str">
        <x:v>Antler Monogram B</x:v>
      </x:c>
      <x:c r="D502" s="14" t="str">
        <x:v>wildlife and outdoors</x:v>
      </x:c>
      <x:c r="E502" s="14" t="str">
        <x:v>https://res.cloudinary.com/oxygre42/image/upload/f_auto,q_auto,c_pad,b_white,w_1200,h_1200/v1788349709/0568_Antler_Monogram_B.png</x:v>
      </x:c>
      <x:c r="F502" s="14" t="str"/>
      <x:c r="G502" s="14" t="str">
        <x:v>Lifestyle</x:v>
      </x:c>
      <x:c r="H502" s="14" t="str"/>
      <x:c r="I502" s="14" t="str">
        <x:v>Detail</x:v>
      </x:c>
      <x:c r="J502" s="14" t="str"/>
      <x:c r="K502" s="14" t="str">
        <x:v>Scale</x:v>
      </x:c>
      <x:c r="L502" s="14" t="str"/>
      <x:c r="M502" s="14" t="str">
        <x:v>Alternate</x:v>
      </x:c>
      <x:c r="N502" s="14" t="n">
        <x:f>IF(E502&lt;&gt;"",1,0)+IF(F502&lt;&gt;"",1,0)+IF(H502&lt;&gt;"",1,0)+IF(J502&lt;&gt;"",1,0)+IF(L502&lt;&gt;"",1,0)</x:f>
        <x:v>1</x:v>
      </x:c>
      <x:c r="O502" s="14" t="str">
        <x:f>IF(E502="","MISSING MAIN",IF(N502=1,"MAIN ONLY","MULTI-PHOTO"))</x:f>
        <x:v>MAIN ONLY</x:v>
      </x:c>
      <x:c r="P502" s="14" t="str">
        <x:v>0568_</x:v>
      </x:c>
      <x:c r="Q502" s="14" t="str">
        <x:v>https://mb1advancedsolutions.github.io/mb1-catalog/index.html?design=0568</x:v>
      </x:c>
      <x:c r="R502" s="14" t="str"/>
    </x:row>
    <x:row r="503">
      <x:c r="A503" s="13" t="str">
        <x:v>MB1-0569</x:v>
      </x:c>
      <x:c r="B503" s="13" t="str">
        <x:v>MB1-0569</x:v>
      </x:c>
      <x:c r="C503" s="14" t="str">
        <x:v>Antler Monogram C</x:v>
      </x:c>
      <x:c r="D503" s="14" t="str">
        <x:v>wildlife and outdoors</x:v>
      </x:c>
      <x:c r="E503" s="14" t="str">
        <x:v>https://res.cloudinary.com/oxygre42/image/upload/f_auto,q_auto,c_pad,b_white,w_1200,h_1200/v1788349711/0569_Antler_Monogram_C.png</x:v>
      </x:c>
      <x:c r="F503" s="14" t="str"/>
      <x:c r="G503" s="14" t="str">
        <x:v>Lifestyle</x:v>
      </x:c>
      <x:c r="H503" s="14" t="str"/>
      <x:c r="I503" s="14" t="str">
        <x:v>Detail</x:v>
      </x:c>
      <x:c r="J503" s="14" t="str"/>
      <x:c r="K503" s="14" t="str">
        <x:v>Scale</x:v>
      </x:c>
      <x:c r="L503" s="14" t="str"/>
      <x:c r="M503" s="14" t="str">
        <x:v>Alternate</x:v>
      </x:c>
      <x:c r="N503" s="14" t="n">
        <x:f>IF(E503&lt;&gt;"",1,0)+IF(F503&lt;&gt;"",1,0)+IF(H503&lt;&gt;"",1,0)+IF(J503&lt;&gt;"",1,0)+IF(L503&lt;&gt;"",1,0)</x:f>
        <x:v>1</x:v>
      </x:c>
      <x:c r="O503" s="14" t="str">
        <x:f>IF(E503="","MISSING MAIN",IF(N503=1,"MAIN ONLY","MULTI-PHOTO"))</x:f>
        <x:v>MAIN ONLY</x:v>
      </x:c>
      <x:c r="P503" s="14" t="str">
        <x:v>0569_</x:v>
      </x:c>
      <x:c r="Q503" s="14" t="str">
        <x:v>https://mb1advancedsolutions.github.io/mb1-catalog/index.html?design=0569</x:v>
      </x:c>
      <x:c r="R503" s="14" t="str"/>
    </x:row>
    <x:row r="504">
      <x:c r="A504" s="13" t="str">
        <x:v>MB1-0570</x:v>
      </x:c>
      <x:c r="B504" s="13" t="str">
        <x:v>MB1-0570</x:v>
      </x:c>
      <x:c r="C504" s="14" t="str">
        <x:v>Antler Monogram D</x:v>
      </x:c>
      <x:c r="D504" s="14" t="str">
        <x:v>wildlife and outdoors</x:v>
      </x:c>
      <x:c r="E504" s="14" t="str">
        <x:v>https://res.cloudinary.com/oxygre42/image/upload/f_auto,q_auto,c_pad,b_white,w_1200,h_1200/v1788349713/0570_Antler_Monogram_D.png</x:v>
      </x:c>
      <x:c r="F504" s="14" t="str"/>
      <x:c r="G504" s="14" t="str">
        <x:v>Lifestyle</x:v>
      </x:c>
      <x:c r="H504" s="14" t="str"/>
      <x:c r="I504" s="14" t="str">
        <x:v>Detail</x:v>
      </x:c>
      <x:c r="J504" s="14" t="str"/>
      <x:c r="K504" s="14" t="str">
        <x:v>Scale</x:v>
      </x:c>
      <x:c r="L504" s="14" t="str"/>
      <x:c r="M504" s="14" t="str">
        <x:v>Alternate</x:v>
      </x:c>
      <x:c r="N504" s="14" t="n">
        <x:f>IF(E504&lt;&gt;"",1,0)+IF(F504&lt;&gt;"",1,0)+IF(H504&lt;&gt;"",1,0)+IF(J504&lt;&gt;"",1,0)+IF(L504&lt;&gt;"",1,0)</x:f>
        <x:v>1</x:v>
      </x:c>
      <x:c r="O504" s="14" t="str">
        <x:f>IF(E504="","MISSING MAIN",IF(N504=1,"MAIN ONLY","MULTI-PHOTO"))</x:f>
        <x:v>MAIN ONLY</x:v>
      </x:c>
      <x:c r="P504" s="14" t="str">
        <x:v>0570_</x:v>
      </x:c>
      <x:c r="Q504" s="14" t="str">
        <x:v>https://mb1advancedsolutions.github.io/mb1-catalog/index.html?design=0570</x:v>
      </x:c>
      <x:c r="R504" s="14" t="str"/>
    </x:row>
    <x:row r="505">
      <x:c r="A505" s="13" t="str">
        <x:v>MB1-0571</x:v>
      </x:c>
      <x:c r="B505" s="13" t="str">
        <x:v>MB1-0571</x:v>
      </x:c>
      <x:c r="C505" s="14" t="str">
        <x:v>Antler Monogram E</x:v>
      </x:c>
      <x:c r="D505" s="14" t="str">
        <x:v>wildlife and outdoors</x:v>
      </x:c>
      <x:c r="E505" s="14" t="str">
        <x:v>https://res.cloudinary.com/oxygre42/image/upload/f_auto,q_auto,c_pad,b_white,w_1200,h_1200/v1788349714/0571_Antler_Monogram_E.png</x:v>
      </x:c>
      <x:c r="F505" s="14" t="str"/>
      <x:c r="G505" s="14" t="str">
        <x:v>Lifestyle</x:v>
      </x:c>
      <x:c r="H505" s="14" t="str"/>
      <x:c r="I505" s="14" t="str">
        <x:v>Detail</x:v>
      </x:c>
      <x:c r="J505" s="14" t="str"/>
      <x:c r="K505" s="14" t="str">
        <x:v>Scale</x:v>
      </x:c>
      <x:c r="L505" s="14" t="str"/>
      <x:c r="M505" s="14" t="str">
        <x:v>Alternate</x:v>
      </x:c>
      <x:c r="N505" s="14" t="n">
        <x:f>IF(E505&lt;&gt;"",1,0)+IF(F505&lt;&gt;"",1,0)+IF(H505&lt;&gt;"",1,0)+IF(J505&lt;&gt;"",1,0)+IF(L505&lt;&gt;"",1,0)</x:f>
        <x:v>1</x:v>
      </x:c>
      <x:c r="O505" s="14" t="str">
        <x:f>IF(E505="","MISSING MAIN",IF(N505=1,"MAIN ONLY","MULTI-PHOTO"))</x:f>
        <x:v>MAIN ONLY</x:v>
      </x:c>
      <x:c r="P505" s="14" t="str">
        <x:v>0571_</x:v>
      </x:c>
      <x:c r="Q505" s="14" t="str">
        <x:v>https://mb1advancedsolutions.github.io/mb1-catalog/index.html?design=0571</x:v>
      </x:c>
      <x:c r="R505" s="14" t="str"/>
    </x:row>
    <x:row r="506">
      <x:c r="A506" s="13" t="str">
        <x:v>MB1-0572</x:v>
      </x:c>
      <x:c r="B506" s="13" t="str">
        <x:v>MB1-0572</x:v>
      </x:c>
      <x:c r="C506" s="14" t="str">
        <x:v>Antler Monogram F</x:v>
      </x:c>
      <x:c r="D506" s="14" t="str">
        <x:v>wildlife and outdoors</x:v>
      </x:c>
      <x:c r="E506" s="14" t="str">
        <x:v>https://res.cloudinary.com/oxygre42/image/upload/f_auto,q_auto,c_pad,b_white,w_1200,h_1200/v1788349716/0572_Antler_Monogram_F.png</x:v>
      </x:c>
      <x:c r="F506" s="14" t="str"/>
      <x:c r="G506" s="14" t="str">
        <x:v>Lifestyle</x:v>
      </x:c>
      <x:c r="H506" s="14" t="str"/>
      <x:c r="I506" s="14" t="str">
        <x:v>Detail</x:v>
      </x:c>
      <x:c r="J506" s="14" t="str"/>
      <x:c r="K506" s="14" t="str">
        <x:v>Scale</x:v>
      </x:c>
      <x:c r="L506" s="14" t="str"/>
      <x:c r="M506" s="14" t="str">
        <x:v>Alternate</x:v>
      </x:c>
      <x:c r="N506" s="14" t="n">
        <x:f>IF(E506&lt;&gt;"",1,0)+IF(F506&lt;&gt;"",1,0)+IF(H506&lt;&gt;"",1,0)+IF(J506&lt;&gt;"",1,0)+IF(L506&lt;&gt;"",1,0)</x:f>
        <x:v>1</x:v>
      </x:c>
      <x:c r="O506" s="14" t="str">
        <x:f>IF(E506="","MISSING MAIN",IF(N506=1,"MAIN ONLY","MULTI-PHOTO"))</x:f>
        <x:v>MAIN ONLY</x:v>
      </x:c>
      <x:c r="P506" s="14" t="str">
        <x:v>0572_</x:v>
      </x:c>
      <x:c r="Q506" s="14" t="str">
        <x:v>https://mb1advancedsolutions.github.io/mb1-catalog/index.html?design=0572</x:v>
      </x:c>
      <x:c r="R506" s="14" t="str"/>
    </x:row>
    <x:row r="507">
      <x:c r="A507" s="13" t="str">
        <x:v>MB1-0573</x:v>
      </x:c>
      <x:c r="B507" s="13" t="str">
        <x:v>MB1-0573</x:v>
      </x:c>
      <x:c r="C507" s="14" t="str">
        <x:v>Antler Monogram G</x:v>
      </x:c>
      <x:c r="D507" s="14" t="str">
        <x:v>wildlife and outdoors</x:v>
      </x:c>
      <x:c r="E507" s="14" t="str">
        <x:v>https://res.cloudinary.com/oxygre42/image/upload/f_auto,q_auto,c_pad,b_white,w_1200,h_1200/v1788349718/0573_Antler_Monogram_G.png</x:v>
      </x:c>
      <x:c r="F507" s="14" t="str"/>
      <x:c r="G507" s="14" t="str">
        <x:v>Lifestyle</x:v>
      </x:c>
      <x:c r="H507" s="14" t="str"/>
      <x:c r="I507" s="14" t="str">
        <x:v>Detail</x:v>
      </x:c>
      <x:c r="J507" s="14" t="str"/>
      <x:c r="K507" s="14" t="str">
        <x:v>Scale</x:v>
      </x:c>
      <x:c r="L507" s="14" t="str"/>
      <x:c r="M507" s="14" t="str">
        <x:v>Alternate</x:v>
      </x:c>
      <x:c r="N507" s="14" t="n">
        <x:f>IF(E507&lt;&gt;"",1,0)+IF(F507&lt;&gt;"",1,0)+IF(H507&lt;&gt;"",1,0)+IF(J507&lt;&gt;"",1,0)+IF(L507&lt;&gt;"",1,0)</x:f>
        <x:v>1</x:v>
      </x:c>
      <x:c r="O507" s="14" t="str">
        <x:f>IF(E507="","MISSING MAIN",IF(N507=1,"MAIN ONLY","MULTI-PHOTO"))</x:f>
        <x:v>MAIN ONLY</x:v>
      </x:c>
      <x:c r="P507" s="14" t="str">
        <x:v>0573_</x:v>
      </x:c>
      <x:c r="Q507" s="14" t="str">
        <x:v>https://mb1advancedsolutions.github.io/mb1-catalog/index.html?design=0573</x:v>
      </x:c>
      <x:c r="R507" s="14" t="str"/>
    </x:row>
    <x:row r="508">
      <x:c r="A508" s="13" t="str">
        <x:v>MB1-0574</x:v>
      </x:c>
      <x:c r="B508" s="13" t="str">
        <x:v>MB1-0574</x:v>
      </x:c>
      <x:c r="C508" s="14" t="str">
        <x:v>Antler Monogram H</x:v>
      </x:c>
      <x:c r="D508" s="14" t="str">
        <x:v>wildlife and outdoors</x:v>
      </x:c>
      <x:c r="E508" s="14" t="str">
        <x:v>https://res.cloudinary.com/oxygre42/image/upload/f_auto,q_auto,c_pad,b_white,w_1200,h_1200/v1788349720/0574_Antler_Monogram_H.png</x:v>
      </x:c>
      <x:c r="F508" s="14" t="str"/>
      <x:c r="G508" s="14" t="str">
        <x:v>Lifestyle</x:v>
      </x:c>
      <x:c r="H508" s="14" t="str"/>
      <x:c r="I508" s="14" t="str">
        <x:v>Detail</x:v>
      </x:c>
      <x:c r="J508" s="14" t="str"/>
      <x:c r="K508" s="14" t="str">
        <x:v>Scale</x:v>
      </x:c>
      <x:c r="L508" s="14" t="str"/>
      <x:c r="M508" s="14" t="str">
        <x:v>Alternate</x:v>
      </x:c>
      <x:c r="N508" s="14" t="n">
        <x:f>IF(E508&lt;&gt;"",1,0)+IF(F508&lt;&gt;"",1,0)+IF(H508&lt;&gt;"",1,0)+IF(J508&lt;&gt;"",1,0)+IF(L508&lt;&gt;"",1,0)</x:f>
        <x:v>1</x:v>
      </x:c>
      <x:c r="O508" s="14" t="str">
        <x:f>IF(E508="","MISSING MAIN",IF(N508=1,"MAIN ONLY","MULTI-PHOTO"))</x:f>
        <x:v>MAIN ONLY</x:v>
      </x:c>
      <x:c r="P508" s="14" t="str">
        <x:v>0574_</x:v>
      </x:c>
      <x:c r="Q508" s="14" t="str">
        <x:v>https://mb1advancedsolutions.github.io/mb1-catalog/index.html?design=0574</x:v>
      </x:c>
      <x:c r="R508" s="14" t="str"/>
    </x:row>
    <x:row r="509">
      <x:c r="A509" s="13" t="str">
        <x:v>MB1-0575</x:v>
      </x:c>
      <x:c r="B509" s="13" t="str">
        <x:v>MB1-0575</x:v>
      </x:c>
      <x:c r="C509" s="14" t="str">
        <x:v>Antler Monogram I</x:v>
      </x:c>
      <x:c r="D509" s="14" t="str">
        <x:v>wildlife and outdoors</x:v>
      </x:c>
      <x:c r="E509" s="14" t="str">
        <x:v>https://res.cloudinary.com/oxygre42/image/upload/f_auto,q_auto,c_pad,b_white,w_1200,h_1200/v1788349722/0575_Antler_Monogram_I.png</x:v>
      </x:c>
      <x:c r="F509" s="14" t="str"/>
      <x:c r="G509" s="14" t="str">
        <x:v>Lifestyle</x:v>
      </x:c>
      <x:c r="H509" s="14" t="str"/>
      <x:c r="I509" s="14" t="str">
        <x:v>Detail</x:v>
      </x:c>
      <x:c r="J509" s="14" t="str"/>
      <x:c r="K509" s="14" t="str">
        <x:v>Scale</x:v>
      </x:c>
      <x:c r="L509" s="14" t="str"/>
      <x:c r="M509" s="14" t="str">
        <x:v>Alternate</x:v>
      </x:c>
      <x:c r="N509" s="14" t="n">
        <x:f>IF(E509&lt;&gt;"",1,0)+IF(F509&lt;&gt;"",1,0)+IF(H509&lt;&gt;"",1,0)+IF(J509&lt;&gt;"",1,0)+IF(L509&lt;&gt;"",1,0)</x:f>
        <x:v>1</x:v>
      </x:c>
      <x:c r="O509" s="14" t="str">
        <x:f>IF(E509="","MISSING MAIN",IF(N509=1,"MAIN ONLY","MULTI-PHOTO"))</x:f>
        <x:v>MAIN ONLY</x:v>
      </x:c>
      <x:c r="P509" s="14" t="str">
        <x:v>0575_</x:v>
      </x:c>
      <x:c r="Q509" s="14" t="str">
        <x:v>https://mb1advancedsolutions.github.io/mb1-catalog/index.html?design=0575</x:v>
      </x:c>
      <x:c r="R509" s="14" t="str"/>
    </x:row>
    <x:row r="510">
      <x:c r="A510" s="13" t="str">
        <x:v>MB1-0576</x:v>
      </x:c>
      <x:c r="B510" s="13" t="str">
        <x:v>MB1-0576</x:v>
      </x:c>
      <x:c r="C510" s="14" t="str">
        <x:v>Antler Monogram J</x:v>
      </x:c>
      <x:c r="D510" s="14" t="str">
        <x:v>wildlife and outdoors</x:v>
      </x:c>
      <x:c r="E510" s="14" t="str">
        <x:v>https://res.cloudinary.com/oxygre42/image/upload/f_auto,q_auto,c_pad,b_white,w_1200,h_1200/v1788349724/0576_Antler_Monogram_J.png</x:v>
      </x:c>
      <x:c r="F510" s="14" t="str"/>
      <x:c r="G510" s="14" t="str">
        <x:v>Lifestyle</x:v>
      </x:c>
      <x:c r="H510" s="14" t="str"/>
      <x:c r="I510" s="14" t="str">
        <x:v>Detail</x:v>
      </x:c>
      <x:c r="J510" s="14" t="str"/>
      <x:c r="K510" s="14" t="str">
        <x:v>Scale</x:v>
      </x:c>
      <x:c r="L510" s="14" t="str"/>
      <x:c r="M510" s="14" t="str">
        <x:v>Alternate</x:v>
      </x:c>
      <x:c r="N510" s="14" t="n">
        <x:f>IF(E510&lt;&gt;"",1,0)+IF(F510&lt;&gt;"",1,0)+IF(H510&lt;&gt;"",1,0)+IF(J510&lt;&gt;"",1,0)+IF(L510&lt;&gt;"",1,0)</x:f>
        <x:v>1</x:v>
      </x:c>
      <x:c r="O510" s="14" t="str">
        <x:f>IF(E510="","MISSING MAIN",IF(N510=1,"MAIN ONLY","MULTI-PHOTO"))</x:f>
        <x:v>MAIN ONLY</x:v>
      </x:c>
      <x:c r="P510" s="14" t="str">
        <x:v>0576_</x:v>
      </x:c>
      <x:c r="Q510" s="14" t="str">
        <x:v>https://mb1advancedsolutions.github.io/mb1-catalog/index.html?design=0576</x:v>
      </x:c>
      <x:c r="R510" s="14" t="str"/>
    </x:row>
    <x:row r="511">
      <x:c r="A511" s="13" t="str">
        <x:v>MB1-0577</x:v>
      </x:c>
      <x:c r="B511" s="13" t="str">
        <x:v>MB1-0577</x:v>
      </x:c>
      <x:c r="C511" s="14" t="str">
        <x:v>Antler Monogram K</x:v>
      </x:c>
      <x:c r="D511" s="14" t="str">
        <x:v>wildlife and outdoors</x:v>
      </x:c>
      <x:c r="E511" s="14" t="str">
        <x:v>https://res.cloudinary.com/oxygre42/image/upload/f_auto,q_auto,c_pad,b_white,w_1200,h_1200/v1788349726/0577_Antler_Monogram_K.png</x:v>
      </x:c>
      <x:c r="F511" s="14" t="str"/>
      <x:c r="G511" s="14" t="str">
        <x:v>Lifestyle</x:v>
      </x:c>
      <x:c r="H511" s="14" t="str"/>
      <x:c r="I511" s="14" t="str">
        <x:v>Detail</x:v>
      </x:c>
      <x:c r="J511" s="14" t="str"/>
      <x:c r="K511" s="14" t="str">
        <x:v>Scale</x:v>
      </x:c>
      <x:c r="L511" s="14" t="str"/>
      <x:c r="M511" s="14" t="str">
        <x:v>Alternate</x:v>
      </x:c>
      <x:c r="N511" s="14" t="n">
        <x:f>IF(E511&lt;&gt;"",1,0)+IF(F511&lt;&gt;"",1,0)+IF(H511&lt;&gt;"",1,0)+IF(J511&lt;&gt;"",1,0)+IF(L511&lt;&gt;"",1,0)</x:f>
        <x:v>1</x:v>
      </x:c>
      <x:c r="O511" s="14" t="str">
        <x:f>IF(E511="","MISSING MAIN",IF(N511=1,"MAIN ONLY","MULTI-PHOTO"))</x:f>
        <x:v>MAIN ONLY</x:v>
      </x:c>
      <x:c r="P511" s="14" t="str">
        <x:v>0577_</x:v>
      </x:c>
      <x:c r="Q511" s="14" t="str">
        <x:v>https://mb1advancedsolutions.github.io/mb1-catalog/index.html?design=0577</x:v>
      </x:c>
      <x:c r="R511" s="14" t="str"/>
    </x:row>
    <x:row r="512">
      <x:c r="A512" s="13" t="str">
        <x:v>MB1-0578</x:v>
      </x:c>
      <x:c r="B512" s="13" t="str">
        <x:v>MB1-0578</x:v>
      </x:c>
      <x:c r="C512" s="14" t="str">
        <x:v>Antler Monogram L</x:v>
      </x:c>
      <x:c r="D512" s="14" t="str">
        <x:v>wildlife and outdoors</x:v>
      </x:c>
      <x:c r="E512" s="14" t="str">
        <x:v>https://res.cloudinary.com/oxygre42/image/upload/f_auto,q_auto,c_pad,b_white,w_1200,h_1200/v1788349727/0578_Antler_Monogram_L.png</x:v>
      </x:c>
      <x:c r="F512" s="14" t="str"/>
      <x:c r="G512" s="14" t="str">
        <x:v>Lifestyle</x:v>
      </x:c>
      <x:c r="H512" s="14" t="str"/>
      <x:c r="I512" s="14" t="str">
        <x:v>Detail</x:v>
      </x:c>
      <x:c r="J512" s="14" t="str"/>
      <x:c r="K512" s="14" t="str">
        <x:v>Scale</x:v>
      </x:c>
      <x:c r="L512" s="14" t="str"/>
      <x:c r="M512" s="14" t="str">
        <x:v>Alternate</x:v>
      </x:c>
      <x:c r="N512" s="14" t="n">
        <x:f>IF(E512&lt;&gt;"",1,0)+IF(F512&lt;&gt;"",1,0)+IF(H512&lt;&gt;"",1,0)+IF(J512&lt;&gt;"",1,0)+IF(L512&lt;&gt;"",1,0)</x:f>
        <x:v>1</x:v>
      </x:c>
      <x:c r="O512" s="14" t="str">
        <x:f>IF(E512="","MISSING MAIN",IF(N512=1,"MAIN ONLY","MULTI-PHOTO"))</x:f>
        <x:v>MAIN ONLY</x:v>
      </x:c>
      <x:c r="P512" s="14" t="str">
        <x:v>0578_</x:v>
      </x:c>
      <x:c r="Q512" s="14" t="str">
        <x:v>https://mb1advancedsolutions.github.io/mb1-catalog/index.html?design=0578</x:v>
      </x:c>
      <x:c r="R512" s="14" t="str"/>
    </x:row>
    <x:row r="513">
      <x:c r="A513" s="13" t="str">
        <x:v>MB1-0579</x:v>
      </x:c>
      <x:c r="B513" s="13" t="str">
        <x:v>MB1-0579</x:v>
      </x:c>
      <x:c r="C513" s="14" t="str">
        <x:v>Antler Monogram M</x:v>
      </x:c>
      <x:c r="D513" s="14" t="str">
        <x:v>wildlife and outdoors</x:v>
      </x:c>
      <x:c r="E513" s="14" t="str">
        <x:v>https://res.cloudinary.com/oxygre42/image/upload/f_auto,q_auto,c_pad,b_white,w_1200,h_1200/v1788349729/0579_Antler_Monogram_M.png</x:v>
      </x:c>
      <x:c r="F513" s="14" t="str"/>
      <x:c r="G513" s="14" t="str">
        <x:v>Lifestyle</x:v>
      </x:c>
      <x:c r="H513" s="14" t="str"/>
      <x:c r="I513" s="14" t="str">
        <x:v>Detail</x:v>
      </x:c>
      <x:c r="J513" s="14" t="str"/>
      <x:c r="K513" s="14" t="str">
        <x:v>Scale</x:v>
      </x:c>
      <x:c r="L513" s="14" t="str"/>
      <x:c r="M513" s="14" t="str">
        <x:v>Alternate</x:v>
      </x:c>
      <x:c r="N513" s="14" t="n">
        <x:f>IF(E513&lt;&gt;"",1,0)+IF(F513&lt;&gt;"",1,0)+IF(H513&lt;&gt;"",1,0)+IF(J513&lt;&gt;"",1,0)+IF(L513&lt;&gt;"",1,0)</x:f>
        <x:v>1</x:v>
      </x:c>
      <x:c r="O513" s="14" t="str">
        <x:f>IF(E513="","MISSING MAIN",IF(N513=1,"MAIN ONLY","MULTI-PHOTO"))</x:f>
        <x:v>MAIN ONLY</x:v>
      </x:c>
      <x:c r="P513" s="14" t="str">
        <x:v>0579_</x:v>
      </x:c>
      <x:c r="Q513" s="14" t="str">
        <x:v>https://mb1advancedsolutions.github.io/mb1-catalog/index.html?design=0579</x:v>
      </x:c>
      <x:c r="R513" s="14" t="str"/>
    </x:row>
    <x:row r="514">
      <x:c r="A514" s="13" t="str">
        <x:v>MB1-0580</x:v>
      </x:c>
      <x:c r="B514" s="13" t="str">
        <x:v>MB1-0580</x:v>
      </x:c>
      <x:c r="C514" s="14" t="str">
        <x:v>Antler Monogram N</x:v>
      </x:c>
      <x:c r="D514" s="14" t="str">
        <x:v>wildlife and outdoors</x:v>
      </x:c>
      <x:c r="E514" s="14" t="str">
        <x:v>https://res.cloudinary.com/oxygre42/image/upload/f_auto,q_auto,c_pad,b_white,w_1200,h_1200/v1788349731/0580_Antler_Monogram_N.png</x:v>
      </x:c>
      <x:c r="F514" s="14" t="str"/>
      <x:c r="G514" s="14" t="str">
        <x:v>Lifestyle</x:v>
      </x:c>
      <x:c r="H514" s="14" t="str"/>
      <x:c r="I514" s="14" t="str">
        <x:v>Detail</x:v>
      </x:c>
      <x:c r="J514" s="14" t="str"/>
      <x:c r="K514" s="14" t="str">
        <x:v>Scale</x:v>
      </x:c>
      <x:c r="L514" s="14" t="str"/>
      <x:c r="M514" s="14" t="str">
        <x:v>Alternate</x:v>
      </x:c>
      <x:c r="N514" s="14" t="n">
        <x:f>IF(E514&lt;&gt;"",1,0)+IF(F514&lt;&gt;"",1,0)+IF(H514&lt;&gt;"",1,0)+IF(J514&lt;&gt;"",1,0)+IF(L514&lt;&gt;"",1,0)</x:f>
        <x:v>1</x:v>
      </x:c>
      <x:c r="O514" s="14" t="str">
        <x:f>IF(E514="","MISSING MAIN",IF(N514=1,"MAIN ONLY","MULTI-PHOTO"))</x:f>
        <x:v>MAIN ONLY</x:v>
      </x:c>
      <x:c r="P514" s="14" t="str">
        <x:v>0580_</x:v>
      </x:c>
      <x:c r="Q514" s="14" t="str">
        <x:v>https://mb1advancedsolutions.github.io/mb1-catalog/index.html?design=0580</x:v>
      </x:c>
      <x:c r="R514" s="14" t="str"/>
    </x:row>
    <x:row r="515">
      <x:c r="A515" s="13" t="str">
        <x:v>MB1-0581</x:v>
      </x:c>
      <x:c r="B515" s="13" t="str">
        <x:v>MB1-0581</x:v>
      </x:c>
      <x:c r="C515" s="14" t="str">
        <x:v>Antler Monogram O</x:v>
      </x:c>
      <x:c r="D515" s="14" t="str">
        <x:v>wildlife and outdoors</x:v>
      </x:c>
      <x:c r="E515" s="14" t="str">
        <x:v>https://res.cloudinary.com/oxygre42/image/upload/f_auto,q_auto,c_pad,b_white,w_1200,h_1200/v1788349733/0581_Antler_Monogram_O.png</x:v>
      </x:c>
      <x:c r="F515" s="14" t="str"/>
      <x:c r="G515" s="14" t="str">
        <x:v>Lifestyle</x:v>
      </x:c>
      <x:c r="H515" s="14" t="str"/>
      <x:c r="I515" s="14" t="str">
        <x:v>Detail</x:v>
      </x:c>
      <x:c r="J515" s="14" t="str"/>
      <x:c r="K515" s="14" t="str">
        <x:v>Scale</x:v>
      </x:c>
      <x:c r="L515" s="14" t="str"/>
      <x:c r="M515" s="14" t="str">
        <x:v>Alternate</x:v>
      </x:c>
      <x:c r="N515" s="14" t="n">
        <x:f>IF(E515&lt;&gt;"",1,0)+IF(F515&lt;&gt;"",1,0)+IF(H515&lt;&gt;"",1,0)+IF(J515&lt;&gt;"",1,0)+IF(L515&lt;&gt;"",1,0)</x:f>
        <x:v>1</x:v>
      </x:c>
      <x:c r="O515" s="14" t="str">
        <x:f>IF(E515="","MISSING MAIN",IF(N515=1,"MAIN ONLY","MULTI-PHOTO"))</x:f>
        <x:v>MAIN ONLY</x:v>
      </x:c>
      <x:c r="P515" s="14" t="str">
        <x:v>0581_</x:v>
      </x:c>
      <x:c r="Q515" s="14" t="str">
        <x:v>https://mb1advancedsolutions.github.io/mb1-catalog/index.html?design=0581</x:v>
      </x:c>
      <x:c r="R515" s="14" t="str"/>
    </x:row>
    <x:row r="516">
      <x:c r="A516" s="13" t="str">
        <x:v>MB1-0582</x:v>
      </x:c>
      <x:c r="B516" s="13" t="str">
        <x:v>MB1-0582</x:v>
      </x:c>
      <x:c r="C516" s="14" t="str">
        <x:v>Antler Monogram P</x:v>
      </x:c>
      <x:c r="D516" s="14" t="str">
        <x:v>wildlife and outdoors</x:v>
      </x:c>
      <x:c r="E516" s="14" t="str">
        <x:v>https://res.cloudinary.com/oxygre42/image/upload/f_auto,q_auto,c_pad,b_white,w_1200,h_1200/v1788349735/0582_Antler_Monogram_P.png</x:v>
      </x:c>
      <x:c r="F516" s="14" t="str"/>
      <x:c r="G516" s="14" t="str">
        <x:v>Lifestyle</x:v>
      </x:c>
      <x:c r="H516" s="14" t="str"/>
      <x:c r="I516" s="14" t="str">
        <x:v>Detail</x:v>
      </x:c>
      <x:c r="J516" s="14" t="str"/>
      <x:c r="K516" s="14" t="str">
        <x:v>Scale</x:v>
      </x:c>
      <x:c r="L516" s="14" t="str"/>
      <x:c r="M516" s="14" t="str">
        <x:v>Alternate</x:v>
      </x:c>
      <x:c r="N516" s="14" t="n">
        <x:f>IF(E516&lt;&gt;"",1,0)+IF(F516&lt;&gt;"",1,0)+IF(H516&lt;&gt;"",1,0)+IF(J516&lt;&gt;"",1,0)+IF(L516&lt;&gt;"",1,0)</x:f>
        <x:v>1</x:v>
      </x:c>
      <x:c r="O516" s="14" t="str">
        <x:f>IF(E516="","MISSING MAIN",IF(N516=1,"MAIN ONLY","MULTI-PHOTO"))</x:f>
        <x:v>MAIN ONLY</x:v>
      </x:c>
      <x:c r="P516" s="14" t="str">
        <x:v>0582_</x:v>
      </x:c>
      <x:c r="Q516" s="14" t="str">
        <x:v>https://mb1advancedsolutions.github.io/mb1-catalog/index.html?design=0582</x:v>
      </x:c>
      <x:c r="R516" s="14" t="str"/>
    </x:row>
    <x:row r="517">
      <x:c r="A517" s="13" t="str">
        <x:v>MB1-0583</x:v>
      </x:c>
      <x:c r="B517" s="13" t="str">
        <x:v>MB1-0583</x:v>
      </x:c>
      <x:c r="C517" s="14" t="str">
        <x:v>Antler Monogram Q</x:v>
      </x:c>
      <x:c r="D517" s="14" t="str">
        <x:v>wildlife and outdoors</x:v>
      </x:c>
      <x:c r="E517" s="14" t="str">
        <x:v>https://res.cloudinary.com/oxygre42/image/upload/f_auto,q_auto,c_pad,b_white,w_1200,h_1200/v1788349737/0583_Antler_Monogram_Q.png</x:v>
      </x:c>
      <x:c r="F517" s="14" t="str"/>
      <x:c r="G517" s="14" t="str">
        <x:v>Lifestyle</x:v>
      </x:c>
      <x:c r="H517" s="14" t="str"/>
      <x:c r="I517" s="14" t="str">
        <x:v>Detail</x:v>
      </x:c>
      <x:c r="J517" s="14" t="str"/>
      <x:c r="K517" s="14" t="str">
        <x:v>Scale</x:v>
      </x:c>
      <x:c r="L517" s="14" t="str"/>
      <x:c r="M517" s="14" t="str">
        <x:v>Alternate</x:v>
      </x:c>
      <x:c r="N517" s="14" t="n">
        <x:f>IF(E517&lt;&gt;"",1,0)+IF(F517&lt;&gt;"",1,0)+IF(H517&lt;&gt;"",1,0)+IF(J517&lt;&gt;"",1,0)+IF(L517&lt;&gt;"",1,0)</x:f>
        <x:v>1</x:v>
      </x:c>
      <x:c r="O517" s="14" t="str">
        <x:f>IF(E517="","MISSING MAIN",IF(N517=1,"MAIN ONLY","MULTI-PHOTO"))</x:f>
        <x:v>MAIN ONLY</x:v>
      </x:c>
      <x:c r="P517" s="14" t="str">
        <x:v>0583_</x:v>
      </x:c>
      <x:c r="Q517" s="14" t="str">
        <x:v>https://mb1advancedsolutions.github.io/mb1-catalog/index.html?design=0583</x:v>
      </x:c>
      <x:c r="R517" s="14" t="str"/>
    </x:row>
    <x:row r="518">
      <x:c r="A518" s="13" t="str">
        <x:v>MB1-0584</x:v>
      </x:c>
      <x:c r="B518" s="13" t="str">
        <x:v>MB1-0584</x:v>
      </x:c>
      <x:c r="C518" s="14" t="str">
        <x:v>Antler Monogram R</x:v>
      </x:c>
      <x:c r="D518" s="14" t="str">
        <x:v>wildlife and outdoors</x:v>
      </x:c>
      <x:c r="E518" s="14" t="str">
        <x:v>https://res.cloudinary.com/oxygre42/image/upload/f_auto,q_auto,c_pad,b_white,w_1200,h_1200/v1788349739/0584_Antler_Monogram_R.png</x:v>
      </x:c>
      <x:c r="F518" s="14" t="str"/>
      <x:c r="G518" s="14" t="str">
        <x:v>Lifestyle</x:v>
      </x:c>
      <x:c r="H518" s="14" t="str"/>
      <x:c r="I518" s="14" t="str">
        <x:v>Detail</x:v>
      </x:c>
      <x:c r="J518" s="14" t="str"/>
      <x:c r="K518" s="14" t="str">
        <x:v>Scale</x:v>
      </x:c>
      <x:c r="L518" s="14" t="str"/>
      <x:c r="M518" s="14" t="str">
        <x:v>Alternate</x:v>
      </x:c>
      <x:c r="N518" s="14" t="n">
        <x:f>IF(E518&lt;&gt;"",1,0)+IF(F518&lt;&gt;"",1,0)+IF(H518&lt;&gt;"",1,0)+IF(J518&lt;&gt;"",1,0)+IF(L518&lt;&gt;"",1,0)</x:f>
        <x:v>1</x:v>
      </x:c>
      <x:c r="O518" s="14" t="str">
        <x:f>IF(E518="","MISSING MAIN",IF(N518=1,"MAIN ONLY","MULTI-PHOTO"))</x:f>
        <x:v>MAIN ONLY</x:v>
      </x:c>
      <x:c r="P518" s="14" t="str">
        <x:v>0584_</x:v>
      </x:c>
      <x:c r="Q518" s="14" t="str">
        <x:v>https://mb1advancedsolutions.github.io/mb1-catalog/index.html?design=0584</x:v>
      </x:c>
      <x:c r="R518" s="14" t="str"/>
    </x:row>
    <x:row r="519">
      <x:c r="A519" s="13" t="str">
        <x:v>MB1-0585</x:v>
      </x:c>
      <x:c r="B519" s="13" t="str">
        <x:v>MB1-0585</x:v>
      </x:c>
      <x:c r="C519" s="14" t="str">
        <x:v>Antler Monogram S</x:v>
      </x:c>
      <x:c r="D519" s="14" t="str">
        <x:v>wildlife and outdoors</x:v>
      </x:c>
      <x:c r="E519" s="14" t="str">
        <x:v>https://res.cloudinary.com/oxygre42/image/upload/f_auto,q_auto,c_pad,b_white,w_1200,h_1200/v1788349741/0585_Antler_Monogram_S.png</x:v>
      </x:c>
      <x:c r="F519" s="14" t="str"/>
      <x:c r="G519" s="14" t="str">
        <x:v>Lifestyle</x:v>
      </x:c>
      <x:c r="H519" s="14" t="str"/>
      <x:c r="I519" s="14" t="str">
        <x:v>Detail</x:v>
      </x:c>
      <x:c r="J519" s="14" t="str"/>
      <x:c r="K519" s="14" t="str">
        <x:v>Scale</x:v>
      </x:c>
      <x:c r="L519" s="14" t="str"/>
      <x:c r="M519" s="14" t="str">
        <x:v>Alternate</x:v>
      </x:c>
      <x:c r="N519" s="14" t="n">
        <x:f>IF(E519&lt;&gt;"",1,0)+IF(F519&lt;&gt;"",1,0)+IF(H519&lt;&gt;"",1,0)+IF(J519&lt;&gt;"",1,0)+IF(L519&lt;&gt;"",1,0)</x:f>
        <x:v>1</x:v>
      </x:c>
      <x:c r="O519" s="14" t="str">
        <x:f>IF(E519="","MISSING MAIN",IF(N519=1,"MAIN ONLY","MULTI-PHOTO"))</x:f>
        <x:v>MAIN ONLY</x:v>
      </x:c>
      <x:c r="P519" s="14" t="str">
        <x:v>0585_</x:v>
      </x:c>
      <x:c r="Q519" s="14" t="str">
        <x:v>https://mb1advancedsolutions.github.io/mb1-catalog/index.html?design=0585</x:v>
      </x:c>
      <x:c r="R519" s="14" t="str"/>
    </x:row>
    <x:row r="520">
      <x:c r="A520" s="13" t="str">
        <x:v>MB1-0586</x:v>
      </x:c>
      <x:c r="B520" s="13" t="str">
        <x:v>MB1-0586</x:v>
      </x:c>
      <x:c r="C520" s="14" t="str">
        <x:v>Antler Monogram T</x:v>
      </x:c>
      <x:c r="D520" s="14" t="str">
        <x:v>wildlife and outdoors</x:v>
      </x:c>
      <x:c r="E520" s="14" t="str">
        <x:v>https://res.cloudinary.com/oxygre42/image/upload/f_auto,q_auto,c_pad,b_white,w_1200,h_1200/v1788349743/0586_Antler_Monogram_T.png</x:v>
      </x:c>
      <x:c r="F520" s="14" t="str"/>
      <x:c r="G520" s="14" t="str">
        <x:v>Lifestyle</x:v>
      </x:c>
      <x:c r="H520" s="14" t="str"/>
      <x:c r="I520" s="14" t="str">
        <x:v>Detail</x:v>
      </x:c>
      <x:c r="J520" s="14" t="str"/>
      <x:c r="K520" s="14" t="str">
        <x:v>Scale</x:v>
      </x:c>
      <x:c r="L520" s="14" t="str"/>
      <x:c r="M520" s="14" t="str">
        <x:v>Alternate</x:v>
      </x:c>
      <x:c r="N520" s="14" t="n">
        <x:f>IF(E520&lt;&gt;"",1,0)+IF(F520&lt;&gt;"",1,0)+IF(H520&lt;&gt;"",1,0)+IF(J520&lt;&gt;"",1,0)+IF(L520&lt;&gt;"",1,0)</x:f>
        <x:v>1</x:v>
      </x:c>
      <x:c r="O520" s="14" t="str">
        <x:f>IF(E520="","MISSING MAIN",IF(N520=1,"MAIN ONLY","MULTI-PHOTO"))</x:f>
        <x:v>MAIN ONLY</x:v>
      </x:c>
      <x:c r="P520" s="14" t="str">
        <x:v>0586_</x:v>
      </x:c>
      <x:c r="Q520" s="14" t="str">
        <x:v>https://mb1advancedsolutions.github.io/mb1-catalog/index.html?design=0586</x:v>
      </x:c>
      <x:c r="R520" s="14" t="str"/>
    </x:row>
    <x:row r="521">
      <x:c r="A521" s="13" t="str">
        <x:v>MB1-0587</x:v>
      </x:c>
      <x:c r="B521" s="13" t="str">
        <x:v>MB1-0587</x:v>
      </x:c>
      <x:c r="C521" s="14" t="str">
        <x:v>Antler Monogram U</x:v>
      </x:c>
      <x:c r="D521" s="14" t="str">
        <x:v>wildlife and outdoors</x:v>
      </x:c>
      <x:c r="E521" s="14" t="str">
        <x:v>https://res.cloudinary.com/oxygre42/image/upload/f_auto,q_auto,c_pad,b_white,w_1200,h_1200/v1788349744/0587_Antler_Monogram_U.png</x:v>
      </x:c>
      <x:c r="F521" s="14" t="str"/>
      <x:c r="G521" s="14" t="str">
        <x:v>Lifestyle</x:v>
      </x:c>
      <x:c r="H521" s="14" t="str"/>
      <x:c r="I521" s="14" t="str">
        <x:v>Detail</x:v>
      </x:c>
      <x:c r="J521" s="14" t="str"/>
      <x:c r="K521" s="14" t="str">
        <x:v>Scale</x:v>
      </x:c>
      <x:c r="L521" s="14" t="str"/>
      <x:c r="M521" s="14" t="str">
        <x:v>Alternate</x:v>
      </x:c>
      <x:c r="N521" s="14" t="n">
        <x:f>IF(E521&lt;&gt;"",1,0)+IF(F521&lt;&gt;"",1,0)+IF(H521&lt;&gt;"",1,0)+IF(J521&lt;&gt;"",1,0)+IF(L521&lt;&gt;"",1,0)</x:f>
        <x:v>1</x:v>
      </x:c>
      <x:c r="O521" s="14" t="str">
        <x:f>IF(E521="","MISSING MAIN",IF(N521=1,"MAIN ONLY","MULTI-PHOTO"))</x:f>
        <x:v>MAIN ONLY</x:v>
      </x:c>
      <x:c r="P521" s="14" t="str">
        <x:v>0587_</x:v>
      </x:c>
      <x:c r="Q521" s="14" t="str">
        <x:v>https://mb1advancedsolutions.github.io/mb1-catalog/index.html?design=0587</x:v>
      </x:c>
      <x:c r="R521" s="14" t="str"/>
    </x:row>
    <x:row r="522">
      <x:c r="A522" s="13" t="str">
        <x:v>MB1-0588</x:v>
      </x:c>
      <x:c r="B522" s="13" t="str">
        <x:v>MB1-0588</x:v>
      </x:c>
      <x:c r="C522" s="14" t="str">
        <x:v>Antler Monogram V</x:v>
      </x:c>
      <x:c r="D522" s="14" t="str">
        <x:v>wildlife and outdoors</x:v>
      </x:c>
      <x:c r="E522" s="14" t="str">
        <x:v>https://res.cloudinary.com/oxygre42/image/upload/f_auto,q_auto,c_pad,b_white,w_1200,h_1200/v1788349746/0588_Antler_Monogram_V.png</x:v>
      </x:c>
      <x:c r="F522" s="14" t="str"/>
      <x:c r="G522" s="14" t="str">
        <x:v>Lifestyle</x:v>
      </x:c>
      <x:c r="H522" s="14" t="str"/>
      <x:c r="I522" s="14" t="str">
        <x:v>Detail</x:v>
      </x:c>
      <x:c r="J522" s="14" t="str"/>
      <x:c r="K522" s="14" t="str">
        <x:v>Scale</x:v>
      </x:c>
      <x:c r="L522" s="14" t="str"/>
      <x:c r="M522" s="14" t="str">
        <x:v>Alternate</x:v>
      </x:c>
      <x:c r="N522" s="14" t="n">
        <x:f>IF(E522&lt;&gt;"",1,0)+IF(F522&lt;&gt;"",1,0)+IF(H522&lt;&gt;"",1,0)+IF(J522&lt;&gt;"",1,0)+IF(L522&lt;&gt;"",1,0)</x:f>
        <x:v>1</x:v>
      </x:c>
      <x:c r="O522" s="14" t="str">
        <x:f>IF(E522="","MISSING MAIN",IF(N522=1,"MAIN ONLY","MULTI-PHOTO"))</x:f>
        <x:v>MAIN ONLY</x:v>
      </x:c>
      <x:c r="P522" s="14" t="str">
        <x:v>0588_</x:v>
      </x:c>
      <x:c r="Q522" s="14" t="str">
        <x:v>https://mb1advancedsolutions.github.io/mb1-catalog/index.html?design=0588</x:v>
      </x:c>
      <x:c r="R522" s="14" t="str"/>
    </x:row>
    <x:row r="523">
      <x:c r="A523" s="13" t="str">
        <x:v>MB1-0589</x:v>
      </x:c>
      <x:c r="B523" s="13" t="str">
        <x:v>MB1-0589</x:v>
      </x:c>
      <x:c r="C523" s="14" t="str">
        <x:v>Antler Monogram W</x:v>
      </x:c>
      <x:c r="D523" s="14" t="str">
        <x:v>wildlife and outdoors</x:v>
      </x:c>
      <x:c r="E523" s="14" t="str">
        <x:v>https://res.cloudinary.com/oxygre42/image/upload/f_auto,q_auto,c_pad,b_white,w_1200,h_1200/v1788349748/0589_Antler_Monogram_W.png</x:v>
      </x:c>
      <x:c r="F523" s="14" t="str"/>
      <x:c r="G523" s="14" t="str">
        <x:v>Lifestyle</x:v>
      </x:c>
      <x:c r="H523" s="14" t="str"/>
      <x:c r="I523" s="14" t="str">
        <x:v>Detail</x:v>
      </x:c>
      <x:c r="J523" s="14" t="str"/>
      <x:c r="K523" s="14" t="str">
        <x:v>Scale</x:v>
      </x:c>
      <x:c r="L523" s="14" t="str"/>
      <x:c r="M523" s="14" t="str">
        <x:v>Alternate</x:v>
      </x:c>
      <x:c r="N523" s="14" t="n">
        <x:f>IF(E523&lt;&gt;"",1,0)+IF(F523&lt;&gt;"",1,0)+IF(H523&lt;&gt;"",1,0)+IF(J523&lt;&gt;"",1,0)+IF(L523&lt;&gt;"",1,0)</x:f>
        <x:v>1</x:v>
      </x:c>
      <x:c r="O523" s="14" t="str">
        <x:f>IF(E523="","MISSING MAIN",IF(N523=1,"MAIN ONLY","MULTI-PHOTO"))</x:f>
        <x:v>MAIN ONLY</x:v>
      </x:c>
      <x:c r="P523" s="14" t="str">
        <x:v>0589_</x:v>
      </x:c>
      <x:c r="Q523" s="14" t="str">
        <x:v>https://mb1advancedsolutions.github.io/mb1-catalog/index.html?design=0589</x:v>
      </x:c>
      <x:c r="R523" s="14" t="str"/>
    </x:row>
    <x:row r="524">
      <x:c r="A524" s="13" t="str">
        <x:v>MB1-0590</x:v>
      </x:c>
      <x:c r="B524" s="13" t="str">
        <x:v>MB1-0590</x:v>
      </x:c>
      <x:c r="C524" s="14" t="str">
        <x:v>Antler Monogram X</x:v>
      </x:c>
      <x:c r="D524" s="14" t="str">
        <x:v>wildlife and outdoors</x:v>
      </x:c>
      <x:c r="E524" s="14" t="str">
        <x:v>https://res.cloudinary.com/oxygre42/image/upload/f_auto,q_auto,c_pad,b_white,w_1200,h_1200/v1788349750/0590_Antler_Monogram_X.png</x:v>
      </x:c>
      <x:c r="F524" s="14" t="str"/>
      <x:c r="G524" s="14" t="str">
        <x:v>Lifestyle</x:v>
      </x:c>
      <x:c r="H524" s="14" t="str"/>
      <x:c r="I524" s="14" t="str">
        <x:v>Detail</x:v>
      </x:c>
      <x:c r="J524" s="14" t="str"/>
      <x:c r="K524" s="14" t="str">
        <x:v>Scale</x:v>
      </x:c>
      <x:c r="L524" s="14" t="str"/>
      <x:c r="M524" s="14" t="str">
        <x:v>Alternate</x:v>
      </x:c>
      <x:c r="N524" s="14" t="n">
        <x:f>IF(E524&lt;&gt;"",1,0)+IF(F524&lt;&gt;"",1,0)+IF(H524&lt;&gt;"",1,0)+IF(J524&lt;&gt;"",1,0)+IF(L524&lt;&gt;"",1,0)</x:f>
        <x:v>1</x:v>
      </x:c>
      <x:c r="O524" s="14" t="str">
        <x:f>IF(E524="","MISSING MAIN",IF(N524=1,"MAIN ONLY","MULTI-PHOTO"))</x:f>
        <x:v>MAIN ONLY</x:v>
      </x:c>
      <x:c r="P524" s="14" t="str">
        <x:v>0590_</x:v>
      </x:c>
      <x:c r="Q524" s="14" t="str">
        <x:v>https://mb1advancedsolutions.github.io/mb1-catalog/index.html?design=0590</x:v>
      </x:c>
      <x:c r="R524" s="14" t="str"/>
    </x:row>
    <x:row r="525">
      <x:c r="A525" s="13" t="str">
        <x:v>MB1-0591</x:v>
      </x:c>
      <x:c r="B525" s="13" t="str">
        <x:v>MB1-0591</x:v>
      </x:c>
      <x:c r="C525" s="14" t="str">
        <x:v>Antler Monogram Y</x:v>
      </x:c>
      <x:c r="D525" s="14" t="str">
        <x:v>wildlife and outdoors</x:v>
      </x:c>
      <x:c r="E525" s="14" t="str">
        <x:v>https://res.cloudinary.com/oxygre42/image/upload/f_auto,q_auto,c_pad,b_white,w_1200,h_1200/v1788349752/0591_Antler_Monogram_Y.png</x:v>
      </x:c>
      <x:c r="F525" s="14" t="str"/>
      <x:c r="G525" s="14" t="str">
        <x:v>Lifestyle</x:v>
      </x:c>
      <x:c r="H525" s="14" t="str"/>
      <x:c r="I525" s="14" t="str">
        <x:v>Detail</x:v>
      </x:c>
      <x:c r="J525" s="14" t="str"/>
      <x:c r="K525" s="14" t="str">
        <x:v>Scale</x:v>
      </x:c>
      <x:c r="L525" s="14" t="str"/>
      <x:c r="M525" s="14" t="str">
        <x:v>Alternate</x:v>
      </x:c>
      <x:c r="N525" s="14" t="n">
        <x:f>IF(E525&lt;&gt;"",1,0)+IF(F525&lt;&gt;"",1,0)+IF(H525&lt;&gt;"",1,0)+IF(J525&lt;&gt;"",1,0)+IF(L525&lt;&gt;"",1,0)</x:f>
        <x:v>1</x:v>
      </x:c>
      <x:c r="O525" s="14" t="str">
        <x:f>IF(E525="","MISSING MAIN",IF(N525=1,"MAIN ONLY","MULTI-PHOTO"))</x:f>
        <x:v>MAIN ONLY</x:v>
      </x:c>
      <x:c r="P525" s="14" t="str">
        <x:v>0591_</x:v>
      </x:c>
      <x:c r="Q525" s="14" t="str">
        <x:v>https://mb1advancedsolutions.github.io/mb1-catalog/index.html?design=0591</x:v>
      </x:c>
      <x:c r="R525" s="14" t="str"/>
    </x:row>
    <x:row r="526">
      <x:c r="A526" s="13" t="str">
        <x:v>MB1-0592</x:v>
      </x:c>
      <x:c r="B526" s="13" t="str">
        <x:v>MB1-0592</x:v>
      </x:c>
      <x:c r="C526" s="14" t="str">
        <x:v>Antler Monogram Z</x:v>
      </x:c>
      <x:c r="D526" s="14" t="str">
        <x:v>wildlife and outdoors</x:v>
      </x:c>
      <x:c r="E526" s="14" t="str">
        <x:v>https://res.cloudinary.com/oxygre42/image/upload/f_auto,q_auto,c_pad,b_white,w_1200,h_1200/v1788349754/0592_Antler_Monogram_Z.png</x:v>
      </x:c>
      <x:c r="F526" s="14" t="str"/>
      <x:c r="G526" s="14" t="str">
        <x:v>Lifestyle</x:v>
      </x:c>
      <x:c r="H526" s="14" t="str"/>
      <x:c r="I526" s="14" t="str">
        <x:v>Detail</x:v>
      </x:c>
      <x:c r="J526" s="14" t="str"/>
      <x:c r="K526" s="14" t="str">
        <x:v>Scale</x:v>
      </x:c>
      <x:c r="L526" s="14" t="str"/>
      <x:c r="M526" s="14" t="str">
        <x:v>Alternate</x:v>
      </x:c>
      <x:c r="N526" s="14" t="n">
        <x:f>IF(E526&lt;&gt;"",1,0)+IF(F526&lt;&gt;"",1,0)+IF(H526&lt;&gt;"",1,0)+IF(J526&lt;&gt;"",1,0)+IF(L526&lt;&gt;"",1,0)</x:f>
        <x:v>1</x:v>
      </x:c>
      <x:c r="O526" s="14" t="str">
        <x:f>IF(E526="","MISSING MAIN",IF(N526=1,"MAIN ONLY","MULTI-PHOTO"))</x:f>
        <x:v>MAIN ONLY</x:v>
      </x:c>
      <x:c r="P526" s="14" t="str">
        <x:v>0592_</x:v>
      </x:c>
      <x:c r="Q526" s="14" t="str">
        <x:v>https://mb1advancedsolutions.github.io/mb1-catalog/index.html?design=0592</x:v>
      </x:c>
      <x:c r="R526" s="14" t="str"/>
    </x:row>
    <x:row r="527">
      <x:c r="A527" s="13" t="str">
        <x:v>MB1-0619</x:v>
      </x:c>
      <x:c r="B527" s="13" t="str">
        <x:v>MB1-0619</x:v>
      </x:c>
      <x:c r="C527" s="14" t="str">
        <x:v>Monogram Fleur A</x:v>
      </x:c>
      <x:c r="D527" s="14" t="str">
        <x:v>family &amp; name</x:v>
      </x:c>
      <x:c r="E527" s="14" t="str">
        <x:v>https://res.cloudinary.com/oxygre42/image/upload/f_auto,q_auto,c_pad,b_white,w_1200,h_1200/v1788349756/0619_Monogram_Fleur_A.png</x:v>
      </x:c>
      <x:c r="F527" s="14" t="str"/>
      <x:c r="G527" s="14" t="str">
        <x:v>Lifestyle</x:v>
      </x:c>
      <x:c r="H527" s="14" t="str"/>
      <x:c r="I527" s="14" t="str">
        <x:v>Detail</x:v>
      </x:c>
      <x:c r="J527" s="14" t="str"/>
      <x:c r="K527" s="14" t="str">
        <x:v>Scale</x:v>
      </x:c>
      <x:c r="L527" s="14" t="str"/>
      <x:c r="M527" s="14" t="str">
        <x:v>Alternate</x:v>
      </x:c>
      <x:c r="N527" s="14" t="n">
        <x:f>IF(E527&lt;&gt;"",1,0)+IF(F527&lt;&gt;"",1,0)+IF(H527&lt;&gt;"",1,0)+IF(J527&lt;&gt;"",1,0)+IF(L527&lt;&gt;"",1,0)</x:f>
        <x:v>1</x:v>
      </x:c>
      <x:c r="O527" s="14" t="str">
        <x:f>IF(E527="","MISSING MAIN",IF(N527=1,"MAIN ONLY","MULTI-PHOTO"))</x:f>
        <x:v>MAIN ONLY</x:v>
      </x:c>
      <x:c r="P527" s="14" t="str">
        <x:v>0619_</x:v>
      </x:c>
      <x:c r="Q527" s="14" t="str">
        <x:v>https://mb1advancedsolutions.github.io/mb1-catalog/index.html?design=0619</x:v>
      </x:c>
      <x:c r="R527" s="14" t="str"/>
    </x:row>
    <x:row r="528">
      <x:c r="A528" s="13" t="str">
        <x:v>MB1-0620</x:v>
      </x:c>
      <x:c r="B528" s="13" t="str">
        <x:v>MB1-0620</x:v>
      </x:c>
      <x:c r="C528" s="14" t="str">
        <x:v>Monogram Fleur B</x:v>
      </x:c>
      <x:c r="D528" s="14" t="str">
        <x:v>family &amp; name</x:v>
      </x:c>
      <x:c r="E528" s="14" t="str">
        <x:v>https://res.cloudinary.com/oxygre42/image/upload/f_auto,q_auto,c_pad,b_white,w_1200,h_1200/v1788349758/0620_Monogram_Fleur_B.png</x:v>
      </x:c>
      <x:c r="F528" s="14" t="str"/>
      <x:c r="G528" s="14" t="str">
        <x:v>Lifestyle</x:v>
      </x:c>
      <x:c r="H528" s="14" t="str"/>
      <x:c r="I528" s="14" t="str">
        <x:v>Detail</x:v>
      </x:c>
      <x:c r="J528" s="14" t="str"/>
      <x:c r="K528" s="14" t="str">
        <x:v>Scale</x:v>
      </x:c>
      <x:c r="L528" s="14" t="str"/>
      <x:c r="M528" s="14" t="str">
        <x:v>Alternate</x:v>
      </x:c>
      <x:c r="N528" s="14" t="n">
        <x:f>IF(E528&lt;&gt;"",1,0)+IF(F528&lt;&gt;"",1,0)+IF(H528&lt;&gt;"",1,0)+IF(J528&lt;&gt;"",1,0)+IF(L528&lt;&gt;"",1,0)</x:f>
        <x:v>1</x:v>
      </x:c>
      <x:c r="O528" s="14" t="str">
        <x:f>IF(E528="","MISSING MAIN",IF(N528=1,"MAIN ONLY","MULTI-PHOTO"))</x:f>
        <x:v>MAIN ONLY</x:v>
      </x:c>
      <x:c r="P528" s="14" t="str">
        <x:v>0620_</x:v>
      </x:c>
      <x:c r="Q528" s="14" t="str">
        <x:v>https://mb1advancedsolutions.github.io/mb1-catalog/index.html?design=0620</x:v>
      </x:c>
      <x:c r="R528" s="14" t="str"/>
    </x:row>
    <x:row r="529">
      <x:c r="A529" s="13" t="str">
        <x:v>MB1-0621</x:v>
      </x:c>
      <x:c r="B529" s="13" t="str">
        <x:v>MB1-0621</x:v>
      </x:c>
      <x:c r="C529" s="14" t="str">
        <x:v>Monogram Fleur C</x:v>
      </x:c>
      <x:c r="D529" s="14" t="str">
        <x:v>family &amp; name</x:v>
      </x:c>
      <x:c r="E529" s="14" t="str">
        <x:v>https://res.cloudinary.com/oxygre42/image/upload/f_auto,q_auto,c_pad,b_white,w_1200,h_1200/v1788349759/0621_Monogram_Fleur_C.png</x:v>
      </x:c>
      <x:c r="F529" s="14" t="str"/>
      <x:c r="G529" s="14" t="str">
        <x:v>Lifestyle</x:v>
      </x:c>
      <x:c r="H529" s="14" t="str"/>
      <x:c r="I529" s="14" t="str">
        <x:v>Detail</x:v>
      </x:c>
      <x:c r="J529" s="14" t="str"/>
      <x:c r="K529" s="14" t="str">
        <x:v>Scale</x:v>
      </x:c>
      <x:c r="L529" s="14" t="str"/>
      <x:c r="M529" s="14" t="str">
        <x:v>Alternate</x:v>
      </x:c>
      <x:c r="N529" s="14" t="n">
        <x:f>IF(E529&lt;&gt;"",1,0)+IF(F529&lt;&gt;"",1,0)+IF(H529&lt;&gt;"",1,0)+IF(J529&lt;&gt;"",1,0)+IF(L529&lt;&gt;"",1,0)</x:f>
        <x:v>1</x:v>
      </x:c>
      <x:c r="O529" s="14" t="str">
        <x:f>IF(E529="","MISSING MAIN",IF(N529=1,"MAIN ONLY","MULTI-PHOTO"))</x:f>
        <x:v>MAIN ONLY</x:v>
      </x:c>
      <x:c r="P529" s="14" t="str">
        <x:v>0621_</x:v>
      </x:c>
      <x:c r="Q529" s="14" t="str">
        <x:v>https://mb1advancedsolutions.github.io/mb1-catalog/index.html?design=0621</x:v>
      </x:c>
      <x:c r="R529" s="14" t="str"/>
    </x:row>
    <x:row r="530">
      <x:c r="A530" s="13" t="str">
        <x:v>MB1-0622</x:v>
      </x:c>
      <x:c r="B530" s="13" t="str">
        <x:v>MB1-0622</x:v>
      </x:c>
      <x:c r="C530" s="14" t="str">
        <x:v>Monogram Fleur D</x:v>
      </x:c>
      <x:c r="D530" s="14" t="str">
        <x:v>family &amp; name</x:v>
      </x:c>
      <x:c r="E530" s="14" t="str">
        <x:v>https://res.cloudinary.com/oxygre42/image/upload/f_auto,q_auto,c_pad,b_white,w_1200,h_1200/v1788349761/0622_Monogram_Fleur_D.png</x:v>
      </x:c>
      <x:c r="F530" s="14" t="str"/>
      <x:c r="G530" s="14" t="str">
        <x:v>Lifestyle</x:v>
      </x:c>
      <x:c r="H530" s="14" t="str"/>
      <x:c r="I530" s="14" t="str">
        <x:v>Detail</x:v>
      </x:c>
      <x:c r="J530" s="14" t="str"/>
      <x:c r="K530" s="14" t="str">
        <x:v>Scale</x:v>
      </x:c>
      <x:c r="L530" s="14" t="str"/>
      <x:c r="M530" s="14" t="str">
        <x:v>Alternate</x:v>
      </x:c>
      <x:c r="N530" s="14" t="n">
        <x:f>IF(E530&lt;&gt;"",1,0)+IF(F530&lt;&gt;"",1,0)+IF(H530&lt;&gt;"",1,0)+IF(J530&lt;&gt;"",1,0)+IF(L530&lt;&gt;"",1,0)</x:f>
        <x:v>1</x:v>
      </x:c>
      <x:c r="O530" s="14" t="str">
        <x:f>IF(E530="","MISSING MAIN",IF(N530=1,"MAIN ONLY","MULTI-PHOTO"))</x:f>
        <x:v>MAIN ONLY</x:v>
      </x:c>
      <x:c r="P530" s="14" t="str">
        <x:v>0622_</x:v>
      </x:c>
      <x:c r="Q530" s="14" t="str">
        <x:v>https://mb1advancedsolutions.github.io/mb1-catalog/index.html?design=0622</x:v>
      </x:c>
      <x:c r="R530" s="14" t="str"/>
    </x:row>
    <x:row r="531">
      <x:c r="A531" s="13" t="str">
        <x:v>MB1-0623</x:v>
      </x:c>
      <x:c r="B531" s="13" t="str">
        <x:v>MB1-0623</x:v>
      </x:c>
      <x:c r="C531" s="14" t="str">
        <x:v>Monogram Fleur E</x:v>
      </x:c>
      <x:c r="D531" s="14" t="str">
        <x:v>family &amp; name</x:v>
      </x:c>
      <x:c r="E531" s="14" t="str">
        <x:v>https://res.cloudinary.com/oxygre42/image/upload/f_auto,q_auto,c_pad,b_white,w_1200,h_1200/v1788349767/0623_Monogram_Fleur_E.png</x:v>
      </x:c>
      <x:c r="F531" s="14" t="str"/>
      <x:c r="G531" s="14" t="str">
        <x:v>Lifestyle</x:v>
      </x:c>
      <x:c r="H531" s="14" t="str"/>
      <x:c r="I531" s="14" t="str">
        <x:v>Detail</x:v>
      </x:c>
      <x:c r="J531" s="14" t="str"/>
      <x:c r="K531" s="14" t="str">
        <x:v>Scale</x:v>
      </x:c>
      <x:c r="L531" s="14" t="str"/>
      <x:c r="M531" s="14" t="str">
        <x:v>Alternate</x:v>
      </x:c>
      <x:c r="N531" s="14" t="n">
        <x:f>IF(E531&lt;&gt;"",1,0)+IF(F531&lt;&gt;"",1,0)+IF(H531&lt;&gt;"",1,0)+IF(J531&lt;&gt;"",1,0)+IF(L531&lt;&gt;"",1,0)</x:f>
        <x:v>1</x:v>
      </x:c>
      <x:c r="O531" s="14" t="str">
        <x:f>IF(E531="","MISSING MAIN",IF(N531=1,"MAIN ONLY","MULTI-PHOTO"))</x:f>
        <x:v>MAIN ONLY</x:v>
      </x:c>
      <x:c r="P531" s="14" t="str">
        <x:v>0623_</x:v>
      </x:c>
      <x:c r="Q531" s="14" t="str">
        <x:v>https://mb1advancedsolutions.github.io/mb1-catalog/index.html?design=0623</x:v>
      </x:c>
      <x:c r="R531" s="14" t="str"/>
    </x:row>
    <x:row r="532">
      <x:c r="A532" s="13" t="str">
        <x:v>MB1-0624</x:v>
      </x:c>
      <x:c r="B532" s="13" t="str">
        <x:v>MB1-0624</x:v>
      </x:c>
      <x:c r="C532" s="14" t="str">
        <x:v>Monogram Fleur F</x:v>
      </x:c>
      <x:c r="D532" s="14" t="str">
        <x:v>family &amp; name</x:v>
      </x:c>
      <x:c r="E532" s="14" t="str">
        <x:v>https://res.cloudinary.com/oxygre42/image/upload/f_auto,q_auto,c_pad,b_white,w_1200,h_1200/v1788349768/0624_Monogram_Fleur_F.png</x:v>
      </x:c>
      <x:c r="F532" s="14" t="str"/>
      <x:c r="G532" s="14" t="str">
        <x:v>Lifestyle</x:v>
      </x:c>
      <x:c r="H532" s="14" t="str"/>
      <x:c r="I532" s="14" t="str">
        <x:v>Detail</x:v>
      </x:c>
      <x:c r="J532" s="14" t="str"/>
      <x:c r="K532" s="14" t="str">
        <x:v>Scale</x:v>
      </x:c>
      <x:c r="L532" s="14" t="str"/>
      <x:c r="M532" s="14" t="str">
        <x:v>Alternate</x:v>
      </x:c>
      <x:c r="N532" s="14" t="n">
        <x:f>IF(E532&lt;&gt;"",1,0)+IF(F532&lt;&gt;"",1,0)+IF(H532&lt;&gt;"",1,0)+IF(J532&lt;&gt;"",1,0)+IF(L532&lt;&gt;"",1,0)</x:f>
        <x:v>1</x:v>
      </x:c>
      <x:c r="O532" s="14" t="str">
        <x:f>IF(E532="","MISSING MAIN",IF(N532=1,"MAIN ONLY","MULTI-PHOTO"))</x:f>
        <x:v>MAIN ONLY</x:v>
      </x:c>
      <x:c r="P532" s="14" t="str">
        <x:v>0624_</x:v>
      </x:c>
      <x:c r="Q532" s="14" t="str">
        <x:v>https://mb1advancedsolutions.github.io/mb1-catalog/index.html?design=0624</x:v>
      </x:c>
      <x:c r="R532" s="14" t="str"/>
    </x:row>
    <x:row r="533">
      <x:c r="A533" s="13" t="str">
        <x:v>MB1-0625</x:v>
      </x:c>
      <x:c r="B533" s="13" t="str">
        <x:v>MB1-0625</x:v>
      </x:c>
      <x:c r="C533" s="14" t="str">
        <x:v>Monogram Fleur G</x:v>
      </x:c>
      <x:c r="D533" s="14" t="str">
        <x:v>family &amp; name</x:v>
      </x:c>
      <x:c r="E533" s="14" t="str">
        <x:v>https://res.cloudinary.com/oxygre42/image/upload/f_auto,q_auto,c_pad,b_white,w_1200,h_1200/v1788349768/0625_Monogram_Fleur_G.png</x:v>
      </x:c>
      <x:c r="F533" s="14" t="str"/>
      <x:c r="G533" s="14" t="str">
        <x:v>Lifestyle</x:v>
      </x:c>
      <x:c r="H533" s="14" t="str"/>
      <x:c r="I533" s="14" t="str">
        <x:v>Detail</x:v>
      </x:c>
      <x:c r="J533" s="14" t="str"/>
      <x:c r="K533" s="14" t="str">
        <x:v>Scale</x:v>
      </x:c>
      <x:c r="L533" s="14" t="str"/>
      <x:c r="M533" s="14" t="str">
        <x:v>Alternate</x:v>
      </x:c>
      <x:c r="N533" s="14" t="n">
        <x:f>IF(E533&lt;&gt;"",1,0)+IF(F533&lt;&gt;"",1,0)+IF(H533&lt;&gt;"",1,0)+IF(J533&lt;&gt;"",1,0)+IF(L533&lt;&gt;"",1,0)</x:f>
        <x:v>1</x:v>
      </x:c>
      <x:c r="O533" s="14" t="str">
        <x:f>IF(E533="","MISSING MAIN",IF(N533=1,"MAIN ONLY","MULTI-PHOTO"))</x:f>
        <x:v>MAIN ONLY</x:v>
      </x:c>
      <x:c r="P533" s="14" t="str">
        <x:v>0625_</x:v>
      </x:c>
      <x:c r="Q533" s="14" t="str">
        <x:v>https://mb1advancedsolutions.github.io/mb1-catalog/index.html?design=0625</x:v>
      </x:c>
      <x:c r="R533" s="14" t="str"/>
    </x:row>
    <x:row r="534">
      <x:c r="A534" s="13" t="str">
        <x:v>MB1-0626</x:v>
      </x:c>
      <x:c r="B534" s="13" t="str">
        <x:v>MB1-0626</x:v>
      </x:c>
      <x:c r="C534" s="14" t="str">
        <x:v>Monogram Fleur H</x:v>
      </x:c>
      <x:c r="D534" s="14" t="str">
        <x:v>family &amp; name</x:v>
      </x:c>
      <x:c r="E534" s="14" t="str">
        <x:v>https://res.cloudinary.com/oxygre42/image/upload/f_auto,q_auto,c_pad,b_white,w_1200,h_1200/v1788349769/0626_Monogram_Fleur_H.png</x:v>
      </x:c>
      <x:c r="F534" s="14" t="str"/>
      <x:c r="G534" s="14" t="str">
        <x:v>Lifestyle</x:v>
      </x:c>
      <x:c r="H534" s="14" t="str"/>
      <x:c r="I534" s="14" t="str">
        <x:v>Detail</x:v>
      </x:c>
      <x:c r="J534" s="14" t="str"/>
      <x:c r="K534" s="14" t="str">
        <x:v>Scale</x:v>
      </x:c>
      <x:c r="L534" s="14" t="str"/>
      <x:c r="M534" s="14" t="str">
        <x:v>Alternate</x:v>
      </x:c>
      <x:c r="N534" s="14" t="n">
        <x:f>IF(E534&lt;&gt;"",1,0)+IF(F534&lt;&gt;"",1,0)+IF(H534&lt;&gt;"",1,0)+IF(J534&lt;&gt;"",1,0)+IF(L534&lt;&gt;"",1,0)</x:f>
        <x:v>1</x:v>
      </x:c>
      <x:c r="O534" s="14" t="str">
        <x:f>IF(E534="","MISSING MAIN",IF(N534=1,"MAIN ONLY","MULTI-PHOTO"))</x:f>
        <x:v>MAIN ONLY</x:v>
      </x:c>
      <x:c r="P534" s="14" t="str">
        <x:v>0626_</x:v>
      </x:c>
      <x:c r="Q534" s="14" t="str">
        <x:v>https://mb1advancedsolutions.github.io/mb1-catalog/index.html?design=0626</x:v>
      </x:c>
      <x:c r="R534" s="14" t="str"/>
    </x:row>
    <x:row r="535">
      <x:c r="A535" s="13" t="str">
        <x:v>MB1-0627</x:v>
      </x:c>
      <x:c r="B535" s="13" t="str">
        <x:v>MB1-0627</x:v>
      </x:c>
      <x:c r="C535" s="14" t="str">
        <x:v>Monogram Fleur I</x:v>
      </x:c>
      <x:c r="D535" s="14" t="str">
        <x:v>family &amp; name</x:v>
      </x:c>
      <x:c r="E535" s="14" t="str">
        <x:v>https://res.cloudinary.com/oxygre42/image/upload/f_auto,q_auto,c_pad,b_white,w_1200,h_1200/v1788349771/0627_Monogram_Fleur_I.png</x:v>
      </x:c>
      <x:c r="F535" s="14" t="str"/>
      <x:c r="G535" s="14" t="str">
        <x:v>Lifestyle</x:v>
      </x:c>
      <x:c r="H535" s="14" t="str"/>
      <x:c r="I535" s="14" t="str">
        <x:v>Detail</x:v>
      </x:c>
      <x:c r="J535" s="14" t="str"/>
      <x:c r="K535" s="14" t="str">
        <x:v>Scale</x:v>
      </x:c>
      <x:c r="L535" s="14" t="str"/>
      <x:c r="M535" s="14" t="str">
        <x:v>Alternate</x:v>
      </x:c>
      <x:c r="N535" s="14" t="n">
        <x:f>IF(E535&lt;&gt;"",1,0)+IF(F535&lt;&gt;"",1,0)+IF(H535&lt;&gt;"",1,0)+IF(J535&lt;&gt;"",1,0)+IF(L535&lt;&gt;"",1,0)</x:f>
        <x:v>1</x:v>
      </x:c>
      <x:c r="O535" s="14" t="str">
        <x:f>IF(E535="","MISSING MAIN",IF(N535=1,"MAIN ONLY","MULTI-PHOTO"))</x:f>
        <x:v>MAIN ONLY</x:v>
      </x:c>
      <x:c r="P535" s="14" t="str">
        <x:v>0627_</x:v>
      </x:c>
      <x:c r="Q535" s="14" t="str">
        <x:v>https://mb1advancedsolutions.github.io/mb1-catalog/index.html?design=0627</x:v>
      </x:c>
      <x:c r="R535" s="14" t="str"/>
    </x:row>
    <x:row r="536">
      <x:c r="A536" s="13" t="str">
        <x:v>MB1-0628</x:v>
      </x:c>
      <x:c r="B536" s="13" t="str">
        <x:v>MB1-0628</x:v>
      </x:c>
      <x:c r="C536" s="14" t="str">
        <x:v>Monogram Fleur J</x:v>
      </x:c>
      <x:c r="D536" s="14" t="str">
        <x:v>family &amp; name</x:v>
      </x:c>
      <x:c r="E536" s="14" t="str">
        <x:v>https://res.cloudinary.com/oxygre42/image/upload/f_auto,q_auto,c_pad,b_white,w_1200,h_1200/v1788349773/0628_Monogram_Fleur_J.png</x:v>
      </x:c>
      <x:c r="F536" s="14" t="str"/>
      <x:c r="G536" s="14" t="str">
        <x:v>Lifestyle</x:v>
      </x:c>
      <x:c r="H536" s="14" t="str"/>
      <x:c r="I536" s="14" t="str">
        <x:v>Detail</x:v>
      </x:c>
      <x:c r="J536" s="14" t="str"/>
      <x:c r="K536" s="14" t="str">
        <x:v>Scale</x:v>
      </x:c>
      <x:c r="L536" s="14" t="str"/>
      <x:c r="M536" s="14" t="str">
        <x:v>Alternate</x:v>
      </x:c>
      <x:c r="N536" s="14" t="n">
        <x:f>IF(E536&lt;&gt;"",1,0)+IF(F536&lt;&gt;"",1,0)+IF(H536&lt;&gt;"",1,0)+IF(J536&lt;&gt;"",1,0)+IF(L536&lt;&gt;"",1,0)</x:f>
        <x:v>1</x:v>
      </x:c>
      <x:c r="O536" s="14" t="str">
        <x:f>IF(E536="","MISSING MAIN",IF(N536=1,"MAIN ONLY","MULTI-PHOTO"))</x:f>
        <x:v>MAIN ONLY</x:v>
      </x:c>
      <x:c r="P536" s="14" t="str">
        <x:v>0628_</x:v>
      </x:c>
      <x:c r="Q536" s="14" t="str">
        <x:v>https://mb1advancedsolutions.github.io/mb1-catalog/index.html?design=0628</x:v>
      </x:c>
      <x:c r="R536" s="14" t="str"/>
    </x:row>
    <x:row r="537">
      <x:c r="A537" s="13" t="str">
        <x:v>MB1-0629</x:v>
      </x:c>
      <x:c r="B537" s="13" t="str">
        <x:v>MB1-0629</x:v>
      </x:c>
      <x:c r="C537" s="14" t="str">
        <x:v>Monogram Fleur K</x:v>
      </x:c>
      <x:c r="D537" s="14" t="str">
        <x:v>family &amp; name</x:v>
      </x:c>
      <x:c r="E537" s="14" t="str">
        <x:v>https://res.cloudinary.com/oxygre42/image/upload/f_auto,q_auto,c_pad,b_white,w_1200,h_1200/v1788349774/0629_Monogram_Fleur_K.png</x:v>
      </x:c>
      <x:c r="F537" s="14" t="str"/>
      <x:c r="G537" s="14" t="str">
        <x:v>Lifestyle</x:v>
      </x:c>
      <x:c r="H537" s="14" t="str"/>
      <x:c r="I537" s="14" t="str">
        <x:v>Detail</x:v>
      </x:c>
      <x:c r="J537" s="14" t="str"/>
      <x:c r="K537" s="14" t="str">
        <x:v>Scale</x:v>
      </x:c>
      <x:c r="L537" s="14" t="str"/>
      <x:c r="M537" s="14" t="str">
        <x:v>Alternate</x:v>
      </x:c>
      <x:c r="N537" s="14" t="n">
        <x:f>IF(E537&lt;&gt;"",1,0)+IF(F537&lt;&gt;"",1,0)+IF(H537&lt;&gt;"",1,0)+IF(J537&lt;&gt;"",1,0)+IF(L537&lt;&gt;"",1,0)</x:f>
        <x:v>1</x:v>
      </x:c>
      <x:c r="O537" s="14" t="str">
        <x:f>IF(E537="","MISSING MAIN",IF(N537=1,"MAIN ONLY","MULTI-PHOTO"))</x:f>
        <x:v>MAIN ONLY</x:v>
      </x:c>
      <x:c r="P537" s="14" t="str">
        <x:v>0629_</x:v>
      </x:c>
      <x:c r="Q537" s="14" t="str">
        <x:v>https://mb1advancedsolutions.github.io/mb1-catalog/index.html?design=0629</x:v>
      </x:c>
      <x:c r="R537" s="14" t="str"/>
    </x:row>
    <x:row r="538">
      <x:c r="A538" s="13" t="str">
        <x:v>MB1-0630</x:v>
      </x:c>
      <x:c r="B538" s="13" t="str">
        <x:v>MB1-0630</x:v>
      </x:c>
      <x:c r="C538" s="14" t="str">
        <x:v>Monogram Fleur L</x:v>
      </x:c>
      <x:c r="D538" s="14" t="str">
        <x:v>family &amp; name</x:v>
      </x:c>
      <x:c r="E538" s="14" t="str">
        <x:v>https://res.cloudinary.com/oxygre42/image/upload/f_auto,q_auto,c_pad,b_white,w_1200,h_1200/v1788349776/0630_Monogram_Fleur_L.png</x:v>
      </x:c>
      <x:c r="F538" s="14" t="str"/>
      <x:c r="G538" s="14" t="str">
        <x:v>Lifestyle</x:v>
      </x:c>
      <x:c r="H538" s="14" t="str"/>
      <x:c r="I538" s="14" t="str">
        <x:v>Detail</x:v>
      </x:c>
      <x:c r="J538" s="14" t="str"/>
      <x:c r="K538" s="14" t="str">
        <x:v>Scale</x:v>
      </x:c>
      <x:c r="L538" s="14" t="str"/>
      <x:c r="M538" s="14" t="str">
        <x:v>Alternate</x:v>
      </x:c>
      <x:c r="N538" s="14" t="n">
        <x:f>IF(E538&lt;&gt;"",1,0)+IF(F538&lt;&gt;"",1,0)+IF(H538&lt;&gt;"",1,0)+IF(J538&lt;&gt;"",1,0)+IF(L538&lt;&gt;"",1,0)</x:f>
        <x:v>1</x:v>
      </x:c>
      <x:c r="O538" s="14" t="str">
        <x:f>IF(E538="","MISSING MAIN",IF(N538=1,"MAIN ONLY","MULTI-PHOTO"))</x:f>
        <x:v>MAIN ONLY</x:v>
      </x:c>
      <x:c r="P538" s="14" t="str">
        <x:v>0630_</x:v>
      </x:c>
      <x:c r="Q538" s="14" t="str">
        <x:v>https://mb1advancedsolutions.github.io/mb1-catalog/index.html?design=0630</x:v>
      </x:c>
      <x:c r="R538" s="14" t="str"/>
    </x:row>
    <x:row r="539">
      <x:c r="A539" s="13" t="str">
        <x:v>MB1-0631</x:v>
      </x:c>
      <x:c r="B539" s="13" t="str">
        <x:v>MB1-0631</x:v>
      </x:c>
      <x:c r="C539" s="14" t="str">
        <x:v>Monogram Fleur M</x:v>
      </x:c>
      <x:c r="D539" s="14" t="str">
        <x:v>family &amp; name</x:v>
      </x:c>
      <x:c r="E539" s="14" t="str">
        <x:v>https://res.cloudinary.com/oxygre42/image/upload/f_auto,q_auto,c_pad,b_white,w_1200,h_1200/v1788349778/0631_Monogram_Fleur_M.png</x:v>
      </x:c>
      <x:c r="F539" s="14" t="str"/>
      <x:c r="G539" s="14" t="str">
        <x:v>Lifestyle</x:v>
      </x:c>
      <x:c r="H539" s="14" t="str"/>
      <x:c r="I539" s="14" t="str">
        <x:v>Detail</x:v>
      </x:c>
      <x:c r="J539" s="14" t="str"/>
      <x:c r="K539" s="14" t="str">
        <x:v>Scale</x:v>
      </x:c>
      <x:c r="L539" s="14" t="str"/>
      <x:c r="M539" s="14" t="str">
        <x:v>Alternate</x:v>
      </x:c>
      <x:c r="N539" s="14" t="n">
        <x:f>IF(E539&lt;&gt;"",1,0)+IF(F539&lt;&gt;"",1,0)+IF(H539&lt;&gt;"",1,0)+IF(J539&lt;&gt;"",1,0)+IF(L539&lt;&gt;"",1,0)</x:f>
        <x:v>1</x:v>
      </x:c>
      <x:c r="O539" s="14" t="str">
        <x:f>IF(E539="","MISSING MAIN",IF(N539=1,"MAIN ONLY","MULTI-PHOTO"))</x:f>
        <x:v>MAIN ONLY</x:v>
      </x:c>
      <x:c r="P539" s="14" t="str">
        <x:v>0631_</x:v>
      </x:c>
      <x:c r="Q539" s="14" t="str">
        <x:v>https://mb1advancedsolutions.github.io/mb1-catalog/index.html?design=0631</x:v>
      </x:c>
      <x:c r="R539" s="14" t="str"/>
    </x:row>
    <x:row r="540">
      <x:c r="A540" s="13" t="str">
        <x:v>MB1-0632</x:v>
      </x:c>
      <x:c r="B540" s="13" t="str">
        <x:v>MB1-0632</x:v>
      </x:c>
      <x:c r="C540" s="14" t="str">
        <x:v>Monogram Fleur N</x:v>
      </x:c>
      <x:c r="D540" s="14" t="str">
        <x:v>family &amp; name</x:v>
      </x:c>
      <x:c r="E540" s="14" t="str">
        <x:v>https://res.cloudinary.com/oxygre42/image/upload/f_auto,q_auto,c_pad,b_white,w_1200,h_1200/v1788349782/0632_Monogram_Fleur_N.png</x:v>
      </x:c>
      <x:c r="F540" s="14" t="str"/>
      <x:c r="G540" s="14" t="str">
        <x:v>Lifestyle</x:v>
      </x:c>
      <x:c r="H540" s="14" t="str"/>
      <x:c r="I540" s="14" t="str">
        <x:v>Detail</x:v>
      </x:c>
      <x:c r="J540" s="14" t="str"/>
      <x:c r="K540" s="14" t="str">
        <x:v>Scale</x:v>
      </x:c>
      <x:c r="L540" s="14" t="str"/>
      <x:c r="M540" s="14" t="str">
        <x:v>Alternate</x:v>
      </x:c>
      <x:c r="N540" s="14" t="n">
        <x:f>IF(E540&lt;&gt;"",1,0)+IF(F540&lt;&gt;"",1,0)+IF(H540&lt;&gt;"",1,0)+IF(J540&lt;&gt;"",1,0)+IF(L540&lt;&gt;"",1,0)</x:f>
        <x:v>1</x:v>
      </x:c>
      <x:c r="O540" s="14" t="str">
        <x:f>IF(E540="","MISSING MAIN",IF(N540=1,"MAIN ONLY","MULTI-PHOTO"))</x:f>
        <x:v>MAIN ONLY</x:v>
      </x:c>
      <x:c r="P540" s="14" t="str">
        <x:v>0632_</x:v>
      </x:c>
      <x:c r="Q540" s="14" t="str">
        <x:v>https://mb1advancedsolutions.github.io/mb1-catalog/index.html?design=0632</x:v>
      </x:c>
      <x:c r="R540" s="14" t="str"/>
    </x:row>
    <x:row r="541">
      <x:c r="A541" s="13" t="str">
        <x:v>MB1-0633</x:v>
      </x:c>
      <x:c r="B541" s="13" t="str">
        <x:v>MB1-0633</x:v>
      </x:c>
      <x:c r="C541" s="14" t="str">
        <x:v>Monogram Fleur O</x:v>
      </x:c>
      <x:c r="D541" s="14" t="str">
        <x:v>family &amp; name</x:v>
      </x:c>
      <x:c r="E541" s="14" t="str">
        <x:v>https://res.cloudinary.com/oxygre42/image/upload/f_auto,q_auto,c_pad,b_white,w_1200,h_1200/v1788349782/0633_Monogram_Fleur_O.png</x:v>
      </x:c>
      <x:c r="F541" s="14" t="str"/>
      <x:c r="G541" s="14" t="str">
        <x:v>Lifestyle</x:v>
      </x:c>
      <x:c r="H541" s="14" t="str"/>
      <x:c r="I541" s="14" t="str">
        <x:v>Detail</x:v>
      </x:c>
      <x:c r="J541" s="14" t="str"/>
      <x:c r="K541" s="14" t="str">
        <x:v>Scale</x:v>
      </x:c>
      <x:c r="L541" s="14" t="str"/>
      <x:c r="M541" s="14" t="str">
        <x:v>Alternate</x:v>
      </x:c>
      <x:c r="N541" s="14" t="n">
        <x:f>IF(E541&lt;&gt;"",1,0)+IF(F541&lt;&gt;"",1,0)+IF(H541&lt;&gt;"",1,0)+IF(J541&lt;&gt;"",1,0)+IF(L541&lt;&gt;"",1,0)</x:f>
        <x:v>1</x:v>
      </x:c>
      <x:c r="O541" s="14" t="str">
        <x:f>IF(E541="","MISSING MAIN",IF(N541=1,"MAIN ONLY","MULTI-PHOTO"))</x:f>
        <x:v>MAIN ONLY</x:v>
      </x:c>
      <x:c r="P541" s="14" t="str">
        <x:v>0633_</x:v>
      </x:c>
      <x:c r="Q541" s="14" t="str">
        <x:v>https://mb1advancedsolutions.github.io/mb1-catalog/index.html?design=0633</x:v>
      </x:c>
      <x:c r="R541" s="14" t="str"/>
    </x:row>
    <x:row r="542">
      <x:c r="A542" s="13" t="str">
        <x:v>MB1-0634</x:v>
      </x:c>
      <x:c r="B542" s="13" t="str">
        <x:v>MB1-0634</x:v>
      </x:c>
      <x:c r="C542" s="14" t="str">
        <x:v>Monogram Fleur P</x:v>
      </x:c>
      <x:c r="D542" s="14" t="str">
        <x:v>family &amp; name</x:v>
      </x:c>
      <x:c r="E542" s="14" t="str">
        <x:v>https://res.cloudinary.com/oxygre42/image/upload/f_auto,q_auto,c_pad,b_white,w_1200,h_1200/v1788349784/0634_Monogram_Fleur_P.png</x:v>
      </x:c>
      <x:c r="F542" s="14" t="str"/>
      <x:c r="G542" s="14" t="str">
        <x:v>Lifestyle</x:v>
      </x:c>
      <x:c r="H542" s="14" t="str"/>
      <x:c r="I542" s="14" t="str">
        <x:v>Detail</x:v>
      </x:c>
      <x:c r="J542" s="14" t="str"/>
      <x:c r="K542" s="14" t="str">
        <x:v>Scale</x:v>
      </x:c>
      <x:c r="L542" s="14" t="str"/>
      <x:c r="M542" s="14" t="str">
        <x:v>Alternate</x:v>
      </x:c>
      <x:c r="N542" s="14" t="n">
        <x:f>IF(E542&lt;&gt;"",1,0)+IF(F542&lt;&gt;"",1,0)+IF(H542&lt;&gt;"",1,0)+IF(J542&lt;&gt;"",1,0)+IF(L542&lt;&gt;"",1,0)</x:f>
        <x:v>1</x:v>
      </x:c>
      <x:c r="O542" s="14" t="str">
        <x:f>IF(E542="","MISSING MAIN",IF(N542=1,"MAIN ONLY","MULTI-PHOTO"))</x:f>
        <x:v>MAIN ONLY</x:v>
      </x:c>
      <x:c r="P542" s="14" t="str">
        <x:v>0634_</x:v>
      </x:c>
      <x:c r="Q542" s="14" t="str">
        <x:v>https://mb1advancedsolutions.github.io/mb1-catalog/index.html?design=0634</x:v>
      </x:c>
      <x:c r="R542" s="14" t="str"/>
    </x:row>
    <x:row r="543">
      <x:c r="A543" s="13" t="str">
        <x:v>MB1-0635</x:v>
      </x:c>
      <x:c r="B543" s="13" t="str">
        <x:v>MB1-0635</x:v>
      </x:c>
      <x:c r="C543" s="14" t="str">
        <x:v>Monogram Fleur Q</x:v>
      </x:c>
      <x:c r="D543" s="14" t="str">
        <x:v>family &amp; name</x:v>
      </x:c>
      <x:c r="E543" s="14" t="str">
        <x:v>https://res.cloudinary.com/oxygre42/image/upload/f_auto,q_auto,c_pad,b_white,w_1200,h_1200/v1788349786/0635_Monogram_Fleur_Q.png</x:v>
      </x:c>
      <x:c r="F543" s="14" t="str"/>
      <x:c r="G543" s="14" t="str">
        <x:v>Lifestyle</x:v>
      </x:c>
      <x:c r="H543" s="14" t="str"/>
      <x:c r="I543" s="14" t="str">
        <x:v>Detail</x:v>
      </x:c>
      <x:c r="J543" s="14" t="str"/>
      <x:c r="K543" s="14" t="str">
        <x:v>Scale</x:v>
      </x:c>
      <x:c r="L543" s="14" t="str"/>
      <x:c r="M543" s="14" t="str">
        <x:v>Alternate</x:v>
      </x:c>
      <x:c r="N543" s="14" t="n">
        <x:f>IF(E543&lt;&gt;"",1,0)+IF(F543&lt;&gt;"",1,0)+IF(H543&lt;&gt;"",1,0)+IF(J543&lt;&gt;"",1,0)+IF(L543&lt;&gt;"",1,0)</x:f>
        <x:v>1</x:v>
      </x:c>
      <x:c r="O543" s="14" t="str">
        <x:f>IF(E543="","MISSING MAIN",IF(N543=1,"MAIN ONLY","MULTI-PHOTO"))</x:f>
        <x:v>MAIN ONLY</x:v>
      </x:c>
      <x:c r="P543" s="14" t="str">
        <x:v>0635_</x:v>
      </x:c>
      <x:c r="Q543" s="14" t="str">
        <x:v>https://mb1advancedsolutions.github.io/mb1-catalog/index.html?design=0635</x:v>
      </x:c>
      <x:c r="R543" s="14" t="str"/>
    </x:row>
    <x:row r="544">
      <x:c r="A544" s="13" t="str">
        <x:v>MB1-0636</x:v>
      </x:c>
      <x:c r="B544" s="13" t="str">
        <x:v>MB1-0636</x:v>
      </x:c>
      <x:c r="C544" s="14" t="str">
        <x:v>Monogram Fleur R</x:v>
      </x:c>
      <x:c r="D544" s="14" t="str">
        <x:v>family &amp; name</x:v>
      </x:c>
      <x:c r="E544" s="14" t="str">
        <x:v>https://res.cloudinary.com/oxygre42/image/upload/f_auto,q_auto,c_pad,b_white,w_1200,h_1200/v1788349788/0636_Monogram_Fleur_R.png</x:v>
      </x:c>
      <x:c r="F544" s="14" t="str"/>
      <x:c r="G544" s="14" t="str">
        <x:v>Lifestyle</x:v>
      </x:c>
      <x:c r="H544" s="14" t="str"/>
      <x:c r="I544" s="14" t="str">
        <x:v>Detail</x:v>
      </x:c>
      <x:c r="J544" s="14" t="str"/>
      <x:c r="K544" s="14" t="str">
        <x:v>Scale</x:v>
      </x:c>
      <x:c r="L544" s="14" t="str"/>
      <x:c r="M544" s="14" t="str">
        <x:v>Alternate</x:v>
      </x:c>
      <x:c r="N544" s="14" t="n">
        <x:f>IF(E544&lt;&gt;"",1,0)+IF(F544&lt;&gt;"",1,0)+IF(H544&lt;&gt;"",1,0)+IF(J544&lt;&gt;"",1,0)+IF(L544&lt;&gt;"",1,0)</x:f>
        <x:v>1</x:v>
      </x:c>
      <x:c r="O544" s="14" t="str">
        <x:f>IF(E544="","MISSING MAIN",IF(N544=1,"MAIN ONLY","MULTI-PHOTO"))</x:f>
        <x:v>MAIN ONLY</x:v>
      </x:c>
      <x:c r="P544" s="14" t="str">
        <x:v>0636_</x:v>
      </x:c>
      <x:c r="Q544" s="14" t="str">
        <x:v>https://mb1advancedsolutions.github.io/mb1-catalog/index.html?design=0636</x:v>
      </x:c>
      <x:c r="R544" s="14" t="str"/>
    </x:row>
    <x:row r="545">
      <x:c r="A545" s="13" t="str">
        <x:v>MB1-0637</x:v>
      </x:c>
      <x:c r="B545" s="13" t="str">
        <x:v>MB1-0637</x:v>
      </x:c>
      <x:c r="C545" s="14" t="str">
        <x:v>Monogram Fleur S</x:v>
      </x:c>
      <x:c r="D545" s="14" t="str">
        <x:v>family &amp; name</x:v>
      </x:c>
      <x:c r="E545" s="14" t="str">
        <x:v>https://res.cloudinary.com/oxygre42/image/upload/f_auto,q_auto,c_pad,b_white,w_1200,h_1200/v1788349789/0637_Monogram_Fleur_S.png</x:v>
      </x:c>
      <x:c r="F545" s="14" t="str"/>
      <x:c r="G545" s="14" t="str">
        <x:v>Lifestyle</x:v>
      </x:c>
      <x:c r="H545" s="14" t="str"/>
      <x:c r="I545" s="14" t="str">
        <x:v>Detail</x:v>
      </x:c>
      <x:c r="J545" s="14" t="str"/>
      <x:c r="K545" s="14" t="str">
        <x:v>Scale</x:v>
      </x:c>
      <x:c r="L545" s="14" t="str"/>
      <x:c r="M545" s="14" t="str">
        <x:v>Alternate</x:v>
      </x:c>
      <x:c r="N545" s="14" t="n">
        <x:f>IF(E545&lt;&gt;"",1,0)+IF(F545&lt;&gt;"",1,0)+IF(H545&lt;&gt;"",1,0)+IF(J545&lt;&gt;"",1,0)+IF(L545&lt;&gt;"",1,0)</x:f>
        <x:v>1</x:v>
      </x:c>
      <x:c r="O545" s="14" t="str">
        <x:f>IF(E545="","MISSING MAIN",IF(N545=1,"MAIN ONLY","MULTI-PHOTO"))</x:f>
        <x:v>MAIN ONLY</x:v>
      </x:c>
      <x:c r="P545" s="14" t="str">
        <x:v>0637_</x:v>
      </x:c>
      <x:c r="Q545" s="14" t="str">
        <x:v>https://mb1advancedsolutions.github.io/mb1-catalog/index.html?design=0637</x:v>
      </x:c>
      <x:c r="R545" s="14" t="str"/>
    </x:row>
    <x:row r="546">
      <x:c r="A546" s="13" t="str">
        <x:v>MB1-0638</x:v>
      </x:c>
      <x:c r="B546" s="13" t="str">
        <x:v>MB1-0638</x:v>
      </x:c>
      <x:c r="C546" s="14" t="str">
        <x:v>Monogram Fleur T</x:v>
      </x:c>
      <x:c r="D546" s="14" t="str">
        <x:v>family &amp; name</x:v>
      </x:c>
      <x:c r="E546" s="14" t="str">
        <x:v>https://res.cloudinary.com/oxygre42/image/upload/f_auto,q_auto,c_pad,b_white,w_1200,h_1200/v1788349791/0638_Monogram_Fleur_T.png</x:v>
      </x:c>
      <x:c r="F546" s="14" t="str"/>
      <x:c r="G546" s="14" t="str">
        <x:v>Lifestyle</x:v>
      </x:c>
      <x:c r="H546" s="14" t="str"/>
      <x:c r="I546" s="14" t="str">
        <x:v>Detail</x:v>
      </x:c>
      <x:c r="J546" s="14" t="str"/>
      <x:c r="K546" s="14" t="str">
        <x:v>Scale</x:v>
      </x:c>
      <x:c r="L546" s="14" t="str"/>
      <x:c r="M546" s="14" t="str">
        <x:v>Alternate</x:v>
      </x:c>
      <x:c r="N546" s="14" t="n">
        <x:f>IF(E546&lt;&gt;"",1,0)+IF(F546&lt;&gt;"",1,0)+IF(H546&lt;&gt;"",1,0)+IF(J546&lt;&gt;"",1,0)+IF(L546&lt;&gt;"",1,0)</x:f>
        <x:v>1</x:v>
      </x:c>
      <x:c r="O546" s="14" t="str">
        <x:f>IF(E546="","MISSING MAIN",IF(N546=1,"MAIN ONLY","MULTI-PHOTO"))</x:f>
        <x:v>MAIN ONLY</x:v>
      </x:c>
      <x:c r="P546" s="14" t="str">
        <x:v>0638_</x:v>
      </x:c>
      <x:c r="Q546" s="14" t="str">
        <x:v>https://mb1advancedsolutions.github.io/mb1-catalog/index.html?design=0638</x:v>
      </x:c>
      <x:c r="R546" s="14" t="str"/>
    </x:row>
    <x:row r="547">
      <x:c r="A547" s="13" t="str">
        <x:v>MB1-0639</x:v>
      </x:c>
      <x:c r="B547" s="13" t="str">
        <x:v>MB1-0639</x:v>
      </x:c>
      <x:c r="C547" s="14" t="str">
        <x:v>Monogram Fleur U</x:v>
      </x:c>
      <x:c r="D547" s="14" t="str">
        <x:v>family &amp; name</x:v>
      </x:c>
      <x:c r="E547" s="14" t="str">
        <x:v>https://res.cloudinary.com/oxygre42/image/upload/f_auto,q_auto,c_pad,b_white,w_1200,h_1200/v1788349793/0639_Monogram_Fleur_U.png</x:v>
      </x:c>
      <x:c r="F547" s="14" t="str"/>
      <x:c r="G547" s="14" t="str">
        <x:v>Lifestyle</x:v>
      </x:c>
      <x:c r="H547" s="14" t="str"/>
      <x:c r="I547" s="14" t="str">
        <x:v>Detail</x:v>
      </x:c>
      <x:c r="J547" s="14" t="str"/>
      <x:c r="K547" s="14" t="str">
        <x:v>Scale</x:v>
      </x:c>
      <x:c r="L547" s="14" t="str"/>
      <x:c r="M547" s="14" t="str">
        <x:v>Alternate</x:v>
      </x:c>
      <x:c r="N547" s="14" t="n">
        <x:f>IF(E547&lt;&gt;"",1,0)+IF(F547&lt;&gt;"",1,0)+IF(H547&lt;&gt;"",1,0)+IF(J547&lt;&gt;"",1,0)+IF(L547&lt;&gt;"",1,0)</x:f>
        <x:v>1</x:v>
      </x:c>
      <x:c r="O547" s="14" t="str">
        <x:f>IF(E547="","MISSING MAIN",IF(N547=1,"MAIN ONLY","MULTI-PHOTO"))</x:f>
        <x:v>MAIN ONLY</x:v>
      </x:c>
      <x:c r="P547" s="14" t="str">
        <x:v>0639_</x:v>
      </x:c>
      <x:c r="Q547" s="14" t="str">
        <x:v>https://mb1advancedsolutions.github.io/mb1-catalog/index.html?design=0639</x:v>
      </x:c>
      <x:c r="R547" s="14" t="str"/>
    </x:row>
    <x:row r="548">
      <x:c r="A548" s="13" t="str">
        <x:v>MB1-0640</x:v>
      </x:c>
      <x:c r="B548" s="13" t="str">
        <x:v>MB1-0640</x:v>
      </x:c>
      <x:c r="C548" s="14" t="str">
        <x:v>Monogram Fleur V</x:v>
      </x:c>
      <x:c r="D548" s="14" t="str">
        <x:v>family &amp; name</x:v>
      </x:c>
      <x:c r="E548" s="14" t="str">
        <x:v>https://res.cloudinary.com/oxygre42/image/upload/f_auto,q_auto,c_pad,b_white,w_1200,h_1200/v1788349795/0640_Monogram_Fleur_V.png</x:v>
      </x:c>
      <x:c r="F548" s="14" t="str"/>
      <x:c r="G548" s="14" t="str">
        <x:v>Lifestyle</x:v>
      </x:c>
      <x:c r="H548" s="14" t="str"/>
      <x:c r="I548" s="14" t="str">
        <x:v>Detail</x:v>
      </x:c>
      <x:c r="J548" s="14" t="str"/>
      <x:c r="K548" s="14" t="str">
        <x:v>Scale</x:v>
      </x:c>
      <x:c r="L548" s="14" t="str"/>
      <x:c r="M548" s="14" t="str">
        <x:v>Alternate</x:v>
      </x:c>
      <x:c r="N548" s="14" t="n">
        <x:f>IF(E548&lt;&gt;"",1,0)+IF(F548&lt;&gt;"",1,0)+IF(H548&lt;&gt;"",1,0)+IF(J548&lt;&gt;"",1,0)+IF(L548&lt;&gt;"",1,0)</x:f>
        <x:v>1</x:v>
      </x:c>
      <x:c r="O548" s="14" t="str">
        <x:f>IF(E548="","MISSING MAIN",IF(N548=1,"MAIN ONLY","MULTI-PHOTO"))</x:f>
        <x:v>MAIN ONLY</x:v>
      </x:c>
      <x:c r="P548" s="14" t="str">
        <x:v>0640_</x:v>
      </x:c>
      <x:c r="Q548" s="14" t="str">
        <x:v>https://mb1advancedsolutions.github.io/mb1-catalog/index.html?design=0640</x:v>
      </x:c>
      <x:c r="R548" s="14" t="str"/>
    </x:row>
    <x:row r="549">
      <x:c r="A549" s="13" t="str">
        <x:v>MB1-0641</x:v>
      </x:c>
      <x:c r="B549" s="13" t="str">
        <x:v>MB1-0641</x:v>
      </x:c>
      <x:c r="C549" s="14" t="str">
        <x:v>Monogram Fleur W</x:v>
      </x:c>
      <x:c r="D549" s="14" t="str">
        <x:v>family &amp; name</x:v>
      </x:c>
      <x:c r="E549" s="14" t="str">
        <x:v>https://res.cloudinary.com/oxygre42/image/upload/f_auto,q_auto,c_pad,b_white,w_1200,h_1200/v1788349797/0641_Monogram_Fleur_W.png</x:v>
      </x:c>
      <x:c r="F549" s="14" t="str"/>
      <x:c r="G549" s="14" t="str">
        <x:v>Lifestyle</x:v>
      </x:c>
      <x:c r="H549" s="14" t="str"/>
      <x:c r="I549" s="14" t="str">
        <x:v>Detail</x:v>
      </x:c>
      <x:c r="J549" s="14" t="str"/>
      <x:c r="K549" s="14" t="str">
        <x:v>Scale</x:v>
      </x:c>
      <x:c r="L549" s="14" t="str"/>
      <x:c r="M549" s="14" t="str">
        <x:v>Alternate</x:v>
      </x:c>
      <x:c r="N549" s="14" t="n">
        <x:f>IF(E549&lt;&gt;"",1,0)+IF(F549&lt;&gt;"",1,0)+IF(H549&lt;&gt;"",1,0)+IF(J549&lt;&gt;"",1,0)+IF(L549&lt;&gt;"",1,0)</x:f>
        <x:v>1</x:v>
      </x:c>
      <x:c r="O549" s="14" t="str">
        <x:f>IF(E549="","MISSING MAIN",IF(N549=1,"MAIN ONLY","MULTI-PHOTO"))</x:f>
        <x:v>MAIN ONLY</x:v>
      </x:c>
      <x:c r="P549" s="14" t="str">
        <x:v>0641_</x:v>
      </x:c>
      <x:c r="Q549" s="14" t="str">
        <x:v>https://mb1advancedsolutions.github.io/mb1-catalog/index.html?design=0641</x:v>
      </x:c>
      <x:c r="R549" s="14" t="str"/>
    </x:row>
    <x:row r="550">
      <x:c r="A550" s="13" t="str">
        <x:v>MB1-0642</x:v>
      </x:c>
      <x:c r="B550" s="13" t="str">
        <x:v>MB1-0642</x:v>
      </x:c>
      <x:c r="C550" s="14" t="str">
        <x:v>Monogram Fleur X</x:v>
      </x:c>
      <x:c r="D550" s="14" t="str">
        <x:v>family &amp; name</x:v>
      </x:c>
      <x:c r="E550" s="14" t="str">
        <x:v>https://res.cloudinary.com/oxygre42/image/upload/f_auto,q_auto,c_pad,b_white,w_1200,h_1200/v1788349799/0642_Monogram_Fleur_X.png</x:v>
      </x:c>
      <x:c r="F550" s="14" t="str"/>
      <x:c r="G550" s="14" t="str">
        <x:v>Lifestyle</x:v>
      </x:c>
      <x:c r="H550" s="14" t="str"/>
      <x:c r="I550" s="14" t="str">
        <x:v>Detail</x:v>
      </x:c>
      <x:c r="J550" s="14" t="str"/>
      <x:c r="K550" s="14" t="str">
        <x:v>Scale</x:v>
      </x:c>
      <x:c r="L550" s="14" t="str"/>
      <x:c r="M550" s="14" t="str">
        <x:v>Alternate</x:v>
      </x:c>
      <x:c r="N550" s="14" t="n">
        <x:f>IF(E550&lt;&gt;"",1,0)+IF(F550&lt;&gt;"",1,0)+IF(H550&lt;&gt;"",1,0)+IF(J550&lt;&gt;"",1,0)+IF(L550&lt;&gt;"",1,0)</x:f>
        <x:v>1</x:v>
      </x:c>
      <x:c r="O550" s="14" t="str">
        <x:f>IF(E550="","MISSING MAIN",IF(N550=1,"MAIN ONLY","MULTI-PHOTO"))</x:f>
        <x:v>MAIN ONLY</x:v>
      </x:c>
      <x:c r="P550" s="14" t="str">
        <x:v>0642_</x:v>
      </x:c>
      <x:c r="Q550" s="14" t="str">
        <x:v>https://mb1advancedsolutions.github.io/mb1-catalog/index.html?design=0642</x:v>
      </x:c>
      <x:c r="R550" s="14" t="str"/>
    </x:row>
    <x:row r="551">
      <x:c r="A551" s="13" t="str">
        <x:v>MB1-0643</x:v>
      </x:c>
      <x:c r="B551" s="13" t="str">
        <x:v>MB1-0643</x:v>
      </x:c>
      <x:c r="C551" s="14" t="str">
        <x:v>Monogram Fleur Y</x:v>
      </x:c>
      <x:c r="D551" s="14" t="str">
        <x:v>family &amp; name</x:v>
      </x:c>
      <x:c r="E551" s="14" t="str">
        <x:v>https://res.cloudinary.com/oxygre42/image/upload/f_auto,q_auto,c_pad,b_white,w_1200,h_1200/v1788349801/0643_Monogram_Fleur_Y.png</x:v>
      </x:c>
      <x:c r="F551" s="14" t="str"/>
      <x:c r="G551" s="14" t="str">
        <x:v>Lifestyle</x:v>
      </x:c>
      <x:c r="H551" s="14" t="str"/>
      <x:c r="I551" s="14" t="str">
        <x:v>Detail</x:v>
      </x:c>
      <x:c r="J551" s="14" t="str"/>
      <x:c r="K551" s="14" t="str">
        <x:v>Scale</x:v>
      </x:c>
      <x:c r="L551" s="14" t="str"/>
      <x:c r="M551" s="14" t="str">
        <x:v>Alternate</x:v>
      </x:c>
      <x:c r="N551" s="14" t="n">
        <x:f>IF(E551&lt;&gt;"",1,0)+IF(F551&lt;&gt;"",1,0)+IF(H551&lt;&gt;"",1,0)+IF(J551&lt;&gt;"",1,0)+IF(L551&lt;&gt;"",1,0)</x:f>
        <x:v>1</x:v>
      </x:c>
      <x:c r="O551" s="14" t="str">
        <x:f>IF(E551="","MISSING MAIN",IF(N551=1,"MAIN ONLY","MULTI-PHOTO"))</x:f>
        <x:v>MAIN ONLY</x:v>
      </x:c>
      <x:c r="P551" s="14" t="str">
        <x:v>0643_</x:v>
      </x:c>
      <x:c r="Q551" s="14" t="str">
        <x:v>https://mb1advancedsolutions.github.io/mb1-catalog/index.html?design=0643</x:v>
      </x:c>
      <x:c r="R551" s="14" t="str"/>
    </x:row>
    <x:row r="552">
      <x:c r="A552" s="13" t="str">
        <x:v>MB1-0644</x:v>
      </x:c>
      <x:c r="B552" s="13" t="str">
        <x:v>MB1-0644</x:v>
      </x:c>
      <x:c r="C552" s="14" t="str">
        <x:v>Monogram Fleur Z</x:v>
      </x:c>
      <x:c r="D552" s="14" t="str">
        <x:v>family &amp; name</x:v>
      </x:c>
      <x:c r="E552" s="14" t="str">
        <x:v>https://res.cloudinary.com/oxygre42/image/upload/f_auto,q_auto,c_pad,b_white,w_1200,h_1200/v1788349803/0644_Monogram_Fleur_Z.png</x:v>
      </x:c>
      <x:c r="F552" s="14" t="str"/>
      <x:c r="G552" s="14" t="str">
        <x:v>Lifestyle</x:v>
      </x:c>
      <x:c r="H552" s="14" t="str"/>
      <x:c r="I552" s="14" t="str">
        <x:v>Detail</x:v>
      </x:c>
      <x:c r="J552" s="14" t="str"/>
      <x:c r="K552" s="14" t="str">
        <x:v>Scale</x:v>
      </x:c>
      <x:c r="L552" s="14" t="str"/>
      <x:c r="M552" s="14" t="str">
        <x:v>Alternate</x:v>
      </x:c>
      <x:c r="N552" s="14" t="n">
        <x:f>IF(E552&lt;&gt;"",1,0)+IF(F552&lt;&gt;"",1,0)+IF(H552&lt;&gt;"",1,0)+IF(J552&lt;&gt;"",1,0)+IF(L552&lt;&gt;"",1,0)</x:f>
        <x:v>1</x:v>
      </x:c>
      <x:c r="O552" s="14" t="str">
        <x:f>IF(E552="","MISSING MAIN",IF(N552=1,"MAIN ONLY","MULTI-PHOTO"))</x:f>
        <x:v>MAIN ONLY</x:v>
      </x:c>
      <x:c r="P552" s="14" t="str">
        <x:v>0644_</x:v>
      </x:c>
      <x:c r="Q552" s="14" t="str">
        <x:v>https://mb1advancedsolutions.github.io/mb1-catalog/index.html?design=0644</x:v>
      </x:c>
      <x:c r="R552" s="14" t="str"/>
    </x:row>
    <x:row r="553">
      <x:c r="A553" s="13" t="str">
        <x:v>MB1-0645</x:v>
      </x:c>
      <x:c r="B553" s="13" t="str">
        <x:v>MB1-0645</x:v>
      </x:c>
      <x:c r="C553" s="14" t="str">
        <x:v>Script Vine Split Alphabet-A</x:v>
      </x:c>
      <x:c r="D553" s="14" t="str">
        <x:v>family &amp; name</x:v>
      </x:c>
      <x:c r="E553" s="14" t="str">
        <x:v>https://res.cloudinary.com/oxygre42/image/upload/f_auto,q_auto,c_pad,b_white,w_1200,h_1200/v1788349804/0645_Script_Vine_Split_Alphabet-A.png</x:v>
      </x:c>
      <x:c r="F553" s="14" t="str"/>
      <x:c r="G553" s="14" t="str">
        <x:v>Lifestyle</x:v>
      </x:c>
      <x:c r="H553" s="14" t="str"/>
      <x:c r="I553" s="14" t="str">
        <x:v>Detail</x:v>
      </x:c>
      <x:c r="J553" s="14" t="str"/>
      <x:c r="K553" s="14" t="str">
        <x:v>Scale</x:v>
      </x:c>
      <x:c r="L553" s="14" t="str"/>
      <x:c r="M553" s="14" t="str">
        <x:v>Alternate</x:v>
      </x:c>
      <x:c r="N553" s="14" t="n">
        <x:f>IF(E553&lt;&gt;"",1,0)+IF(F553&lt;&gt;"",1,0)+IF(H553&lt;&gt;"",1,0)+IF(J553&lt;&gt;"",1,0)+IF(L553&lt;&gt;"",1,0)</x:f>
        <x:v>1</x:v>
      </x:c>
      <x:c r="O553" s="14" t="str">
        <x:f>IF(E553="","MISSING MAIN",IF(N553=1,"MAIN ONLY","MULTI-PHOTO"))</x:f>
        <x:v>MAIN ONLY</x:v>
      </x:c>
      <x:c r="P553" s="14" t="str">
        <x:v>0645_</x:v>
      </x:c>
      <x:c r="Q553" s="14" t="str">
        <x:v>https://mb1advancedsolutions.github.io/mb1-catalog/index.html?design=0645</x:v>
      </x:c>
      <x:c r="R553" s="14" t="str"/>
    </x:row>
    <x:row r="554">
      <x:c r="A554" s="13" t="str">
        <x:v>MB1-0646</x:v>
      </x:c>
      <x:c r="B554" s="13" t="str">
        <x:v>MB1-0646</x:v>
      </x:c>
      <x:c r="C554" s="14" t="str">
        <x:v>Script Vine Split Alphabet-B</x:v>
      </x:c>
      <x:c r="D554" s="14" t="str">
        <x:v>family &amp; name</x:v>
      </x:c>
      <x:c r="E554" s="14" t="str">
        <x:v>https://res.cloudinary.com/oxygre42/image/upload/f_auto,q_auto,c_pad,b_white,w_1200,h_1200/v1788349806/0646_Script_Vine_Split_Alphabet-B.png</x:v>
      </x:c>
      <x:c r="F554" s="14" t="str"/>
      <x:c r="G554" s="14" t="str">
        <x:v>Lifestyle</x:v>
      </x:c>
      <x:c r="H554" s="14" t="str"/>
      <x:c r="I554" s="14" t="str">
        <x:v>Detail</x:v>
      </x:c>
      <x:c r="J554" s="14" t="str"/>
      <x:c r="K554" s="14" t="str">
        <x:v>Scale</x:v>
      </x:c>
      <x:c r="L554" s="14" t="str"/>
      <x:c r="M554" s="14" t="str">
        <x:v>Alternate</x:v>
      </x:c>
      <x:c r="N554" s="14" t="n">
        <x:f>IF(E554&lt;&gt;"",1,0)+IF(F554&lt;&gt;"",1,0)+IF(H554&lt;&gt;"",1,0)+IF(J554&lt;&gt;"",1,0)+IF(L554&lt;&gt;"",1,0)</x:f>
        <x:v>1</x:v>
      </x:c>
      <x:c r="O554" s="14" t="str">
        <x:f>IF(E554="","MISSING MAIN",IF(N554=1,"MAIN ONLY","MULTI-PHOTO"))</x:f>
        <x:v>MAIN ONLY</x:v>
      </x:c>
      <x:c r="P554" s="14" t="str">
        <x:v>0646_</x:v>
      </x:c>
      <x:c r="Q554" s="14" t="str">
        <x:v>https://mb1advancedsolutions.github.io/mb1-catalog/index.html?design=0646</x:v>
      </x:c>
      <x:c r="R554" s="14" t="str"/>
    </x:row>
    <x:row r="555">
      <x:c r="A555" s="13" t="str">
        <x:v>MB1-0647</x:v>
      </x:c>
      <x:c r="B555" s="13" t="str">
        <x:v>MB1-0647</x:v>
      </x:c>
      <x:c r="C555" s="14" t="str">
        <x:v>Script Vine Split Alphabet-C</x:v>
      </x:c>
      <x:c r="D555" s="14" t="str">
        <x:v>family &amp; name</x:v>
      </x:c>
      <x:c r="E555" s="14" t="str">
        <x:v>https://res.cloudinary.com/oxygre42/image/upload/f_auto,q_auto,c_pad,b_white,w_1200,h_1200/v1788349808/0647_Script_Vine_Split_Alphabet-C.png</x:v>
      </x:c>
      <x:c r="F555" s="14" t="str"/>
      <x:c r="G555" s="14" t="str">
        <x:v>Lifestyle</x:v>
      </x:c>
      <x:c r="H555" s="14" t="str"/>
      <x:c r="I555" s="14" t="str">
        <x:v>Detail</x:v>
      </x:c>
      <x:c r="J555" s="14" t="str"/>
      <x:c r="K555" s="14" t="str">
        <x:v>Scale</x:v>
      </x:c>
      <x:c r="L555" s="14" t="str"/>
      <x:c r="M555" s="14" t="str">
        <x:v>Alternate</x:v>
      </x:c>
      <x:c r="N555" s="14" t="n">
        <x:f>IF(E555&lt;&gt;"",1,0)+IF(F555&lt;&gt;"",1,0)+IF(H555&lt;&gt;"",1,0)+IF(J555&lt;&gt;"",1,0)+IF(L555&lt;&gt;"",1,0)</x:f>
        <x:v>1</x:v>
      </x:c>
      <x:c r="O555" s="14" t="str">
        <x:f>IF(E555="","MISSING MAIN",IF(N555=1,"MAIN ONLY","MULTI-PHOTO"))</x:f>
        <x:v>MAIN ONLY</x:v>
      </x:c>
      <x:c r="P555" s="14" t="str">
        <x:v>0647_</x:v>
      </x:c>
      <x:c r="Q555" s="14" t="str">
        <x:v>https://mb1advancedsolutions.github.io/mb1-catalog/index.html?design=0647</x:v>
      </x:c>
      <x:c r="R555" s="14" t="str"/>
    </x:row>
    <x:row r="556">
      <x:c r="A556" s="13" t="str">
        <x:v>MB1-0648</x:v>
      </x:c>
      <x:c r="B556" s="13" t="str">
        <x:v>MB1-0648</x:v>
      </x:c>
      <x:c r="C556" s="14" t="str">
        <x:v>Script Vine Split Alphabet-D</x:v>
      </x:c>
      <x:c r="D556" s="14" t="str">
        <x:v>family &amp; name</x:v>
      </x:c>
      <x:c r="E556" s="14" t="str">
        <x:v>https://res.cloudinary.com/oxygre42/image/upload/f_auto,q_auto,c_pad,b_white,w_1200,h_1200/v1788349810/0648_Script_Vine_Split_Alphabet-D.png</x:v>
      </x:c>
      <x:c r="F556" s="14" t="str"/>
      <x:c r="G556" s="14" t="str">
        <x:v>Lifestyle</x:v>
      </x:c>
      <x:c r="H556" s="14" t="str"/>
      <x:c r="I556" s="14" t="str">
        <x:v>Detail</x:v>
      </x:c>
      <x:c r="J556" s="14" t="str"/>
      <x:c r="K556" s="14" t="str">
        <x:v>Scale</x:v>
      </x:c>
      <x:c r="L556" s="14" t="str"/>
      <x:c r="M556" s="14" t="str">
        <x:v>Alternate</x:v>
      </x:c>
      <x:c r="N556" s="14" t="n">
        <x:f>IF(E556&lt;&gt;"",1,0)+IF(F556&lt;&gt;"",1,0)+IF(H556&lt;&gt;"",1,0)+IF(J556&lt;&gt;"",1,0)+IF(L556&lt;&gt;"",1,0)</x:f>
        <x:v>1</x:v>
      </x:c>
      <x:c r="O556" s="14" t="str">
        <x:f>IF(E556="","MISSING MAIN",IF(N556=1,"MAIN ONLY","MULTI-PHOTO"))</x:f>
        <x:v>MAIN ONLY</x:v>
      </x:c>
      <x:c r="P556" s="14" t="str">
        <x:v>0648_</x:v>
      </x:c>
      <x:c r="Q556" s="14" t="str">
        <x:v>https://mb1advancedsolutions.github.io/mb1-catalog/index.html?design=0648</x:v>
      </x:c>
      <x:c r="R556" s="14" t="str"/>
    </x:row>
    <x:row r="557">
      <x:c r="A557" s="13" t="str">
        <x:v>MB1-0649</x:v>
      </x:c>
      <x:c r="B557" s="13" t="str">
        <x:v>MB1-0649</x:v>
      </x:c>
      <x:c r="C557" s="14" t="str">
        <x:v>Script Vine Split Alphabet-E</x:v>
      </x:c>
      <x:c r="D557" s="14" t="str">
        <x:v>family &amp; name</x:v>
      </x:c>
      <x:c r="E557" s="14" t="str">
        <x:v>https://res.cloudinary.com/oxygre42/image/upload/f_auto,q_auto,c_pad,b_white,w_1200,h_1200/v1788349812/0649_Script_Vine_Split_Alphabet-E.png</x:v>
      </x:c>
      <x:c r="F557" s="14" t="str"/>
      <x:c r="G557" s="14" t="str">
        <x:v>Lifestyle</x:v>
      </x:c>
      <x:c r="H557" s="14" t="str"/>
      <x:c r="I557" s="14" t="str">
        <x:v>Detail</x:v>
      </x:c>
      <x:c r="J557" s="14" t="str"/>
      <x:c r="K557" s="14" t="str">
        <x:v>Scale</x:v>
      </x:c>
      <x:c r="L557" s="14" t="str"/>
      <x:c r="M557" s="14" t="str">
        <x:v>Alternate</x:v>
      </x:c>
      <x:c r="N557" s="14" t="n">
        <x:f>IF(E557&lt;&gt;"",1,0)+IF(F557&lt;&gt;"",1,0)+IF(H557&lt;&gt;"",1,0)+IF(J557&lt;&gt;"",1,0)+IF(L557&lt;&gt;"",1,0)</x:f>
        <x:v>1</x:v>
      </x:c>
      <x:c r="O557" s="14" t="str">
        <x:f>IF(E557="","MISSING MAIN",IF(N557=1,"MAIN ONLY","MULTI-PHOTO"))</x:f>
        <x:v>MAIN ONLY</x:v>
      </x:c>
      <x:c r="P557" s="14" t="str">
        <x:v>0649_</x:v>
      </x:c>
      <x:c r="Q557" s="14" t="str">
        <x:v>https://mb1advancedsolutions.github.io/mb1-catalog/index.html?design=0649</x:v>
      </x:c>
      <x:c r="R557" s="14" t="str"/>
    </x:row>
    <x:row r="558">
      <x:c r="A558" s="13" t="str">
        <x:v>MB1-0650</x:v>
      </x:c>
      <x:c r="B558" s="13" t="str">
        <x:v>MB1-0650</x:v>
      </x:c>
      <x:c r="C558" s="14" t="str">
        <x:v>Script Vine Split Alphabet-F</x:v>
      </x:c>
      <x:c r="D558" s="14" t="str">
        <x:v>family &amp; name</x:v>
      </x:c>
      <x:c r="E558" s="14" t="str">
        <x:v>https://res.cloudinary.com/oxygre42/image/upload/f_auto,q_auto,c_pad,b_white,w_1200,h_1200/v1788349814/0650_Script_Vine_Split_Alphabet-F.png</x:v>
      </x:c>
      <x:c r="F558" s="14" t="str"/>
      <x:c r="G558" s="14" t="str">
        <x:v>Lifestyle</x:v>
      </x:c>
      <x:c r="H558" s="14" t="str"/>
      <x:c r="I558" s="14" t="str">
        <x:v>Detail</x:v>
      </x:c>
      <x:c r="J558" s="14" t="str"/>
      <x:c r="K558" s="14" t="str">
        <x:v>Scale</x:v>
      </x:c>
      <x:c r="L558" s="14" t="str"/>
      <x:c r="M558" s="14" t="str">
        <x:v>Alternate</x:v>
      </x:c>
      <x:c r="N558" s="14" t="n">
        <x:f>IF(E558&lt;&gt;"",1,0)+IF(F558&lt;&gt;"",1,0)+IF(H558&lt;&gt;"",1,0)+IF(J558&lt;&gt;"",1,0)+IF(L558&lt;&gt;"",1,0)</x:f>
        <x:v>1</x:v>
      </x:c>
      <x:c r="O558" s="14" t="str">
        <x:f>IF(E558="","MISSING MAIN",IF(N558=1,"MAIN ONLY","MULTI-PHOTO"))</x:f>
        <x:v>MAIN ONLY</x:v>
      </x:c>
      <x:c r="P558" s="14" t="str">
        <x:v>0650_</x:v>
      </x:c>
      <x:c r="Q558" s="14" t="str">
        <x:v>https://mb1advancedsolutions.github.io/mb1-catalog/index.html?design=0650</x:v>
      </x:c>
      <x:c r="R558" s="14" t="str"/>
    </x:row>
    <x:row r="559">
      <x:c r="A559" s="13" t="str">
        <x:v>MB1-0651</x:v>
      </x:c>
      <x:c r="B559" s="13" t="str">
        <x:v>MB1-0651</x:v>
      </x:c>
      <x:c r="C559" s="14" t="str">
        <x:v>Script Vine Split Alphabet-G</x:v>
      </x:c>
      <x:c r="D559" s="14" t="str">
        <x:v>family &amp; name</x:v>
      </x:c>
      <x:c r="E559" s="14" t="str">
        <x:v>https://res.cloudinary.com/oxygre42/image/upload/f_auto,q_auto,c_pad,b_white,w_1200,h_1200/v1788349816/0651_Script_Vine_Split_Alphabet-G.png</x:v>
      </x:c>
      <x:c r="F559" s="14" t="str"/>
      <x:c r="G559" s="14" t="str">
        <x:v>Lifestyle</x:v>
      </x:c>
      <x:c r="H559" s="14" t="str"/>
      <x:c r="I559" s="14" t="str">
        <x:v>Detail</x:v>
      </x:c>
      <x:c r="J559" s="14" t="str"/>
      <x:c r="K559" s="14" t="str">
        <x:v>Scale</x:v>
      </x:c>
      <x:c r="L559" s="14" t="str"/>
      <x:c r="M559" s="14" t="str">
        <x:v>Alternate</x:v>
      </x:c>
      <x:c r="N559" s="14" t="n">
        <x:f>IF(E559&lt;&gt;"",1,0)+IF(F559&lt;&gt;"",1,0)+IF(H559&lt;&gt;"",1,0)+IF(J559&lt;&gt;"",1,0)+IF(L559&lt;&gt;"",1,0)</x:f>
        <x:v>1</x:v>
      </x:c>
      <x:c r="O559" s="14" t="str">
        <x:f>IF(E559="","MISSING MAIN",IF(N559=1,"MAIN ONLY","MULTI-PHOTO"))</x:f>
        <x:v>MAIN ONLY</x:v>
      </x:c>
      <x:c r="P559" s="14" t="str">
        <x:v>0651_</x:v>
      </x:c>
      <x:c r="Q559" s="14" t="str">
        <x:v>https://mb1advancedsolutions.github.io/mb1-catalog/index.html?design=0651</x:v>
      </x:c>
      <x:c r="R559" s="14" t="str"/>
    </x:row>
    <x:row r="560">
      <x:c r="A560" s="13" t="str">
        <x:v>MB1-0652</x:v>
      </x:c>
      <x:c r="B560" s="13" t="str">
        <x:v>MB1-0652</x:v>
      </x:c>
      <x:c r="C560" s="14" t="str">
        <x:v>Script Vine Split Alphabet-H</x:v>
      </x:c>
      <x:c r="D560" s="14" t="str">
        <x:v>family &amp; name</x:v>
      </x:c>
      <x:c r="E560" s="14" t="str">
        <x:v>https://res.cloudinary.com/oxygre42/image/upload/f_auto,q_auto,c_pad,b_white,w_1200,h_1200/v1788349817/0652_Script_Vine_Split_Alphabet-H.png</x:v>
      </x:c>
      <x:c r="F560" s="14" t="str"/>
      <x:c r="G560" s="14" t="str">
        <x:v>Lifestyle</x:v>
      </x:c>
      <x:c r="H560" s="14" t="str"/>
      <x:c r="I560" s="14" t="str">
        <x:v>Detail</x:v>
      </x:c>
      <x:c r="J560" s="14" t="str"/>
      <x:c r="K560" s="14" t="str">
        <x:v>Scale</x:v>
      </x:c>
      <x:c r="L560" s="14" t="str"/>
      <x:c r="M560" s="14" t="str">
        <x:v>Alternate</x:v>
      </x:c>
      <x:c r="N560" s="14" t="n">
        <x:f>IF(E560&lt;&gt;"",1,0)+IF(F560&lt;&gt;"",1,0)+IF(H560&lt;&gt;"",1,0)+IF(J560&lt;&gt;"",1,0)+IF(L560&lt;&gt;"",1,0)</x:f>
        <x:v>1</x:v>
      </x:c>
      <x:c r="O560" s="14" t="str">
        <x:f>IF(E560="","MISSING MAIN",IF(N560=1,"MAIN ONLY","MULTI-PHOTO"))</x:f>
        <x:v>MAIN ONLY</x:v>
      </x:c>
      <x:c r="P560" s="14" t="str">
        <x:v>0652_</x:v>
      </x:c>
      <x:c r="Q560" s="14" t="str">
        <x:v>https://mb1advancedsolutions.github.io/mb1-catalog/index.html?design=0652</x:v>
      </x:c>
      <x:c r="R560" s="14" t="str"/>
    </x:row>
    <x:row r="561">
      <x:c r="A561" s="13" t="str">
        <x:v>MB1-0653</x:v>
      </x:c>
      <x:c r="B561" s="13" t="str">
        <x:v>MB1-0653</x:v>
      </x:c>
      <x:c r="C561" s="14" t="str">
        <x:v>Script Vine Split Alphabet-I</x:v>
      </x:c>
      <x:c r="D561" s="14" t="str">
        <x:v>family &amp; name</x:v>
      </x:c>
      <x:c r="E561" s="14" t="str">
        <x:v>https://res.cloudinary.com/oxygre42/image/upload/f_auto,q_auto,c_pad,b_white,w_1200,h_1200/v1788349819/0653_Script_Vine_Split_Alphabet-I.png</x:v>
      </x:c>
      <x:c r="F561" s="14" t="str"/>
      <x:c r="G561" s="14" t="str">
        <x:v>Lifestyle</x:v>
      </x:c>
      <x:c r="H561" s="14" t="str"/>
      <x:c r="I561" s="14" t="str">
        <x:v>Detail</x:v>
      </x:c>
      <x:c r="J561" s="14" t="str"/>
      <x:c r="K561" s="14" t="str">
        <x:v>Scale</x:v>
      </x:c>
      <x:c r="L561" s="14" t="str"/>
      <x:c r="M561" s="14" t="str">
        <x:v>Alternate</x:v>
      </x:c>
      <x:c r="N561" s="14" t="n">
        <x:f>IF(E561&lt;&gt;"",1,0)+IF(F561&lt;&gt;"",1,0)+IF(H561&lt;&gt;"",1,0)+IF(J561&lt;&gt;"",1,0)+IF(L561&lt;&gt;"",1,0)</x:f>
        <x:v>1</x:v>
      </x:c>
      <x:c r="O561" s="14" t="str">
        <x:f>IF(E561="","MISSING MAIN",IF(N561=1,"MAIN ONLY","MULTI-PHOTO"))</x:f>
        <x:v>MAIN ONLY</x:v>
      </x:c>
      <x:c r="P561" s="14" t="str">
        <x:v>0653_</x:v>
      </x:c>
      <x:c r="Q561" s="14" t="str">
        <x:v>https://mb1advancedsolutions.github.io/mb1-catalog/index.html?design=0653</x:v>
      </x:c>
      <x:c r="R561" s="14" t="str"/>
    </x:row>
    <x:row r="562">
      <x:c r="A562" s="13" t="str">
        <x:v>MB1-0654</x:v>
      </x:c>
      <x:c r="B562" s="13" t="str">
        <x:v>MB1-0654</x:v>
      </x:c>
      <x:c r="C562" s="14" t="str">
        <x:v>Script Vine Split Alphabet-J</x:v>
      </x:c>
      <x:c r="D562" s="14" t="str">
        <x:v>family &amp; name</x:v>
      </x:c>
      <x:c r="E562" s="14" t="str">
        <x:v>https://res.cloudinary.com/oxygre42/image/upload/f_auto,q_auto,c_pad,b_white,w_1200,h_1200/v1788349821/0654_Script_Vine_Split_Alphabet-J.png</x:v>
      </x:c>
      <x:c r="F562" s="14" t="str"/>
      <x:c r="G562" s="14" t="str">
        <x:v>Lifestyle</x:v>
      </x:c>
      <x:c r="H562" s="14" t="str"/>
      <x:c r="I562" s="14" t="str">
        <x:v>Detail</x:v>
      </x:c>
      <x:c r="J562" s="14" t="str"/>
      <x:c r="K562" s="14" t="str">
        <x:v>Scale</x:v>
      </x:c>
      <x:c r="L562" s="14" t="str"/>
      <x:c r="M562" s="14" t="str">
        <x:v>Alternate</x:v>
      </x:c>
      <x:c r="N562" s="14" t="n">
        <x:f>IF(E562&lt;&gt;"",1,0)+IF(F562&lt;&gt;"",1,0)+IF(H562&lt;&gt;"",1,0)+IF(J562&lt;&gt;"",1,0)+IF(L562&lt;&gt;"",1,0)</x:f>
        <x:v>1</x:v>
      </x:c>
      <x:c r="O562" s="14" t="str">
        <x:f>IF(E562="","MISSING MAIN",IF(N562=1,"MAIN ONLY","MULTI-PHOTO"))</x:f>
        <x:v>MAIN ONLY</x:v>
      </x:c>
      <x:c r="P562" s="14" t="str">
        <x:v>0654_</x:v>
      </x:c>
      <x:c r="Q562" s="14" t="str">
        <x:v>https://mb1advancedsolutions.github.io/mb1-catalog/index.html?design=0654</x:v>
      </x:c>
      <x:c r="R562" s="14" t="str"/>
    </x:row>
    <x:row r="563">
      <x:c r="A563" s="13" t="str">
        <x:v>MB1-0655</x:v>
      </x:c>
      <x:c r="B563" s="13" t="str">
        <x:v>MB1-0655</x:v>
      </x:c>
      <x:c r="C563" s="14" t="str">
        <x:v>Script Vine Split Alphabet-K</x:v>
      </x:c>
      <x:c r="D563" s="14" t="str">
        <x:v>family &amp; name</x:v>
      </x:c>
      <x:c r="E563" s="14" t="str">
        <x:v>https://res.cloudinary.com/oxygre42/image/upload/f_auto,q_auto,c_pad,b_white,w_1200,h_1200/v1788349823/0655_Script_Vine_Split_Alphabet-K.png</x:v>
      </x:c>
      <x:c r="F563" s="14" t="str"/>
      <x:c r="G563" s="14" t="str">
        <x:v>Lifestyle</x:v>
      </x:c>
      <x:c r="H563" s="14" t="str"/>
      <x:c r="I563" s="14" t="str">
        <x:v>Detail</x:v>
      </x:c>
      <x:c r="J563" s="14" t="str"/>
      <x:c r="K563" s="14" t="str">
        <x:v>Scale</x:v>
      </x:c>
      <x:c r="L563" s="14" t="str"/>
      <x:c r="M563" s="14" t="str">
        <x:v>Alternate</x:v>
      </x:c>
      <x:c r="N563" s="14" t="n">
        <x:f>IF(E563&lt;&gt;"",1,0)+IF(F563&lt;&gt;"",1,0)+IF(H563&lt;&gt;"",1,0)+IF(J563&lt;&gt;"",1,0)+IF(L563&lt;&gt;"",1,0)</x:f>
        <x:v>1</x:v>
      </x:c>
      <x:c r="O563" s="14" t="str">
        <x:f>IF(E563="","MISSING MAIN",IF(N563=1,"MAIN ONLY","MULTI-PHOTO"))</x:f>
        <x:v>MAIN ONLY</x:v>
      </x:c>
      <x:c r="P563" s="14" t="str">
        <x:v>0655_</x:v>
      </x:c>
      <x:c r="Q563" s="14" t="str">
        <x:v>https://mb1advancedsolutions.github.io/mb1-catalog/index.html?design=0655</x:v>
      </x:c>
      <x:c r="R563" s="14" t="str"/>
    </x:row>
    <x:row r="564">
      <x:c r="A564" s="13" t="str">
        <x:v>MB1-0656</x:v>
      </x:c>
      <x:c r="B564" s="13" t="str">
        <x:v>MB1-0656</x:v>
      </x:c>
      <x:c r="C564" s="14" t="str">
        <x:v>Script Vine Split Alphabet-L</x:v>
      </x:c>
      <x:c r="D564" s="14" t="str">
        <x:v>family &amp; name</x:v>
      </x:c>
      <x:c r="E564" s="14" t="str">
        <x:v>https://res.cloudinary.com/oxygre42/image/upload/f_auto,q_auto,c_pad,b_white,w_1200,h_1200/v1788349825/0656_Script_Vine_Split_Alphabet-L.png</x:v>
      </x:c>
      <x:c r="F564" s="14" t="str"/>
      <x:c r="G564" s="14" t="str">
        <x:v>Lifestyle</x:v>
      </x:c>
      <x:c r="H564" s="14" t="str"/>
      <x:c r="I564" s="14" t="str">
        <x:v>Detail</x:v>
      </x:c>
      <x:c r="J564" s="14" t="str"/>
      <x:c r="K564" s="14" t="str">
        <x:v>Scale</x:v>
      </x:c>
      <x:c r="L564" s="14" t="str"/>
      <x:c r="M564" s="14" t="str">
        <x:v>Alternate</x:v>
      </x:c>
      <x:c r="N564" s="14" t="n">
        <x:f>IF(E564&lt;&gt;"",1,0)+IF(F564&lt;&gt;"",1,0)+IF(H564&lt;&gt;"",1,0)+IF(J564&lt;&gt;"",1,0)+IF(L564&lt;&gt;"",1,0)</x:f>
        <x:v>1</x:v>
      </x:c>
      <x:c r="O564" s="14" t="str">
        <x:f>IF(E564="","MISSING MAIN",IF(N564=1,"MAIN ONLY","MULTI-PHOTO"))</x:f>
        <x:v>MAIN ONLY</x:v>
      </x:c>
      <x:c r="P564" s="14" t="str">
        <x:v>0656_</x:v>
      </x:c>
      <x:c r="Q564" s="14" t="str">
        <x:v>https://mb1advancedsolutions.github.io/mb1-catalog/index.html?design=0656</x:v>
      </x:c>
      <x:c r="R564" s="14" t="str"/>
    </x:row>
    <x:row r="565">
      <x:c r="A565" s="13" t="str">
        <x:v>MB1-0657</x:v>
      </x:c>
      <x:c r="B565" s="13" t="str">
        <x:v>MB1-0657</x:v>
      </x:c>
      <x:c r="C565" s="14" t="str">
        <x:v>Script Vine Split Alphabet-M</x:v>
      </x:c>
      <x:c r="D565" s="14" t="str">
        <x:v>family &amp; name</x:v>
      </x:c>
      <x:c r="E565" s="14" t="str">
        <x:v>https://res.cloudinary.com/oxygre42/image/upload/f_auto,q_auto,c_pad,b_white,w_1200,h_1200/v1788349827/0657_Script_Vine_Split_Alphabet-M.png</x:v>
      </x:c>
      <x:c r="F565" s="14" t="str"/>
      <x:c r="G565" s="14" t="str">
        <x:v>Lifestyle</x:v>
      </x:c>
      <x:c r="H565" s="14" t="str"/>
      <x:c r="I565" s="14" t="str">
        <x:v>Detail</x:v>
      </x:c>
      <x:c r="J565" s="14" t="str"/>
      <x:c r="K565" s="14" t="str">
        <x:v>Scale</x:v>
      </x:c>
      <x:c r="L565" s="14" t="str"/>
      <x:c r="M565" s="14" t="str">
        <x:v>Alternate</x:v>
      </x:c>
      <x:c r="N565" s="14" t="n">
        <x:f>IF(E565&lt;&gt;"",1,0)+IF(F565&lt;&gt;"",1,0)+IF(H565&lt;&gt;"",1,0)+IF(J565&lt;&gt;"",1,0)+IF(L565&lt;&gt;"",1,0)</x:f>
        <x:v>1</x:v>
      </x:c>
      <x:c r="O565" s="14" t="str">
        <x:f>IF(E565="","MISSING MAIN",IF(N565=1,"MAIN ONLY","MULTI-PHOTO"))</x:f>
        <x:v>MAIN ONLY</x:v>
      </x:c>
      <x:c r="P565" s="14" t="str">
        <x:v>0657_</x:v>
      </x:c>
      <x:c r="Q565" s="14" t="str">
        <x:v>https://mb1advancedsolutions.github.io/mb1-catalog/index.html?design=0657</x:v>
      </x:c>
      <x:c r="R565" s="14" t="str"/>
    </x:row>
    <x:row r="566">
      <x:c r="A566" s="13" t="str">
        <x:v>MB1-0658</x:v>
      </x:c>
      <x:c r="B566" s="13" t="str">
        <x:v>MB1-0658</x:v>
      </x:c>
      <x:c r="C566" s="14" t="str">
        <x:v>Script Vine Split Alphabet-N</x:v>
      </x:c>
      <x:c r="D566" s="14" t="str">
        <x:v>family &amp; name</x:v>
      </x:c>
      <x:c r="E566" s="14" t="str">
        <x:v>https://res.cloudinary.com/oxygre42/image/upload/f_auto,q_auto,c_pad,b_white,w_1200,h_1200/v1788349829/0658_Script_Vine_Split_Alphabet-N.png</x:v>
      </x:c>
      <x:c r="F566" s="14" t="str"/>
      <x:c r="G566" s="14" t="str">
        <x:v>Lifestyle</x:v>
      </x:c>
      <x:c r="H566" s="14" t="str"/>
      <x:c r="I566" s="14" t="str">
        <x:v>Detail</x:v>
      </x:c>
      <x:c r="J566" s="14" t="str"/>
      <x:c r="K566" s="14" t="str">
        <x:v>Scale</x:v>
      </x:c>
      <x:c r="L566" s="14" t="str"/>
      <x:c r="M566" s="14" t="str">
        <x:v>Alternate</x:v>
      </x:c>
      <x:c r="N566" s="14" t="n">
        <x:f>IF(E566&lt;&gt;"",1,0)+IF(F566&lt;&gt;"",1,0)+IF(H566&lt;&gt;"",1,0)+IF(J566&lt;&gt;"",1,0)+IF(L566&lt;&gt;"",1,0)</x:f>
        <x:v>1</x:v>
      </x:c>
      <x:c r="O566" s="14" t="str">
        <x:f>IF(E566="","MISSING MAIN",IF(N566=1,"MAIN ONLY","MULTI-PHOTO"))</x:f>
        <x:v>MAIN ONLY</x:v>
      </x:c>
      <x:c r="P566" s="14" t="str">
        <x:v>0658_</x:v>
      </x:c>
      <x:c r="Q566" s="14" t="str">
        <x:v>https://mb1advancedsolutions.github.io/mb1-catalog/index.html?design=0658</x:v>
      </x:c>
      <x:c r="R566" s="14" t="str"/>
    </x:row>
    <x:row r="567">
      <x:c r="A567" s="13" t="str">
        <x:v>MB1-0659</x:v>
      </x:c>
      <x:c r="B567" s="13" t="str">
        <x:v>MB1-0659</x:v>
      </x:c>
      <x:c r="C567" s="14" t="str">
        <x:v>Script Vine Split Alphabet-O</x:v>
      </x:c>
      <x:c r="D567" s="14" t="str">
        <x:v>family &amp; name</x:v>
      </x:c>
      <x:c r="E567" s="14" t="str">
        <x:v>https://res.cloudinary.com/oxygre42/image/upload/f_auto,q_auto,c_pad,b_white,w_1200,h_1200/v1788349831/0659_Script_Vine_Split_Alphabet-O.png</x:v>
      </x:c>
      <x:c r="F567" s="14" t="str"/>
      <x:c r="G567" s="14" t="str">
        <x:v>Lifestyle</x:v>
      </x:c>
      <x:c r="H567" s="14" t="str"/>
      <x:c r="I567" s="14" t="str">
        <x:v>Detail</x:v>
      </x:c>
      <x:c r="J567" s="14" t="str"/>
      <x:c r="K567" s="14" t="str">
        <x:v>Scale</x:v>
      </x:c>
      <x:c r="L567" s="14" t="str"/>
      <x:c r="M567" s="14" t="str">
        <x:v>Alternate</x:v>
      </x:c>
      <x:c r="N567" s="14" t="n">
        <x:f>IF(E567&lt;&gt;"",1,0)+IF(F567&lt;&gt;"",1,0)+IF(H567&lt;&gt;"",1,0)+IF(J567&lt;&gt;"",1,0)+IF(L567&lt;&gt;"",1,0)</x:f>
        <x:v>1</x:v>
      </x:c>
      <x:c r="O567" s="14" t="str">
        <x:f>IF(E567="","MISSING MAIN",IF(N567=1,"MAIN ONLY","MULTI-PHOTO"))</x:f>
        <x:v>MAIN ONLY</x:v>
      </x:c>
      <x:c r="P567" s="14" t="str">
        <x:v>0659_</x:v>
      </x:c>
      <x:c r="Q567" s="14" t="str">
        <x:v>https://mb1advancedsolutions.github.io/mb1-catalog/index.html?design=0659</x:v>
      </x:c>
      <x:c r="R567" s="14" t="str"/>
    </x:row>
    <x:row r="568">
      <x:c r="A568" s="13" t="str">
        <x:v>MB1-0660</x:v>
      </x:c>
      <x:c r="B568" s="13" t="str">
        <x:v>MB1-0660</x:v>
      </x:c>
      <x:c r="C568" s="14" t="str">
        <x:v>Script Vine Split Alphabet-P</x:v>
      </x:c>
      <x:c r="D568" s="14" t="str">
        <x:v>family &amp; name</x:v>
      </x:c>
      <x:c r="E568" s="14" t="str">
        <x:v>https://res.cloudinary.com/oxygre42/image/upload/f_auto,q_auto,c_pad,b_white,w_1200,h_1200/v1788349832/0660_Script_Vine_Split_Alphabet-P.png</x:v>
      </x:c>
      <x:c r="F568" s="14" t="str"/>
      <x:c r="G568" s="14" t="str">
        <x:v>Lifestyle</x:v>
      </x:c>
      <x:c r="H568" s="14" t="str"/>
      <x:c r="I568" s="14" t="str">
        <x:v>Detail</x:v>
      </x:c>
      <x:c r="J568" s="14" t="str"/>
      <x:c r="K568" s="14" t="str">
        <x:v>Scale</x:v>
      </x:c>
      <x:c r="L568" s="14" t="str"/>
      <x:c r="M568" s="14" t="str">
        <x:v>Alternate</x:v>
      </x:c>
      <x:c r="N568" s="14" t="n">
        <x:f>IF(E568&lt;&gt;"",1,0)+IF(F568&lt;&gt;"",1,0)+IF(H568&lt;&gt;"",1,0)+IF(J568&lt;&gt;"",1,0)+IF(L568&lt;&gt;"",1,0)</x:f>
        <x:v>1</x:v>
      </x:c>
      <x:c r="O568" s="14" t="str">
        <x:f>IF(E568="","MISSING MAIN",IF(N568=1,"MAIN ONLY","MULTI-PHOTO"))</x:f>
        <x:v>MAIN ONLY</x:v>
      </x:c>
      <x:c r="P568" s="14" t="str">
        <x:v>0660_</x:v>
      </x:c>
      <x:c r="Q568" s="14" t="str">
        <x:v>https://mb1advancedsolutions.github.io/mb1-catalog/index.html?design=0660</x:v>
      </x:c>
      <x:c r="R568" s="14" t="str"/>
    </x:row>
    <x:row r="569">
      <x:c r="A569" s="13" t="str">
        <x:v>MB1-0661</x:v>
      </x:c>
      <x:c r="B569" s="13" t="str">
        <x:v>MB1-0661</x:v>
      </x:c>
      <x:c r="C569" s="14" t="str">
        <x:v>Script Vine Split Alphabet-Q</x:v>
      </x:c>
      <x:c r="D569" s="14" t="str">
        <x:v>family &amp; name</x:v>
      </x:c>
      <x:c r="E569" s="14" t="str">
        <x:v>https://res.cloudinary.com/oxygre42/image/upload/f_auto,q_auto,c_pad,b_white,w_1200,h_1200/v1788349834/0661_Script_Vine_Split_Alphabet-Q.png</x:v>
      </x:c>
      <x:c r="F569" s="14" t="str"/>
      <x:c r="G569" s="14" t="str">
        <x:v>Lifestyle</x:v>
      </x:c>
      <x:c r="H569" s="14" t="str"/>
      <x:c r="I569" s="14" t="str">
        <x:v>Detail</x:v>
      </x:c>
      <x:c r="J569" s="14" t="str"/>
      <x:c r="K569" s="14" t="str">
        <x:v>Scale</x:v>
      </x:c>
      <x:c r="L569" s="14" t="str"/>
      <x:c r="M569" s="14" t="str">
        <x:v>Alternate</x:v>
      </x:c>
      <x:c r="N569" s="14" t="n">
        <x:f>IF(E569&lt;&gt;"",1,0)+IF(F569&lt;&gt;"",1,0)+IF(H569&lt;&gt;"",1,0)+IF(J569&lt;&gt;"",1,0)+IF(L569&lt;&gt;"",1,0)</x:f>
        <x:v>1</x:v>
      </x:c>
      <x:c r="O569" s="14" t="str">
        <x:f>IF(E569="","MISSING MAIN",IF(N569=1,"MAIN ONLY","MULTI-PHOTO"))</x:f>
        <x:v>MAIN ONLY</x:v>
      </x:c>
      <x:c r="P569" s="14" t="str">
        <x:v>0661_</x:v>
      </x:c>
      <x:c r="Q569" s="14" t="str">
        <x:v>https://mb1advancedsolutions.github.io/mb1-catalog/index.html?design=0661</x:v>
      </x:c>
      <x:c r="R569" s="14" t="str"/>
    </x:row>
    <x:row r="570">
      <x:c r="A570" s="13" t="str">
        <x:v>MB1-0662</x:v>
      </x:c>
      <x:c r="B570" s="13" t="str">
        <x:v>MB1-0662</x:v>
      </x:c>
      <x:c r="C570" s="14" t="str">
        <x:v>Script Vine Split Alphabet-R</x:v>
      </x:c>
      <x:c r="D570" s="14" t="str">
        <x:v>family &amp; name</x:v>
      </x:c>
      <x:c r="E570" s="14" t="str">
        <x:v>https://res.cloudinary.com/oxygre42/image/upload/f_auto,q_auto,c_pad,b_white,w_1200,h_1200/v1788349836/0662_Script_Vine_Split_Alphabet-R.png</x:v>
      </x:c>
      <x:c r="F570" s="14" t="str"/>
      <x:c r="G570" s="14" t="str">
        <x:v>Lifestyle</x:v>
      </x:c>
      <x:c r="H570" s="14" t="str"/>
      <x:c r="I570" s="14" t="str">
        <x:v>Detail</x:v>
      </x:c>
      <x:c r="J570" s="14" t="str"/>
      <x:c r="K570" s="14" t="str">
        <x:v>Scale</x:v>
      </x:c>
      <x:c r="L570" s="14" t="str"/>
      <x:c r="M570" s="14" t="str">
        <x:v>Alternate</x:v>
      </x:c>
      <x:c r="N570" s="14" t="n">
        <x:f>IF(E570&lt;&gt;"",1,0)+IF(F570&lt;&gt;"",1,0)+IF(H570&lt;&gt;"",1,0)+IF(J570&lt;&gt;"",1,0)+IF(L570&lt;&gt;"",1,0)</x:f>
        <x:v>1</x:v>
      </x:c>
      <x:c r="O570" s="14" t="str">
        <x:f>IF(E570="","MISSING MAIN",IF(N570=1,"MAIN ONLY","MULTI-PHOTO"))</x:f>
        <x:v>MAIN ONLY</x:v>
      </x:c>
      <x:c r="P570" s="14" t="str">
        <x:v>0662_</x:v>
      </x:c>
      <x:c r="Q570" s="14" t="str">
        <x:v>https://mb1advancedsolutions.github.io/mb1-catalog/index.html?design=0662</x:v>
      </x:c>
      <x:c r="R570" s="14" t="str"/>
    </x:row>
    <x:row r="571">
      <x:c r="A571" s="13" t="str">
        <x:v>MB1-0663</x:v>
      </x:c>
      <x:c r="B571" s="13" t="str">
        <x:v>MB1-0663</x:v>
      </x:c>
      <x:c r="C571" s="14" t="str">
        <x:v>Script Vine Split Alphabet-S</x:v>
      </x:c>
      <x:c r="D571" s="14" t="str">
        <x:v>family &amp; name</x:v>
      </x:c>
      <x:c r="E571" s="14" t="str">
        <x:v>https://res.cloudinary.com/oxygre42/image/upload/f_auto,q_auto,c_pad,b_white,w_1200,h_1200/v1788349838/0663_Script_Vine_Split_Alphabet-S.png</x:v>
      </x:c>
      <x:c r="F571" s="14" t="str"/>
      <x:c r="G571" s="14" t="str">
        <x:v>Lifestyle</x:v>
      </x:c>
      <x:c r="H571" s="14" t="str"/>
      <x:c r="I571" s="14" t="str">
        <x:v>Detail</x:v>
      </x:c>
      <x:c r="J571" s="14" t="str"/>
      <x:c r="K571" s="14" t="str">
        <x:v>Scale</x:v>
      </x:c>
      <x:c r="L571" s="14" t="str"/>
      <x:c r="M571" s="14" t="str">
        <x:v>Alternate</x:v>
      </x:c>
      <x:c r="N571" s="14" t="n">
        <x:f>IF(E571&lt;&gt;"",1,0)+IF(F571&lt;&gt;"",1,0)+IF(H571&lt;&gt;"",1,0)+IF(J571&lt;&gt;"",1,0)+IF(L571&lt;&gt;"",1,0)</x:f>
        <x:v>1</x:v>
      </x:c>
      <x:c r="O571" s="14" t="str">
        <x:f>IF(E571="","MISSING MAIN",IF(N571=1,"MAIN ONLY","MULTI-PHOTO"))</x:f>
        <x:v>MAIN ONLY</x:v>
      </x:c>
      <x:c r="P571" s="14" t="str">
        <x:v>0663_</x:v>
      </x:c>
      <x:c r="Q571" s="14" t="str">
        <x:v>https://mb1advancedsolutions.github.io/mb1-catalog/index.html?design=0663</x:v>
      </x:c>
      <x:c r="R571" s="14" t="str"/>
    </x:row>
    <x:row r="572">
      <x:c r="A572" s="13" t="str">
        <x:v>MB1-0664</x:v>
      </x:c>
      <x:c r="B572" s="13" t="str">
        <x:v>MB1-0664</x:v>
      </x:c>
      <x:c r="C572" s="14" t="str">
        <x:v>Script Vine Split Alphabet-T</x:v>
      </x:c>
      <x:c r="D572" s="14" t="str">
        <x:v>family &amp; name</x:v>
      </x:c>
      <x:c r="E572" s="14" t="str">
        <x:v>https://res.cloudinary.com/oxygre42/image/upload/f_auto,q_auto,c_pad,b_white,w_1200,h_1200/v1788349840/0664_Script_Vine_Split_Alphabet-T.png</x:v>
      </x:c>
      <x:c r="F572" s="14" t="str"/>
      <x:c r="G572" s="14" t="str">
        <x:v>Lifestyle</x:v>
      </x:c>
      <x:c r="H572" s="14" t="str"/>
      <x:c r="I572" s="14" t="str">
        <x:v>Detail</x:v>
      </x:c>
      <x:c r="J572" s="14" t="str"/>
      <x:c r="K572" s="14" t="str">
        <x:v>Scale</x:v>
      </x:c>
      <x:c r="L572" s="14" t="str"/>
      <x:c r="M572" s="14" t="str">
        <x:v>Alternate</x:v>
      </x:c>
      <x:c r="N572" s="14" t="n">
        <x:f>IF(E572&lt;&gt;"",1,0)+IF(F572&lt;&gt;"",1,0)+IF(H572&lt;&gt;"",1,0)+IF(J572&lt;&gt;"",1,0)+IF(L572&lt;&gt;"",1,0)</x:f>
        <x:v>1</x:v>
      </x:c>
      <x:c r="O572" s="14" t="str">
        <x:f>IF(E572="","MISSING MAIN",IF(N572=1,"MAIN ONLY","MULTI-PHOTO"))</x:f>
        <x:v>MAIN ONLY</x:v>
      </x:c>
      <x:c r="P572" s="14" t="str">
        <x:v>0664_</x:v>
      </x:c>
      <x:c r="Q572" s="14" t="str">
        <x:v>https://mb1advancedsolutions.github.io/mb1-catalog/index.html?design=0664</x:v>
      </x:c>
      <x:c r="R572" s="14" t="str"/>
    </x:row>
    <x:row r="573">
      <x:c r="A573" s="13" t="str">
        <x:v>MB1-0665</x:v>
      </x:c>
      <x:c r="B573" s="13" t="str">
        <x:v>MB1-0665</x:v>
      </x:c>
      <x:c r="C573" s="14" t="str">
        <x:v>Script Vine Split Alphabet-U</x:v>
      </x:c>
      <x:c r="D573" s="14" t="str">
        <x:v>family &amp; name</x:v>
      </x:c>
      <x:c r="E573" s="14" t="str">
        <x:v>https://res.cloudinary.com/oxygre42/image/upload/f_auto,q_auto,c_pad,b_white,w_1200,h_1200/v1788349842/0665_Script_Vine_Split_Alphabet-U.png</x:v>
      </x:c>
      <x:c r="F573" s="14" t="str"/>
      <x:c r="G573" s="14" t="str">
        <x:v>Lifestyle</x:v>
      </x:c>
      <x:c r="H573" s="14" t="str"/>
      <x:c r="I573" s="14" t="str">
        <x:v>Detail</x:v>
      </x:c>
      <x:c r="J573" s="14" t="str"/>
      <x:c r="K573" s="14" t="str">
        <x:v>Scale</x:v>
      </x:c>
      <x:c r="L573" s="14" t="str"/>
      <x:c r="M573" s="14" t="str">
        <x:v>Alternate</x:v>
      </x:c>
      <x:c r="N573" s="14" t="n">
        <x:f>IF(E573&lt;&gt;"",1,0)+IF(F573&lt;&gt;"",1,0)+IF(H573&lt;&gt;"",1,0)+IF(J573&lt;&gt;"",1,0)+IF(L573&lt;&gt;"",1,0)</x:f>
        <x:v>1</x:v>
      </x:c>
      <x:c r="O573" s="14" t="str">
        <x:f>IF(E573="","MISSING MAIN",IF(N573=1,"MAIN ONLY","MULTI-PHOTO"))</x:f>
        <x:v>MAIN ONLY</x:v>
      </x:c>
      <x:c r="P573" s="14" t="str">
        <x:v>0665_</x:v>
      </x:c>
      <x:c r="Q573" s="14" t="str">
        <x:v>https://mb1advancedsolutions.github.io/mb1-catalog/index.html?design=0665</x:v>
      </x:c>
      <x:c r="R573" s="14" t="str"/>
    </x:row>
    <x:row r="574">
      <x:c r="A574" s="13" t="str">
        <x:v>MB1-0666</x:v>
      </x:c>
      <x:c r="B574" s="13" t="str">
        <x:v>MB1-0666</x:v>
      </x:c>
      <x:c r="C574" s="14" t="str">
        <x:v>Script Vine Split Alphabet-V</x:v>
      </x:c>
      <x:c r="D574" s="14" t="str">
        <x:v>family &amp; name</x:v>
      </x:c>
      <x:c r="E574" s="14" t="str">
        <x:v>https://res.cloudinary.com/oxygre42/image/upload/f_auto,q_auto,c_pad,b_white,w_1200,h_1200/v1788349844/0666_Script_Vine_Split_Alphabet-V.png</x:v>
      </x:c>
      <x:c r="F574" s="14" t="str"/>
      <x:c r="G574" s="14" t="str">
        <x:v>Lifestyle</x:v>
      </x:c>
      <x:c r="H574" s="14" t="str"/>
      <x:c r="I574" s="14" t="str">
        <x:v>Detail</x:v>
      </x:c>
      <x:c r="J574" s="14" t="str"/>
      <x:c r="K574" s="14" t="str">
        <x:v>Scale</x:v>
      </x:c>
      <x:c r="L574" s="14" t="str"/>
      <x:c r="M574" s="14" t="str">
        <x:v>Alternate</x:v>
      </x:c>
      <x:c r="N574" s="14" t="n">
        <x:f>IF(E574&lt;&gt;"",1,0)+IF(F574&lt;&gt;"",1,0)+IF(H574&lt;&gt;"",1,0)+IF(J574&lt;&gt;"",1,0)+IF(L574&lt;&gt;"",1,0)</x:f>
        <x:v>1</x:v>
      </x:c>
      <x:c r="O574" s="14" t="str">
        <x:f>IF(E574="","MISSING MAIN",IF(N574=1,"MAIN ONLY","MULTI-PHOTO"))</x:f>
        <x:v>MAIN ONLY</x:v>
      </x:c>
      <x:c r="P574" s="14" t="str">
        <x:v>0666_</x:v>
      </x:c>
      <x:c r="Q574" s="14" t="str">
        <x:v>https://mb1advancedsolutions.github.io/mb1-catalog/index.html?design=0666</x:v>
      </x:c>
      <x:c r="R574" s="14" t="str"/>
    </x:row>
    <x:row r="575">
      <x:c r="A575" s="13" t="str">
        <x:v>MB1-0667</x:v>
      </x:c>
      <x:c r="B575" s="13" t="str">
        <x:v>MB1-0667</x:v>
      </x:c>
      <x:c r="C575" s="14" t="str">
        <x:v>Script Vine Split Alphabet-W</x:v>
      </x:c>
      <x:c r="D575" s="14" t="str">
        <x:v>family &amp; name</x:v>
      </x:c>
      <x:c r="E575" s="14" t="str">
        <x:v>https://res.cloudinary.com/oxygre42/image/upload/f_auto,q_auto,c_pad,b_white,w_1200,h_1200/v1788349846/0667_Script_Vine_Split_Alphabet-W.png</x:v>
      </x:c>
      <x:c r="F575" s="14" t="str"/>
      <x:c r="G575" s="14" t="str">
        <x:v>Lifestyle</x:v>
      </x:c>
      <x:c r="H575" s="14" t="str"/>
      <x:c r="I575" s="14" t="str">
        <x:v>Detail</x:v>
      </x:c>
      <x:c r="J575" s="14" t="str"/>
      <x:c r="K575" s="14" t="str">
        <x:v>Scale</x:v>
      </x:c>
      <x:c r="L575" s="14" t="str"/>
      <x:c r="M575" s="14" t="str">
        <x:v>Alternate</x:v>
      </x:c>
      <x:c r="N575" s="14" t="n">
        <x:f>IF(E575&lt;&gt;"",1,0)+IF(F575&lt;&gt;"",1,0)+IF(H575&lt;&gt;"",1,0)+IF(J575&lt;&gt;"",1,0)+IF(L575&lt;&gt;"",1,0)</x:f>
        <x:v>1</x:v>
      </x:c>
      <x:c r="O575" s="14" t="str">
        <x:f>IF(E575="","MISSING MAIN",IF(N575=1,"MAIN ONLY","MULTI-PHOTO"))</x:f>
        <x:v>MAIN ONLY</x:v>
      </x:c>
      <x:c r="P575" s="14" t="str">
        <x:v>0667_</x:v>
      </x:c>
      <x:c r="Q575" s="14" t="str">
        <x:v>https://mb1advancedsolutions.github.io/mb1-catalog/index.html?design=0667</x:v>
      </x:c>
      <x:c r="R575" s="14" t="str"/>
    </x:row>
    <x:row r="576">
      <x:c r="A576" s="13" t="str">
        <x:v>MB1-0668</x:v>
      </x:c>
      <x:c r="B576" s="13" t="str">
        <x:v>MB1-0668</x:v>
      </x:c>
      <x:c r="C576" s="14" t="str">
        <x:v>Script Vine Split Alphabet-X</x:v>
      </x:c>
      <x:c r="D576" s="14" t="str">
        <x:v>family &amp; name</x:v>
      </x:c>
      <x:c r="E576" s="14" t="str">
        <x:v>https://res.cloudinary.com/oxygre42/image/upload/f_auto,q_auto,c_pad,b_white,w_1200,h_1200/v1788349847/0668_Script_Vine_Split_Alphabet-X.png</x:v>
      </x:c>
      <x:c r="F576" s="14" t="str"/>
      <x:c r="G576" s="14" t="str">
        <x:v>Lifestyle</x:v>
      </x:c>
      <x:c r="H576" s="14" t="str"/>
      <x:c r="I576" s="14" t="str">
        <x:v>Detail</x:v>
      </x:c>
      <x:c r="J576" s="14" t="str"/>
      <x:c r="K576" s="14" t="str">
        <x:v>Scale</x:v>
      </x:c>
      <x:c r="L576" s="14" t="str"/>
      <x:c r="M576" s="14" t="str">
        <x:v>Alternate</x:v>
      </x:c>
      <x:c r="N576" s="14" t="n">
        <x:f>IF(E576&lt;&gt;"",1,0)+IF(F576&lt;&gt;"",1,0)+IF(H576&lt;&gt;"",1,0)+IF(J576&lt;&gt;"",1,0)+IF(L576&lt;&gt;"",1,0)</x:f>
        <x:v>1</x:v>
      </x:c>
      <x:c r="O576" s="14" t="str">
        <x:f>IF(E576="","MISSING MAIN",IF(N576=1,"MAIN ONLY","MULTI-PHOTO"))</x:f>
        <x:v>MAIN ONLY</x:v>
      </x:c>
      <x:c r="P576" s="14" t="str">
        <x:v>0668_</x:v>
      </x:c>
      <x:c r="Q576" s="14" t="str">
        <x:v>https://mb1advancedsolutions.github.io/mb1-catalog/index.html?design=0668</x:v>
      </x:c>
      <x:c r="R576" s="14" t="str"/>
    </x:row>
    <x:row r="577">
      <x:c r="A577" s="13" t="str">
        <x:v>MB1-0669</x:v>
      </x:c>
      <x:c r="B577" s="13" t="str">
        <x:v>MB1-0669</x:v>
      </x:c>
      <x:c r="C577" s="14" t="str">
        <x:v>Script Vine Split Alphabet-Y</x:v>
      </x:c>
      <x:c r="D577" s="14" t="str">
        <x:v>family &amp; name</x:v>
      </x:c>
      <x:c r="E577" s="14" t="str">
        <x:v>https://res.cloudinary.com/oxygre42/image/upload/f_auto,q_auto,c_pad,b_white,w_1200,h_1200/v1788349849/0669_Script_Vine_Split_Alphabet-Y.png</x:v>
      </x:c>
      <x:c r="F577" s="14" t="str"/>
      <x:c r="G577" s="14" t="str">
        <x:v>Lifestyle</x:v>
      </x:c>
      <x:c r="H577" s="14" t="str"/>
      <x:c r="I577" s="14" t="str">
        <x:v>Detail</x:v>
      </x:c>
      <x:c r="J577" s="14" t="str"/>
      <x:c r="K577" s="14" t="str">
        <x:v>Scale</x:v>
      </x:c>
      <x:c r="L577" s="14" t="str"/>
      <x:c r="M577" s="14" t="str">
        <x:v>Alternate</x:v>
      </x:c>
      <x:c r="N577" s="14" t="n">
        <x:f>IF(E577&lt;&gt;"",1,0)+IF(F577&lt;&gt;"",1,0)+IF(H577&lt;&gt;"",1,0)+IF(J577&lt;&gt;"",1,0)+IF(L577&lt;&gt;"",1,0)</x:f>
        <x:v>1</x:v>
      </x:c>
      <x:c r="O577" s="14" t="str">
        <x:f>IF(E577="","MISSING MAIN",IF(N577=1,"MAIN ONLY","MULTI-PHOTO"))</x:f>
        <x:v>MAIN ONLY</x:v>
      </x:c>
      <x:c r="P577" s="14" t="str">
        <x:v>0669_</x:v>
      </x:c>
      <x:c r="Q577" s="14" t="str">
        <x:v>https://mb1advancedsolutions.github.io/mb1-catalog/index.html?design=0669</x:v>
      </x:c>
      <x:c r="R577" s="14" t="str"/>
    </x:row>
    <x:row r="578">
      <x:c r="A578" s="13" t="str">
        <x:v>MB1-0670</x:v>
      </x:c>
      <x:c r="B578" s="13" t="str">
        <x:v>MB1-0670</x:v>
      </x:c>
      <x:c r="C578" s="14" t="str">
        <x:v>Script Vine Split Alphabet-Z</x:v>
      </x:c>
      <x:c r="D578" s="14" t="str">
        <x:v>family &amp; name</x:v>
      </x:c>
      <x:c r="E578" s="14" t="str">
        <x:v>https://res.cloudinary.com/oxygre42/image/upload/f_auto,q_auto,c_pad,b_white,w_1200,h_1200/v1788349851/0670_Script_Vine_Split_Alphabet-Z.png</x:v>
      </x:c>
      <x:c r="F578" s="14" t="str"/>
      <x:c r="G578" s="14" t="str">
        <x:v>Lifestyle</x:v>
      </x:c>
      <x:c r="H578" s="14" t="str"/>
      <x:c r="I578" s="14" t="str">
        <x:v>Detail</x:v>
      </x:c>
      <x:c r="J578" s="14" t="str"/>
      <x:c r="K578" s="14" t="str">
        <x:v>Scale</x:v>
      </x:c>
      <x:c r="L578" s="14" t="str"/>
      <x:c r="M578" s="14" t="str">
        <x:v>Alternate</x:v>
      </x:c>
      <x:c r="N578" s="14" t="n">
        <x:f>IF(E578&lt;&gt;"",1,0)+IF(F578&lt;&gt;"",1,0)+IF(H578&lt;&gt;"",1,0)+IF(J578&lt;&gt;"",1,0)+IF(L578&lt;&gt;"",1,0)</x:f>
        <x:v>1</x:v>
      </x:c>
      <x:c r="O578" s="14" t="str">
        <x:f>IF(E578="","MISSING MAIN",IF(N578=1,"MAIN ONLY","MULTI-PHOTO"))</x:f>
        <x:v>MAIN ONLY</x:v>
      </x:c>
      <x:c r="P578" s="14" t="str">
        <x:v>0670_</x:v>
      </x:c>
      <x:c r="Q578" s="14" t="str">
        <x:v>https://mb1advancedsolutions.github.io/mb1-catalog/index.html?design=0670</x:v>
      </x:c>
      <x:c r="R578" s="14" t="str"/>
    </x:row>
    <x:row r="579">
      <x:c r="A579" s="13" t="str">
        <x:v>MB1-0671</x:v>
      </x:c>
      <x:c r="B579" s="13" t="str">
        <x:v>MB1-0671</x:v>
      </x:c>
      <x:c r="C579" s="14" t="str">
        <x:v>Monogram A</x:v>
      </x:c>
      <x:c r="D579" s="14" t="str">
        <x:v>family &amp; name</x:v>
      </x:c>
      <x:c r="E579" s="14" t="str">
        <x:v>https://res.cloudinary.com/oxygre42/image/upload/f_auto,q_auto,c_pad,b_white,w_1200,h_1200/v1788349853/0671_Monogram_A.png</x:v>
      </x:c>
      <x:c r="F579" s="14" t="str"/>
      <x:c r="G579" s="14" t="str">
        <x:v>Lifestyle</x:v>
      </x:c>
      <x:c r="H579" s="14" t="str"/>
      <x:c r="I579" s="14" t="str">
        <x:v>Detail</x:v>
      </x:c>
      <x:c r="J579" s="14" t="str"/>
      <x:c r="K579" s="14" t="str">
        <x:v>Scale</x:v>
      </x:c>
      <x:c r="L579" s="14" t="str"/>
      <x:c r="M579" s="14" t="str">
        <x:v>Alternate</x:v>
      </x:c>
      <x:c r="N579" s="14" t="n">
        <x:f>IF(E579&lt;&gt;"",1,0)+IF(F579&lt;&gt;"",1,0)+IF(H579&lt;&gt;"",1,0)+IF(J579&lt;&gt;"",1,0)+IF(L579&lt;&gt;"",1,0)</x:f>
        <x:v>1</x:v>
      </x:c>
      <x:c r="O579" s="14" t="str">
        <x:f>IF(E579="","MISSING MAIN",IF(N579=1,"MAIN ONLY","MULTI-PHOTO"))</x:f>
        <x:v>MAIN ONLY</x:v>
      </x:c>
      <x:c r="P579" s="14" t="str">
        <x:v>0671_</x:v>
      </x:c>
      <x:c r="Q579" s="14" t="str">
        <x:v>https://mb1advancedsolutions.github.io/mb1-catalog/index.html?design=0671</x:v>
      </x:c>
      <x:c r="R579" s="14" t="str"/>
    </x:row>
    <x:row r="580">
      <x:c r="A580" s="13" t="str">
        <x:v>MB1-0672</x:v>
      </x:c>
      <x:c r="B580" s="13" t="str">
        <x:v>MB1-0672</x:v>
      </x:c>
      <x:c r="C580" s="14" t="str">
        <x:v>Monogram B</x:v>
      </x:c>
      <x:c r="D580" s="14" t="str">
        <x:v>family &amp; name</x:v>
      </x:c>
      <x:c r="E580" s="14" t="str">
        <x:v>https://res.cloudinary.com/oxygre42/image/upload/f_auto,q_auto,c_pad,b_white,w_1200,h_1200/v1788349855/0672_Monogram_B.png</x:v>
      </x:c>
      <x:c r="F580" s="14" t="str"/>
      <x:c r="G580" s="14" t="str">
        <x:v>Lifestyle</x:v>
      </x:c>
      <x:c r="H580" s="14" t="str"/>
      <x:c r="I580" s="14" t="str">
        <x:v>Detail</x:v>
      </x:c>
      <x:c r="J580" s="14" t="str"/>
      <x:c r="K580" s="14" t="str">
        <x:v>Scale</x:v>
      </x:c>
      <x:c r="L580" s="14" t="str"/>
      <x:c r="M580" s="14" t="str">
        <x:v>Alternate</x:v>
      </x:c>
      <x:c r="N580" s="14" t="n">
        <x:f>IF(E580&lt;&gt;"",1,0)+IF(F580&lt;&gt;"",1,0)+IF(H580&lt;&gt;"",1,0)+IF(J580&lt;&gt;"",1,0)+IF(L580&lt;&gt;"",1,0)</x:f>
        <x:v>1</x:v>
      </x:c>
      <x:c r="O580" s="14" t="str">
        <x:f>IF(E580="","MISSING MAIN",IF(N580=1,"MAIN ONLY","MULTI-PHOTO"))</x:f>
        <x:v>MAIN ONLY</x:v>
      </x:c>
      <x:c r="P580" s="14" t="str">
        <x:v>0672_</x:v>
      </x:c>
      <x:c r="Q580" s="14" t="str">
        <x:v>https://mb1advancedsolutions.github.io/mb1-catalog/index.html?design=0672</x:v>
      </x:c>
      <x:c r="R580" s="14" t="str"/>
    </x:row>
    <x:row r="581">
      <x:c r="A581" s="13" t="str">
        <x:v>MB1-0673</x:v>
      </x:c>
      <x:c r="B581" s="13" t="str">
        <x:v>MB1-0673</x:v>
      </x:c>
      <x:c r="C581" s="14" t="str">
        <x:v>Monogram C</x:v>
      </x:c>
      <x:c r="D581" s="14" t="str">
        <x:v>family &amp; name</x:v>
      </x:c>
      <x:c r="E581" s="14" t="str">
        <x:v>https://res.cloudinary.com/oxygre42/image/upload/f_auto,q_auto,c_pad,b_white,w_1200,h_1200/v1788349857/0673_Monogram_C.png</x:v>
      </x:c>
      <x:c r="F581" s="14" t="str"/>
      <x:c r="G581" s="14" t="str">
        <x:v>Lifestyle</x:v>
      </x:c>
      <x:c r="H581" s="14" t="str"/>
      <x:c r="I581" s="14" t="str">
        <x:v>Detail</x:v>
      </x:c>
      <x:c r="J581" s="14" t="str"/>
      <x:c r="K581" s="14" t="str">
        <x:v>Scale</x:v>
      </x:c>
      <x:c r="L581" s="14" t="str"/>
      <x:c r="M581" s="14" t="str">
        <x:v>Alternate</x:v>
      </x:c>
      <x:c r="N581" s="14" t="n">
        <x:f>IF(E581&lt;&gt;"",1,0)+IF(F581&lt;&gt;"",1,0)+IF(H581&lt;&gt;"",1,0)+IF(J581&lt;&gt;"",1,0)+IF(L581&lt;&gt;"",1,0)</x:f>
        <x:v>1</x:v>
      </x:c>
      <x:c r="O581" s="14" t="str">
        <x:f>IF(E581="","MISSING MAIN",IF(N581=1,"MAIN ONLY","MULTI-PHOTO"))</x:f>
        <x:v>MAIN ONLY</x:v>
      </x:c>
      <x:c r="P581" s="14" t="str">
        <x:v>0673_</x:v>
      </x:c>
      <x:c r="Q581" s="14" t="str">
        <x:v>https://mb1advancedsolutions.github.io/mb1-catalog/index.html?design=0673</x:v>
      </x:c>
      <x:c r="R581" s="14" t="str"/>
    </x:row>
    <x:row r="582">
      <x:c r="A582" s="13" t="str">
        <x:v>MB1-0674</x:v>
      </x:c>
      <x:c r="B582" s="13" t="str">
        <x:v>MB1-0674</x:v>
      </x:c>
      <x:c r="C582" s="14" t="str">
        <x:v>Monogram D</x:v>
      </x:c>
      <x:c r="D582" s="14" t="str">
        <x:v>family &amp; name</x:v>
      </x:c>
      <x:c r="E582" s="14" t="str">
        <x:v>https://res.cloudinary.com/oxygre42/image/upload/f_auto,q_auto,c_pad,b_white,w_1200,h_1200/v1788349859/0674_Monogram_D.png</x:v>
      </x:c>
      <x:c r="F582" s="14" t="str"/>
      <x:c r="G582" s="14" t="str">
        <x:v>Lifestyle</x:v>
      </x:c>
      <x:c r="H582" s="14" t="str"/>
      <x:c r="I582" s="14" t="str">
        <x:v>Detail</x:v>
      </x:c>
      <x:c r="J582" s="14" t="str"/>
      <x:c r="K582" s="14" t="str">
        <x:v>Scale</x:v>
      </x:c>
      <x:c r="L582" s="14" t="str"/>
      <x:c r="M582" s="14" t="str">
        <x:v>Alternate</x:v>
      </x:c>
      <x:c r="N582" s="14" t="n">
        <x:f>IF(E582&lt;&gt;"",1,0)+IF(F582&lt;&gt;"",1,0)+IF(H582&lt;&gt;"",1,0)+IF(J582&lt;&gt;"",1,0)+IF(L582&lt;&gt;"",1,0)</x:f>
        <x:v>1</x:v>
      </x:c>
      <x:c r="O582" s="14" t="str">
        <x:f>IF(E582="","MISSING MAIN",IF(N582=1,"MAIN ONLY","MULTI-PHOTO"))</x:f>
        <x:v>MAIN ONLY</x:v>
      </x:c>
      <x:c r="P582" s="14" t="str">
        <x:v>0674_</x:v>
      </x:c>
      <x:c r="Q582" s="14" t="str">
        <x:v>https://mb1advancedsolutions.github.io/mb1-catalog/index.html?design=0674</x:v>
      </x:c>
      <x:c r="R582" s="14" t="str"/>
    </x:row>
    <x:row r="583">
      <x:c r="A583" s="13" t="str">
        <x:v>MB1-0675</x:v>
      </x:c>
      <x:c r="B583" s="13" t="str">
        <x:v>MB1-0675</x:v>
      </x:c>
      <x:c r="C583" s="14" t="str">
        <x:v>Monogram E</x:v>
      </x:c>
      <x:c r="D583" s="14" t="str">
        <x:v>family &amp; name</x:v>
      </x:c>
      <x:c r="E583" s="14" t="str">
        <x:v>https://res.cloudinary.com/oxygre42/image/upload/f_auto,q_auto,c_pad,b_white,w_1200,h_1200/v1788349861/0675_Monogram_E.png</x:v>
      </x:c>
      <x:c r="F583" s="14" t="str"/>
      <x:c r="G583" s="14" t="str">
        <x:v>Lifestyle</x:v>
      </x:c>
      <x:c r="H583" s="14" t="str"/>
      <x:c r="I583" s="14" t="str">
        <x:v>Detail</x:v>
      </x:c>
      <x:c r="J583" s="14" t="str"/>
      <x:c r="K583" s="14" t="str">
        <x:v>Scale</x:v>
      </x:c>
      <x:c r="L583" s="14" t="str"/>
      <x:c r="M583" s="14" t="str">
        <x:v>Alternate</x:v>
      </x:c>
      <x:c r="N583" s="14" t="n">
        <x:f>IF(E583&lt;&gt;"",1,0)+IF(F583&lt;&gt;"",1,0)+IF(H583&lt;&gt;"",1,0)+IF(J583&lt;&gt;"",1,0)+IF(L583&lt;&gt;"",1,0)</x:f>
        <x:v>1</x:v>
      </x:c>
      <x:c r="O583" s="14" t="str">
        <x:f>IF(E583="","MISSING MAIN",IF(N583=1,"MAIN ONLY","MULTI-PHOTO"))</x:f>
        <x:v>MAIN ONLY</x:v>
      </x:c>
      <x:c r="P583" s="14" t="str">
        <x:v>0675_</x:v>
      </x:c>
      <x:c r="Q583" s="14" t="str">
        <x:v>https://mb1advancedsolutions.github.io/mb1-catalog/index.html?design=0675</x:v>
      </x:c>
      <x:c r="R583" s="14" t="str"/>
    </x:row>
    <x:row r="584">
      <x:c r="A584" s="13" t="str">
        <x:v>MB1-0676</x:v>
      </x:c>
      <x:c r="B584" s="13" t="str">
        <x:v>MB1-0676</x:v>
      </x:c>
      <x:c r="C584" s="14" t="str">
        <x:v>Monogram F</x:v>
      </x:c>
      <x:c r="D584" s="14" t="str">
        <x:v>family &amp; name</x:v>
      </x:c>
      <x:c r="E584" s="14" t="str">
        <x:v>https://res.cloudinary.com/oxygre42/image/upload/f_auto,q_auto,c_pad,b_white,w_1200,h_1200/v1788349863/0676_Monogram_F.png</x:v>
      </x:c>
      <x:c r="F584" s="14" t="str"/>
      <x:c r="G584" s="14" t="str">
        <x:v>Lifestyle</x:v>
      </x:c>
      <x:c r="H584" s="14" t="str"/>
      <x:c r="I584" s="14" t="str">
        <x:v>Detail</x:v>
      </x:c>
      <x:c r="J584" s="14" t="str"/>
      <x:c r="K584" s="14" t="str">
        <x:v>Scale</x:v>
      </x:c>
      <x:c r="L584" s="14" t="str"/>
      <x:c r="M584" s="14" t="str">
        <x:v>Alternate</x:v>
      </x:c>
      <x:c r="N584" s="14" t="n">
        <x:f>IF(E584&lt;&gt;"",1,0)+IF(F584&lt;&gt;"",1,0)+IF(H584&lt;&gt;"",1,0)+IF(J584&lt;&gt;"",1,0)+IF(L584&lt;&gt;"",1,0)</x:f>
        <x:v>1</x:v>
      </x:c>
      <x:c r="O584" s="14" t="str">
        <x:f>IF(E584="","MISSING MAIN",IF(N584=1,"MAIN ONLY","MULTI-PHOTO"))</x:f>
        <x:v>MAIN ONLY</x:v>
      </x:c>
      <x:c r="P584" s="14" t="str">
        <x:v>0676_</x:v>
      </x:c>
      <x:c r="Q584" s="14" t="str">
        <x:v>https://mb1advancedsolutions.github.io/mb1-catalog/index.html?design=0676</x:v>
      </x:c>
      <x:c r="R584" s="14" t="str"/>
    </x:row>
    <x:row r="585">
      <x:c r="A585" s="13" t="str">
        <x:v>MB1-0677</x:v>
      </x:c>
      <x:c r="B585" s="13" t="str">
        <x:v>MB1-0677</x:v>
      </x:c>
      <x:c r="C585" s="14" t="str">
        <x:v>Monogram G</x:v>
      </x:c>
      <x:c r="D585" s="14" t="str">
        <x:v>family &amp; name</x:v>
      </x:c>
      <x:c r="E585" s="14" t="str">
        <x:v>https://res.cloudinary.com/oxygre42/image/upload/f_auto,q_auto,c_pad,b_white,w_1200,h_1200/v1788349864/0677_Monogram_G.png</x:v>
      </x:c>
      <x:c r="F585" s="14" t="str"/>
      <x:c r="G585" s="14" t="str">
        <x:v>Lifestyle</x:v>
      </x:c>
      <x:c r="H585" s="14" t="str"/>
      <x:c r="I585" s="14" t="str">
        <x:v>Detail</x:v>
      </x:c>
      <x:c r="J585" s="14" t="str"/>
      <x:c r="K585" s="14" t="str">
        <x:v>Scale</x:v>
      </x:c>
      <x:c r="L585" s="14" t="str"/>
      <x:c r="M585" s="14" t="str">
        <x:v>Alternate</x:v>
      </x:c>
      <x:c r="N585" s="14" t="n">
        <x:f>IF(E585&lt;&gt;"",1,0)+IF(F585&lt;&gt;"",1,0)+IF(H585&lt;&gt;"",1,0)+IF(J585&lt;&gt;"",1,0)+IF(L585&lt;&gt;"",1,0)</x:f>
        <x:v>1</x:v>
      </x:c>
      <x:c r="O585" s="14" t="str">
        <x:f>IF(E585="","MISSING MAIN",IF(N585=1,"MAIN ONLY","MULTI-PHOTO"))</x:f>
        <x:v>MAIN ONLY</x:v>
      </x:c>
      <x:c r="P585" s="14" t="str">
        <x:v>0677_</x:v>
      </x:c>
      <x:c r="Q585" s="14" t="str">
        <x:v>https://mb1advancedsolutions.github.io/mb1-catalog/index.html?design=0677</x:v>
      </x:c>
      <x:c r="R585" s="14" t="str"/>
    </x:row>
    <x:row r="586">
      <x:c r="A586" s="13" t="str">
        <x:v>MB1-0678</x:v>
      </x:c>
      <x:c r="B586" s="13" t="str">
        <x:v>MB1-0678</x:v>
      </x:c>
      <x:c r="C586" s="14" t="str">
        <x:v>Monogram H</x:v>
      </x:c>
      <x:c r="D586" s="14" t="str">
        <x:v>family &amp; name</x:v>
      </x:c>
      <x:c r="E586" s="14" t="str">
        <x:v>https://res.cloudinary.com/oxygre42/image/upload/f_auto,q_auto,c_pad,b_white,w_1200,h_1200/v1788349866/0678_Monogram_H.png</x:v>
      </x:c>
      <x:c r="F586" s="14" t="str"/>
      <x:c r="G586" s="14" t="str">
        <x:v>Lifestyle</x:v>
      </x:c>
      <x:c r="H586" s="14" t="str"/>
      <x:c r="I586" s="14" t="str">
        <x:v>Detail</x:v>
      </x:c>
      <x:c r="J586" s="14" t="str"/>
      <x:c r="K586" s="14" t="str">
        <x:v>Scale</x:v>
      </x:c>
      <x:c r="L586" s="14" t="str"/>
      <x:c r="M586" s="14" t="str">
        <x:v>Alternate</x:v>
      </x:c>
      <x:c r="N586" s="14" t="n">
        <x:f>IF(E586&lt;&gt;"",1,0)+IF(F586&lt;&gt;"",1,0)+IF(H586&lt;&gt;"",1,0)+IF(J586&lt;&gt;"",1,0)+IF(L586&lt;&gt;"",1,0)</x:f>
        <x:v>1</x:v>
      </x:c>
      <x:c r="O586" s="14" t="str">
        <x:f>IF(E586="","MISSING MAIN",IF(N586=1,"MAIN ONLY","MULTI-PHOTO"))</x:f>
        <x:v>MAIN ONLY</x:v>
      </x:c>
      <x:c r="P586" s="14" t="str">
        <x:v>0678_</x:v>
      </x:c>
      <x:c r="Q586" s="14" t="str">
        <x:v>https://mb1advancedsolutions.github.io/mb1-catalog/index.html?design=0678</x:v>
      </x:c>
      <x:c r="R586" s="14" t="str"/>
    </x:row>
    <x:row r="587">
      <x:c r="A587" s="13" t="str">
        <x:v>MB1-0679</x:v>
      </x:c>
      <x:c r="B587" s="13" t="str">
        <x:v>MB1-0679</x:v>
      </x:c>
      <x:c r="C587" s="14" t="str">
        <x:v>Monogram I</x:v>
      </x:c>
      <x:c r="D587" s="14" t="str">
        <x:v>family &amp; name</x:v>
      </x:c>
      <x:c r="E587" s="14" t="str">
        <x:v>https://res.cloudinary.com/oxygre42/image/upload/f_auto,q_auto,c_pad,b_white,w_1200,h_1200/v1788349868/0679_Monogram_I.png</x:v>
      </x:c>
      <x:c r="F587" s="14" t="str"/>
      <x:c r="G587" s="14" t="str">
        <x:v>Lifestyle</x:v>
      </x:c>
      <x:c r="H587" s="14" t="str"/>
      <x:c r="I587" s="14" t="str">
        <x:v>Detail</x:v>
      </x:c>
      <x:c r="J587" s="14" t="str"/>
      <x:c r="K587" s="14" t="str">
        <x:v>Scale</x:v>
      </x:c>
      <x:c r="L587" s="14" t="str"/>
      <x:c r="M587" s="14" t="str">
        <x:v>Alternate</x:v>
      </x:c>
      <x:c r="N587" s="14" t="n">
        <x:f>IF(E587&lt;&gt;"",1,0)+IF(F587&lt;&gt;"",1,0)+IF(H587&lt;&gt;"",1,0)+IF(J587&lt;&gt;"",1,0)+IF(L587&lt;&gt;"",1,0)</x:f>
        <x:v>1</x:v>
      </x:c>
      <x:c r="O587" s="14" t="str">
        <x:f>IF(E587="","MISSING MAIN",IF(N587=1,"MAIN ONLY","MULTI-PHOTO"))</x:f>
        <x:v>MAIN ONLY</x:v>
      </x:c>
      <x:c r="P587" s="14" t="str">
        <x:v>0679_</x:v>
      </x:c>
      <x:c r="Q587" s="14" t="str">
        <x:v>https://mb1advancedsolutions.github.io/mb1-catalog/index.html?design=0679</x:v>
      </x:c>
      <x:c r="R587" s="14" t="str"/>
    </x:row>
    <x:row r="588">
      <x:c r="A588" s="13" t="str">
        <x:v>MB1-0680</x:v>
      </x:c>
      <x:c r="B588" s="13" t="str">
        <x:v>MB1-0680</x:v>
      </x:c>
      <x:c r="C588" s="14" t="str">
        <x:v>Monogram J</x:v>
      </x:c>
      <x:c r="D588" s="14" t="str">
        <x:v>family &amp; name</x:v>
      </x:c>
      <x:c r="E588" s="14" t="str">
        <x:v>https://res.cloudinary.com/oxygre42/image/upload/f_auto,q_auto,c_pad,b_white,w_1200,h_1200/v1788349870/0680_Monogram_J.png</x:v>
      </x:c>
      <x:c r="F588" s="14" t="str"/>
      <x:c r="G588" s="14" t="str">
        <x:v>Lifestyle</x:v>
      </x:c>
      <x:c r="H588" s="14" t="str"/>
      <x:c r="I588" s="14" t="str">
        <x:v>Detail</x:v>
      </x:c>
      <x:c r="J588" s="14" t="str"/>
      <x:c r="K588" s="14" t="str">
        <x:v>Scale</x:v>
      </x:c>
      <x:c r="L588" s="14" t="str"/>
      <x:c r="M588" s="14" t="str">
        <x:v>Alternate</x:v>
      </x:c>
      <x:c r="N588" s="14" t="n">
        <x:f>IF(E588&lt;&gt;"",1,0)+IF(F588&lt;&gt;"",1,0)+IF(H588&lt;&gt;"",1,0)+IF(J588&lt;&gt;"",1,0)+IF(L588&lt;&gt;"",1,0)</x:f>
        <x:v>1</x:v>
      </x:c>
      <x:c r="O588" s="14" t="str">
        <x:f>IF(E588="","MISSING MAIN",IF(N588=1,"MAIN ONLY","MULTI-PHOTO"))</x:f>
        <x:v>MAIN ONLY</x:v>
      </x:c>
      <x:c r="P588" s="14" t="str">
        <x:v>0680_</x:v>
      </x:c>
      <x:c r="Q588" s="14" t="str">
        <x:v>https://mb1advancedsolutions.github.io/mb1-catalog/index.html?design=0680</x:v>
      </x:c>
      <x:c r="R588" s="14" t="str"/>
    </x:row>
    <x:row r="589">
      <x:c r="A589" s="13" t="str">
        <x:v>MB1-0681</x:v>
      </x:c>
      <x:c r="B589" s="13" t="str">
        <x:v>MB1-0681</x:v>
      </x:c>
      <x:c r="C589" s="14" t="str">
        <x:v>Monogram K</x:v>
      </x:c>
      <x:c r="D589" s="14" t="str">
        <x:v>family &amp; name</x:v>
      </x:c>
      <x:c r="E589" s="14" t="str">
        <x:v>https://res.cloudinary.com/oxygre42/image/upload/f_auto,q_auto,c_pad,b_white,w_1200,h_1200/v1788349872/0681_Monogram_K.png</x:v>
      </x:c>
      <x:c r="F589" s="14" t="str"/>
      <x:c r="G589" s="14" t="str">
        <x:v>Lifestyle</x:v>
      </x:c>
      <x:c r="H589" s="14" t="str"/>
      <x:c r="I589" s="14" t="str">
        <x:v>Detail</x:v>
      </x:c>
      <x:c r="J589" s="14" t="str"/>
      <x:c r="K589" s="14" t="str">
        <x:v>Scale</x:v>
      </x:c>
      <x:c r="L589" s="14" t="str"/>
      <x:c r="M589" s="14" t="str">
        <x:v>Alternate</x:v>
      </x:c>
      <x:c r="N589" s="14" t="n">
        <x:f>IF(E589&lt;&gt;"",1,0)+IF(F589&lt;&gt;"",1,0)+IF(H589&lt;&gt;"",1,0)+IF(J589&lt;&gt;"",1,0)+IF(L589&lt;&gt;"",1,0)</x:f>
        <x:v>1</x:v>
      </x:c>
      <x:c r="O589" s="14" t="str">
        <x:f>IF(E589="","MISSING MAIN",IF(N589=1,"MAIN ONLY","MULTI-PHOTO"))</x:f>
        <x:v>MAIN ONLY</x:v>
      </x:c>
      <x:c r="P589" s="14" t="str">
        <x:v>0681_</x:v>
      </x:c>
      <x:c r="Q589" s="14" t="str">
        <x:v>https://mb1advancedsolutions.github.io/mb1-catalog/index.html?design=0681</x:v>
      </x:c>
      <x:c r="R589" s="14" t="str"/>
    </x:row>
    <x:row r="590">
      <x:c r="A590" s="13" t="str">
        <x:v>MB1-0682</x:v>
      </x:c>
      <x:c r="B590" s="13" t="str">
        <x:v>MB1-0682</x:v>
      </x:c>
      <x:c r="C590" s="14" t="str">
        <x:v>Monogram L</x:v>
      </x:c>
      <x:c r="D590" s="14" t="str">
        <x:v>family &amp; name</x:v>
      </x:c>
      <x:c r="E590" s="14" t="str">
        <x:v>https://res.cloudinary.com/oxygre42/image/upload/f_auto,q_auto,c_pad,b_white,w_1200,h_1200/v1788349874/0682_Monogram_L.png</x:v>
      </x:c>
      <x:c r="F590" s="14" t="str"/>
      <x:c r="G590" s="14" t="str">
        <x:v>Lifestyle</x:v>
      </x:c>
      <x:c r="H590" s="14" t="str"/>
      <x:c r="I590" s="14" t="str">
        <x:v>Detail</x:v>
      </x:c>
      <x:c r="J590" s="14" t="str"/>
      <x:c r="K590" s="14" t="str">
        <x:v>Scale</x:v>
      </x:c>
      <x:c r="L590" s="14" t="str"/>
      <x:c r="M590" s="14" t="str">
        <x:v>Alternate</x:v>
      </x:c>
      <x:c r="N590" s="14" t="n">
        <x:f>IF(E590&lt;&gt;"",1,0)+IF(F590&lt;&gt;"",1,0)+IF(H590&lt;&gt;"",1,0)+IF(J590&lt;&gt;"",1,0)+IF(L590&lt;&gt;"",1,0)</x:f>
        <x:v>1</x:v>
      </x:c>
      <x:c r="O590" s="14" t="str">
        <x:f>IF(E590="","MISSING MAIN",IF(N590=1,"MAIN ONLY","MULTI-PHOTO"))</x:f>
        <x:v>MAIN ONLY</x:v>
      </x:c>
      <x:c r="P590" s="14" t="str">
        <x:v>0682_</x:v>
      </x:c>
      <x:c r="Q590" s="14" t="str">
        <x:v>https://mb1advancedsolutions.github.io/mb1-catalog/index.html?design=0682</x:v>
      </x:c>
      <x:c r="R590" s="14" t="str"/>
    </x:row>
    <x:row r="591">
      <x:c r="A591" s="13" t="str">
        <x:v>MB1-0683</x:v>
      </x:c>
      <x:c r="B591" s="13" t="str">
        <x:v>MB1-0683</x:v>
      </x:c>
      <x:c r="C591" s="14" t="str">
        <x:v>Monogram M</x:v>
      </x:c>
      <x:c r="D591" s="14" t="str">
        <x:v>family &amp; name</x:v>
      </x:c>
      <x:c r="E591" s="14" t="str">
        <x:v>https://res.cloudinary.com/oxygre42/image/upload/f_auto,q_auto,c_pad,b_white,w_1200,h_1200/v1788349876/0683_Monogram_M.png</x:v>
      </x:c>
      <x:c r="F591" s="14" t="str"/>
      <x:c r="G591" s="14" t="str">
        <x:v>Lifestyle</x:v>
      </x:c>
      <x:c r="H591" s="14" t="str"/>
      <x:c r="I591" s="14" t="str">
        <x:v>Detail</x:v>
      </x:c>
      <x:c r="J591" s="14" t="str"/>
      <x:c r="K591" s="14" t="str">
        <x:v>Scale</x:v>
      </x:c>
      <x:c r="L591" s="14" t="str"/>
      <x:c r="M591" s="14" t="str">
        <x:v>Alternate</x:v>
      </x:c>
      <x:c r="N591" s="14" t="n">
        <x:f>IF(E591&lt;&gt;"",1,0)+IF(F591&lt;&gt;"",1,0)+IF(H591&lt;&gt;"",1,0)+IF(J591&lt;&gt;"",1,0)+IF(L591&lt;&gt;"",1,0)</x:f>
        <x:v>1</x:v>
      </x:c>
      <x:c r="O591" s="14" t="str">
        <x:f>IF(E591="","MISSING MAIN",IF(N591=1,"MAIN ONLY","MULTI-PHOTO"))</x:f>
        <x:v>MAIN ONLY</x:v>
      </x:c>
      <x:c r="P591" s="14" t="str">
        <x:v>0683_</x:v>
      </x:c>
      <x:c r="Q591" s="14" t="str">
        <x:v>https://mb1advancedsolutions.github.io/mb1-catalog/index.html?design=0683</x:v>
      </x:c>
      <x:c r="R591" s="14" t="str"/>
    </x:row>
    <x:row r="592">
      <x:c r="A592" s="13" t="str">
        <x:v>MB1-0684</x:v>
      </x:c>
      <x:c r="B592" s="13" t="str">
        <x:v>MB1-0684</x:v>
      </x:c>
      <x:c r="C592" s="14" t="str">
        <x:v>Monogram N</x:v>
      </x:c>
      <x:c r="D592" s="14" t="str">
        <x:v>family &amp; name</x:v>
      </x:c>
      <x:c r="E592" s="14" t="str">
        <x:v>https://res.cloudinary.com/oxygre42/image/upload/f_auto,q_auto,c_pad,b_white,w_1200,h_1200/v1788349877/0684_Monogram_N.png</x:v>
      </x:c>
      <x:c r="F592" s="14" t="str"/>
      <x:c r="G592" s="14" t="str">
        <x:v>Lifestyle</x:v>
      </x:c>
      <x:c r="H592" s="14" t="str"/>
      <x:c r="I592" s="14" t="str">
        <x:v>Detail</x:v>
      </x:c>
      <x:c r="J592" s="14" t="str"/>
      <x:c r="K592" s="14" t="str">
        <x:v>Scale</x:v>
      </x:c>
      <x:c r="L592" s="14" t="str"/>
      <x:c r="M592" s="14" t="str">
        <x:v>Alternate</x:v>
      </x:c>
      <x:c r="N592" s="14" t="n">
        <x:f>IF(E592&lt;&gt;"",1,0)+IF(F592&lt;&gt;"",1,0)+IF(H592&lt;&gt;"",1,0)+IF(J592&lt;&gt;"",1,0)+IF(L592&lt;&gt;"",1,0)</x:f>
        <x:v>1</x:v>
      </x:c>
      <x:c r="O592" s="14" t="str">
        <x:f>IF(E592="","MISSING MAIN",IF(N592=1,"MAIN ONLY","MULTI-PHOTO"))</x:f>
        <x:v>MAIN ONLY</x:v>
      </x:c>
      <x:c r="P592" s="14" t="str">
        <x:v>0684_</x:v>
      </x:c>
      <x:c r="Q592" s="14" t="str">
        <x:v>https://mb1advancedsolutions.github.io/mb1-catalog/index.html?design=0684</x:v>
      </x:c>
      <x:c r="R592" s="14" t="str"/>
    </x:row>
    <x:row r="593">
      <x:c r="A593" s="13" t="str">
        <x:v>MB1-0685</x:v>
      </x:c>
      <x:c r="B593" s="13" t="str">
        <x:v>MB1-0685</x:v>
      </x:c>
      <x:c r="C593" s="14" t="str">
        <x:v>Monogram O</x:v>
      </x:c>
      <x:c r="D593" s="14" t="str">
        <x:v>family &amp; name</x:v>
      </x:c>
      <x:c r="E593" s="14" t="str">
        <x:v>https://res.cloudinary.com/oxygre42/image/upload/f_auto,q_auto,c_pad,b_white,w_1200,h_1200/v1788349879/0685_Monogram_O.png</x:v>
      </x:c>
      <x:c r="F593" s="14" t="str"/>
      <x:c r="G593" s="14" t="str">
        <x:v>Lifestyle</x:v>
      </x:c>
      <x:c r="H593" s="14" t="str"/>
      <x:c r="I593" s="14" t="str">
        <x:v>Detail</x:v>
      </x:c>
      <x:c r="J593" s="14" t="str"/>
      <x:c r="K593" s="14" t="str">
        <x:v>Scale</x:v>
      </x:c>
      <x:c r="L593" s="14" t="str"/>
      <x:c r="M593" s="14" t="str">
        <x:v>Alternate</x:v>
      </x:c>
      <x:c r="N593" s="14" t="n">
        <x:f>IF(E593&lt;&gt;"",1,0)+IF(F593&lt;&gt;"",1,0)+IF(H593&lt;&gt;"",1,0)+IF(J593&lt;&gt;"",1,0)+IF(L593&lt;&gt;"",1,0)</x:f>
        <x:v>1</x:v>
      </x:c>
      <x:c r="O593" s="14" t="str">
        <x:f>IF(E593="","MISSING MAIN",IF(N593=1,"MAIN ONLY","MULTI-PHOTO"))</x:f>
        <x:v>MAIN ONLY</x:v>
      </x:c>
      <x:c r="P593" s="14" t="str">
        <x:v>0685_</x:v>
      </x:c>
      <x:c r="Q593" s="14" t="str">
        <x:v>https://mb1advancedsolutions.github.io/mb1-catalog/index.html?design=0685</x:v>
      </x:c>
      <x:c r="R593" s="14" t="str"/>
    </x:row>
    <x:row r="594">
      <x:c r="A594" s="13" t="str">
        <x:v>MB1-0686</x:v>
      </x:c>
      <x:c r="B594" s="13" t="str">
        <x:v>MB1-0686</x:v>
      </x:c>
      <x:c r="C594" s="14" t="str">
        <x:v>Monogram P</x:v>
      </x:c>
      <x:c r="D594" s="14" t="str">
        <x:v>family &amp; name</x:v>
      </x:c>
      <x:c r="E594" s="14" t="str">
        <x:v>https://res.cloudinary.com/oxygre42/image/upload/f_auto,q_auto,c_pad,b_white,w_1200,h_1200/v1788349881/0686_Monogram_P.png</x:v>
      </x:c>
      <x:c r="F594" s="14" t="str"/>
      <x:c r="G594" s="14" t="str">
        <x:v>Lifestyle</x:v>
      </x:c>
      <x:c r="H594" s="14" t="str"/>
      <x:c r="I594" s="14" t="str">
        <x:v>Detail</x:v>
      </x:c>
      <x:c r="J594" s="14" t="str"/>
      <x:c r="K594" s="14" t="str">
        <x:v>Scale</x:v>
      </x:c>
      <x:c r="L594" s="14" t="str"/>
      <x:c r="M594" s="14" t="str">
        <x:v>Alternate</x:v>
      </x:c>
      <x:c r="N594" s="14" t="n">
        <x:f>IF(E594&lt;&gt;"",1,0)+IF(F594&lt;&gt;"",1,0)+IF(H594&lt;&gt;"",1,0)+IF(J594&lt;&gt;"",1,0)+IF(L594&lt;&gt;"",1,0)</x:f>
        <x:v>1</x:v>
      </x:c>
      <x:c r="O594" s="14" t="str">
        <x:f>IF(E594="","MISSING MAIN",IF(N594=1,"MAIN ONLY","MULTI-PHOTO"))</x:f>
        <x:v>MAIN ONLY</x:v>
      </x:c>
      <x:c r="P594" s="14" t="str">
        <x:v>0686_</x:v>
      </x:c>
      <x:c r="Q594" s="14" t="str">
        <x:v>https://mb1advancedsolutions.github.io/mb1-catalog/index.html?design=0686</x:v>
      </x:c>
      <x:c r="R594" s="14" t="str"/>
    </x:row>
    <x:row r="595">
      <x:c r="A595" s="13" t="str">
        <x:v>MB1-0687</x:v>
      </x:c>
      <x:c r="B595" s="13" t="str">
        <x:v>MB1-0687</x:v>
      </x:c>
      <x:c r="C595" s="14" t="str">
        <x:v>Monogram Q</x:v>
      </x:c>
      <x:c r="D595" s="14" t="str">
        <x:v>family &amp; name</x:v>
      </x:c>
      <x:c r="E595" s="14" t="str">
        <x:v>https://res.cloudinary.com/oxygre42/image/upload/f_auto,q_auto,c_pad,b_white,w_1200,h_1200/v1788349883/0687_Monogram_Q.png</x:v>
      </x:c>
      <x:c r="F595" s="14" t="str"/>
      <x:c r="G595" s="14" t="str">
        <x:v>Lifestyle</x:v>
      </x:c>
      <x:c r="H595" s="14" t="str"/>
      <x:c r="I595" s="14" t="str">
        <x:v>Detail</x:v>
      </x:c>
      <x:c r="J595" s="14" t="str"/>
      <x:c r="K595" s="14" t="str">
        <x:v>Scale</x:v>
      </x:c>
      <x:c r="L595" s="14" t="str"/>
      <x:c r="M595" s="14" t="str">
        <x:v>Alternate</x:v>
      </x:c>
      <x:c r="N595" s="14" t="n">
        <x:f>IF(E595&lt;&gt;"",1,0)+IF(F595&lt;&gt;"",1,0)+IF(H595&lt;&gt;"",1,0)+IF(J595&lt;&gt;"",1,0)+IF(L595&lt;&gt;"",1,0)</x:f>
        <x:v>1</x:v>
      </x:c>
      <x:c r="O595" s="14" t="str">
        <x:f>IF(E595="","MISSING MAIN",IF(N595=1,"MAIN ONLY","MULTI-PHOTO"))</x:f>
        <x:v>MAIN ONLY</x:v>
      </x:c>
      <x:c r="P595" s="14" t="str">
        <x:v>0687_</x:v>
      </x:c>
      <x:c r="Q595" s="14" t="str">
        <x:v>https://mb1advancedsolutions.github.io/mb1-catalog/index.html?design=0687</x:v>
      </x:c>
      <x:c r="R595" s="14" t="str"/>
    </x:row>
    <x:row r="596">
      <x:c r="A596" s="13" t="str">
        <x:v>MB1-0688</x:v>
      </x:c>
      <x:c r="B596" s="13" t="str">
        <x:v>MB1-0688</x:v>
      </x:c>
      <x:c r="C596" s="14" t="str">
        <x:v>Monogram R</x:v>
      </x:c>
      <x:c r="D596" s="14" t="str">
        <x:v>family &amp; name</x:v>
      </x:c>
      <x:c r="E596" s="14" t="str">
        <x:v>https://res.cloudinary.com/oxygre42/image/upload/f_auto,q_auto,c_pad,b_white,w_1200,h_1200/v1788349885/0688_Monogram_R.png</x:v>
      </x:c>
      <x:c r="F596" s="14" t="str"/>
      <x:c r="G596" s="14" t="str">
        <x:v>Lifestyle</x:v>
      </x:c>
      <x:c r="H596" s="14" t="str"/>
      <x:c r="I596" s="14" t="str">
        <x:v>Detail</x:v>
      </x:c>
      <x:c r="J596" s="14" t="str"/>
      <x:c r="K596" s="14" t="str">
        <x:v>Scale</x:v>
      </x:c>
      <x:c r="L596" s="14" t="str"/>
      <x:c r="M596" s="14" t="str">
        <x:v>Alternate</x:v>
      </x:c>
      <x:c r="N596" s="14" t="n">
        <x:f>IF(E596&lt;&gt;"",1,0)+IF(F596&lt;&gt;"",1,0)+IF(H596&lt;&gt;"",1,0)+IF(J596&lt;&gt;"",1,0)+IF(L596&lt;&gt;"",1,0)</x:f>
        <x:v>1</x:v>
      </x:c>
      <x:c r="O596" s="14" t="str">
        <x:f>IF(E596="","MISSING MAIN",IF(N596=1,"MAIN ONLY","MULTI-PHOTO"))</x:f>
        <x:v>MAIN ONLY</x:v>
      </x:c>
      <x:c r="P596" s="14" t="str">
        <x:v>0688_</x:v>
      </x:c>
      <x:c r="Q596" s="14" t="str">
        <x:v>https://mb1advancedsolutions.github.io/mb1-catalog/index.html?design=0688</x:v>
      </x:c>
      <x:c r="R596" s="14" t="str"/>
    </x:row>
    <x:row r="597">
      <x:c r="A597" s="13" t="str">
        <x:v>MB1-0689</x:v>
      </x:c>
      <x:c r="B597" s="13" t="str">
        <x:v>MB1-0689</x:v>
      </x:c>
      <x:c r="C597" s="14" t="str">
        <x:v>Monogram S</x:v>
      </x:c>
      <x:c r="D597" s="14" t="str">
        <x:v>family &amp; name</x:v>
      </x:c>
      <x:c r="E597" s="14" t="str">
        <x:v>https://res.cloudinary.com/oxygre42/image/upload/f_auto,q_auto,c_pad,b_white,w_1200,h_1200/v1788349887/0689_Monogram_S.png</x:v>
      </x:c>
      <x:c r="F597" s="14" t="str"/>
      <x:c r="G597" s="14" t="str">
        <x:v>Lifestyle</x:v>
      </x:c>
      <x:c r="H597" s="14" t="str"/>
      <x:c r="I597" s="14" t="str">
        <x:v>Detail</x:v>
      </x:c>
      <x:c r="J597" s="14" t="str"/>
      <x:c r="K597" s="14" t="str">
        <x:v>Scale</x:v>
      </x:c>
      <x:c r="L597" s="14" t="str"/>
      <x:c r="M597" s="14" t="str">
        <x:v>Alternate</x:v>
      </x:c>
      <x:c r="N597" s="14" t="n">
        <x:f>IF(E597&lt;&gt;"",1,0)+IF(F597&lt;&gt;"",1,0)+IF(H597&lt;&gt;"",1,0)+IF(J597&lt;&gt;"",1,0)+IF(L597&lt;&gt;"",1,0)</x:f>
        <x:v>1</x:v>
      </x:c>
      <x:c r="O597" s="14" t="str">
        <x:f>IF(E597="","MISSING MAIN",IF(N597=1,"MAIN ONLY","MULTI-PHOTO"))</x:f>
        <x:v>MAIN ONLY</x:v>
      </x:c>
      <x:c r="P597" s="14" t="str">
        <x:v>0689_</x:v>
      </x:c>
      <x:c r="Q597" s="14" t="str">
        <x:v>https://mb1advancedsolutions.github.io/mb1-catalog/index.html?design=0689</x:v>
      </x:c>
      <x:c r="R597" s="14" t="str"/>
    </x:row>
    <x:row r="598">
      <x:c r="A598" s="13" t="str">
        <x:v>MB1-0690</x:v>
      </x:c>
      <x:c r="B598" s="13" t="str">
        <x:v>MB1-0690</x:v>
      </x:c>
      <x:c r="C598" s="14" t="str">
        <x:v>Monogram T</x:v>
      </x:c>
      <x:c r="D598" s="14" t="str">
        <x:v>family &amp; name</x:v>
      </x:c>
      <x:c r="E598" s="14" t="str">
        <x:v>https://res.cloudinary.com/oxygre42/image/upload/f_auto,q_auto,c_pad,b_white,w_1200,h_1200/v1788349889/0690_Monogram_T.png</x:v>
      </x:c>
      <x:c r="F598" s="14" t="str"/>
      <x:c r="G598" s="14" t="str">
        <x:v>Lifestyle</x:v>
      </x:c>
      <x:c r="H598" s="14" t="str"/>
      <x:c r="I598" s="14" t="str">
        <x:v>Detail</x:v>
      </x:c>
      <x:c r="J598" s="14" t="str"/>
      <x:c r="K598" s="14" t="str">
        <x:v>Scale</x:v>
      </x:c>
      <x:c r="L598" s="14" t="str"/>
      <x:c r="M598" s="14" t="str">
        <x:v>Alternate</x:v>
      </x:c>
      <x:c r="N598" s="14" t="n">
        <x:f>IF(E598&lt;&gt;"",1,0)+IF(F598&lt;&gt;"",1,0)+IF(H598&lt;&gt;"",1,0)+IF(J598&lt;&gt;"",1,0)+IF(L598&lt;&gt;"",1,0)</x:f>
        <x:v>1</x:v>
      </x:c>
      <x:c r="O598" s="14" t="str">
        <x:f>IF(E598="","MISSING MAIN",IF(N598=1,"MAIN ONLY","MULTI-PHOTO"))</x:f>
        <x:v>MAIN ONLY</x:v>
      </x:c>
      <x:c r="P598" s="14" t="str">
        <x:v>0690_</x:v>
      </x:c>
      <x:c r="Q598" s="14" t="str">
        <x:v>https://mb1advancedsolutions.github.io/mb1-catalog/index.html?design=0690</x:v>
      </x:c>
      <x:c r="R598" s="14" t="str"/>
    </x:row>
    <x:row r="599">
      <x:c r="A599" s="13" t="str">
        <x:v>MB1-0691</x:v>
      </x:c>
      <x:c r="B599" s="13" t="str">
        <x:v>MB1-0691</x:v>
      </x:c>
      <x:c r="C599" s="14" t="str">
        <x:v>Monogram U</x:v>
      </x:c>
      <x:c r="D599" s="14" t="str">
        <x:v>family &amp; name</x:v>
      </x:c>
      <x:c r="E599" s="14" t="str">
        <x:v>https://res.cloudinary.com/oxygre42/image/upload/f_auto,q_auto,c_pad,b_white,w_1200,h_1200/v1788349891/0691_Monogram_U.png</x:v>
      </x:c>
      <x:c r="F599" s="14" t="str"/>
      <x:c r="G599" s="14" t="str">
        <x:v>Lifestyle</x:v>
      </x:c>
      <x:c r="H599" s="14" t="str"/>
      <x:c r="I599" s="14" t="str">
        <x:v>Detail</x:v>
      </x:c>
      <x:c r="J599" s="14" t="str"/>
      <x:c r="K599" s="14" t="str">
        <x:v>Scale</x:v>
      </x:c>
      <x:c r="L599" s="14" t="str"/>
      <x:c r="M599" s="14" t="str">
        <x:v>Alternate</x:v>
      </x:c>
      <x:c r="N599" s="14" t="n">
        <x:f>IF(E599&lt;&gt;"",1,0)+IF(F599&lt;&gt;"",1,0)+IF(H599&lt;&gt;"",1,0)+IF(J599&lt;&gt;"",1,0)+IF(L599&lt;&gt;"",1,0)</x:f>
        <x:v>1</x:v>
      </x:c>
      <x:c r="O599" s="14" t="str">
        <x:f>IF(E599="","MISSING MAIN",IF(N599=1,"MAIN ONLY","MULTI-PHOTO"))</x:f>
        <x:v>MAIN ONLY</x:v>
      </x:c>
      <x:c r="P599" s="14" t="str">
        <x:v>0691_</x:v>
      </x:c>
      <x:c r="Q599" s="14" t="str">
        <x:v>https://mb1advancedsolutions.github.io/mb1-catalog/index.html?design=0691</x:v>
      </x:c>
      <x:c r="R599" s="14" t="str"/>
    </x:row>
    <x:row r="600">
      <x:c r="A600" s="13" t="str">
        <x:v>MB1-0692</x:v>
      </x:c>
      <x:c r="B600" s="13" t="str">
        <x:v>MB1-0692</x:v>
      </x:c>
      <x:c r="C600" s="14" t="str">
        <x:v>Monogram V</x:v>
      </x:c>
      <x:c r="D600" s="14" t="str">
        <x:v>family &amp; name</x:v>
      </x:c>
      <x:c r="E600" s="14" t="str">
        <x:v>https://res.cloudinary.com/oxygre42/image/upload/f_auto,q_auto,c_pad,b_white,w_1200,h_1200/v1788349892/0692_Monogram_V.png</x:v>
      </x:c>
      <x:c r="F600" s="14" t="str"/>
      <x:c r="G600" s="14" t="str">
        <x:v>Lifestyle</x:v>
      </x:c>
      <x:c r="H600" s="14" t="str"/>
      <x:c r="I600" s="14" t="str">
        <x:v>Detail</x:v>
      </x:c>
      <x:c r="J600" s="14" t="str"/>
      <x:c r="K600" s="14" t="str">
        <x:v>Scale</x:v>
      </x:c>
      <x:c r="L600" s="14" t="str"/>
      <x:c r="M600" s="14" t="str">
        <x:v>Alternate</x:v>
      </x:c>
      <x:c r="N600" s="14" t="n">
        <x:f>IF(E600&lt;&gt;"",1,0)+IF(F600&lt;&gt;"",1,0)+IF(H600&lt;&gt;"",1,0)+IF(J600&lt;&gt;"",1,0)+IF(L600&lt;&gt;"",1,0)</x:f>
        <x:v>1</x:v>
      </x:c>
      <x:c r="O600" s="14" t="str">
        <x:f>IF(E600="","MISSING MAIN",IF(N600=1,"MAIN ONLY","MULTI-PHOTO"))</x:f>
        <x:v>MAIN ONLY</x:v>
      </x:c>
      <x:c r="P600" s="14" t="str">
        <x:v>0692_</x:v>
      </x:c>
      <x:c r="Q600" s="14" t="str">
        <x:v>https://mb1advancedsolutions.github.io/mb1-catalog/index.html?design=0692</x:v>
      </x:c>
      <x:c r="R600" s="14" t="str"/>
    </x:row>
    <x:row r="601">
      <x:c r="A601" s="13" t="str">
        <x:v>MB1-0693</x:v>
      </x:c>
      <x:c r="B601" s="13" t="str">
        <x:v>MB1-0693</x:v>
      </x:c>
      <x:c r="C601" s="14" t="str">
        <x:v>Monogram W</x:v>
      </x:c>
      <x:c r="D601" s="14" t="str">
        <x:v>family &amp; name</x:v>
      </x:c>
      <x:c r="E601" s="14" t="str">
        <x:v>https://res.cloudinary.com/oxygre42/image/upload/f_auto,q_auto,c_pad,b_white,w_1200,h_1200/v1788349894/0693_Monogram_W.png</x:v>
      </x:c>
      <x:c r="F601" s="14" t="str"/>
      <x:c r="G601" s="14" t="str">
        <x:v>Lifestyle</x:v>
      </x:c>
      <x:c r="H601" s="14" t="str"/>
      <x:c r="I601" s="14" t="str">
        <x:v>Detail</x:v>
      </x:c>
      <x:c r="J601" s="14" t="str"/>
      <x:c r="K601" s="14" t="str">
        <x:v>Scale</x:v>
      </x:c>
      <x:c r="L601" s="14" t="str"/>
      <x:c r="M601" s="14" t="str">
        <x:v>Alternate</x:v>
      </x:c>
      <x:c r="N601" s="14" t="n">
        <x:f>IF(E601&lt;&gt;"",1,0)+IF(F601&lt;&gt;"",1,0)+IF(H601&lt;&gt;"",1,0)+IF(J601&lt;&gt;"",1,0)+IF(L601&lt;&gt;"",1,0)</x:f>
        <x:v>1</x:v>
      </x:c>
      <x:c r="O601" s="14" t="str">
        <x:f>IF(E601="","MISSING MAIN",IF(N601=1,"MAIN ONLY","MULTI-PHOTO"))</x:f>
        <x:v>MAIN ONLY</x:v>
      </x:c>
      <x:c r="P601" s="14" t="str">
        <x:v>0693_</x:v>
      </x:c>
      <x:c r="Q601" s="14" t="str">
        <x:v>https://mb1advancedsolutions.github.io/mb1-catalog/index.html?design=0693</x:v>
      </x:c>
      <x:c r="R601" s="14" t="str"/>
    </x:row>
    <x:row r="602">
      <x:c r="A602" s="13" t="str">
        <x:v>MB1-0694</x:v>
      </x:c>
      <x:c r="B602" s="13" t="str">
        <x:v>MB1-0694</x:v>
      </x:c>
      <x:c r="C602" s="14" t="str">
        <x:v>Monogram X</x:v>
      </x:c>
      <x:c r="D602" s="14" t="str">
        <x:v>family &amp; name</x:v>
      </x:c>
      <x:c r="E602" s="14" t="str">
        <x:v>https://res.cloudinary.com/oxygre42/image/upload/f_auto,q_auto,c_pad,b_white,w_1200,h_1200/v1788349896/0694_Monogram_X.png</x:v>
      </x:c>
      <x:c r="F602" s="14" t="str"/>
      <x:c r="G602" s="14" t="str">
        <x:v>Lifestyle</x:v>
      </x:c>
      <x:c r="H602" s="14" t="str"/>
      <x:c r="I602" s="14" t="str">
        <x:v>Detail</x:v>
      </x:c>
      <x:c r="J602" s="14" t="str"/>
      <x:c r="K602" s="14" t="str">
        <x:v>Scale</x:v>
      </x:c>
      <x:c r="L602" s="14" t="str"/>
      <x:c r="M602" s="14" t="str">
        <x:v>Alternate</x:v>
      </x:c>
      <x:c r="N602" s="14" t="n">
        <x:f>IF(E602&lt;&gt;"",1,0)+IF(F602&lt;&gt;"",1,0)+IF(H602&lt;&gt;"",1,0)+IF(J602&lt;&gt;"",1,0)+IF(L602&lt;&gt;"",1,0)</x:f>
        <x:v>1</x:v>
      </x:c>
      <x:c r="O602" s="14" t="str">
        <x:f>IF(E602="","MISSING MAIN",IF(N602=1,"MAIN ONLY","MULTI-PHOTO"))</x:f>
        <x:v>MAIN ONLY</x:v>
      </x:c>
      <x:c r="P602" s="14" t="str">
        <x:v>0694_</x:v>
      </x:c>
      <x:c r="Q602" s="14" t="str">
        <x:v>https://mb1advancedsolutions.github.io/mb1-catalog/index.html?design=0694</x:v>
      </x:c>
      <x:c r="R602" s="14" t="str"/>
    </x:row>
    <x:row r="603">
      <x:c r="A603" s="13" t="str">
        <x:v>MB1-0695</x:v>
      </x:c>
      <x:c r="B603" s="13" t="str">
        <x:v>MB1-0695</x:v>
      </x:c>
      <x:c r="C603" s="14" t="str">
        <x:v>Monogram Y</x:v>
      </x:c>
      <x:c r="D603" s="14" t="str">
        <x:v>family &amp; name</x:v>
      </x:c>
      <x:c r="E603" s="14" t="str">
        <x:v>https://res.cloudinary.com/oxygre42/image/upload/f_auto,q_auto,c_pad,b_white,w_1200,h_1200/v1788349898/0695_Monogram_Y.png</x:v>
      </x:c>
      <x:c r="F603" s="14" t="str"/>
      <x:c r="G603" s="14" t="str">
        <x:v>Lifestyle</x:v>
      </x:c>
      <x:c r="H603" s="14" t="str"/>
      <x:c r="I603" s="14" t="str">
        <x:v>Detail</x:v>
      </x:c>
      <x:c r="J603" s="14" t="str"/>
      <x:c r="K603" s="14" t="str">
        <x:v>Scale</x:v>
      </x:c>
      <x:c r="L603" s="14" t="str"/>
      <x:c r="M603" s="14" t="str">
        <x:v>Alternate</x:v>
      </x:c>
      <x:c r="N603" s="14" t="n">
        <x:f>IF(E603&lt;&gt;"",1,0)+IF(F603&lt;&gt;"",1,0)+IF(H603&lt;&gt;"",1,0)+IF(J603&lt;&gt;"",1,0)+IF(L603&lt;&gt;"",1,0)</x:f>
        <x:v>1</x:v>
      </x:c>
      <x:c r="O603" s="14" t="str">
        <x:f>IF(E603="","MISSING MAIN",IF(N603=1,"MAIN ONLY","MULTI-PHOTO"))</x:f>
        <x:v>MAIN ONLY</x:v>
      </x:c>
      <x:c r="P603" s="14" t="str">
        <x:v>0695_</x:v>
      </x:c>
      <x:c r="Q603" s="14" t="str">
        <x:v>https://mb1advancedsolutions.github.io/mb1-catalog/index.html?design=0695</x:v>
      </x:c>
      <x:c r="R603" s="14" t="str"/>
    </x:row>
    <x:row r="604">
      <x:c r="A604" s="13" t="str">
        <x:v>MB1-0696</x:v>
      </x:c>
      <x:c r="B604" s="13" t="str">
        <x:v>MB1-0696</x:v>
      </x:c>
      <x:c r="C604" s="14" t="str">
        <x:v>Monogram Z</x:v>
      </x:c>
      <x:c r="D604" s="14" t="str">
        <x:v>family &amp; name</x:v>
      </x:c>
      <x:c r="E604" s="14" t="str">
        <x:v>https://res.cloudinary.com/oxygre42/image/upload/f_auto,q_auto,c_pad,b_white,w_1200,h_1200/v1788349900/0696_Monogram_Z.png</x:v>
      </x:c>
      <x:c r="F604" s="14" t="str"/>
      <x:c r="G604" s="14" t="str">
        <x:v>Lifestyle</x:v>
      </x:c>
      <x:c r="H604" s="14" t="str"/>
      <x:c r="I604" s="14" t="str">
        <x:v>Detail</x:v>
      </x:c>
      <x:c r="J604" s="14" t="str"/>
      <x:c r="K604" s="14" t="str">
        <x:v>Scale</x:v>
      </x:c>
      <x:c r="L604" s="14" t="str"/>
      <x:c r="M604" s="14" t="str">
        <x:v>Alternate</x:v>
      </x:c>
      <x:c r="N604" s="14" t="n">
        <x:f>IF(E604&lt;&gt;"",1,0)+IF(F604&lt;&gt;"",1,0)+IF(H604&lt;&gt;"",1,0)+IF(J604&lt;&gt;"",1,0)+IF(L604&lt;&gt;"",1,0)</x:f>
        <x:v>1</x:v>
      </x:c>
      <x:c r="O604" s="14" t="str">
        <x:f>IF(E604="","MISSING MAIN",IF(N604=1,"MAIN ONLY","MULTI-PHOTO"))</x:f>
        <x:v>MAIN ONLY</x:v>
      </x:c>
      <x:c r="P604" s="14" t="str">
        <x:v>0696_</x:v>
      </x:c>
      <x:c r="Q604" s="14" t="str">
        <x:v>https://mb1advancedsolutions.github.io/mb1-catalog/index.html?design=0696</x:v>
      </x:c>
      <x:c r="R604" s="14" t="str"/>
    </x:row>
    <x:row r="605">
      <x:c r="A605" s="13" t="str">
        <x:v>MB1-0697</x:v>
      </x:c>
      <x:c r="B605" s="13" t="str">
        <x:v>MB1-0697</x:v>
      </x:c>
      <x:c r="C605" s="14" t="str">
        <x:v>Split scroll A</x:v>
      </x:c>
      <x:c r="D605" s="14" t="str">
        <x:v>family &amp; name</x:v>
      </x:c>
      <x:c r="E605" s="14" t="str">
        <x:v>https://res.cloudinary.com/oxygre42/image/upload/f_auto,q_auto,c_pad,b_white,w_1200,h_1200/v1788349902/0697_Split_scroll_A.png</x:v>
      </x:c>
      <x:c r="F605" s="14" t="str"/>
      <x:c r="G605" s="14" t="str">
        <x:v>Lifestyle</x:v>
      </x:c>
      <x:c r="H605" s="14" t="str"/>
      <x:c r="I605" s="14" t="str">
        <x:v>Detail</x:v>
      </x:c>
      <x:c r="J605" s="14" t="str"/>
      <x:c r="K605" s="14" t="str">
        <x:v>Scale</x:v>
      </x:c>
      <x:c r="L605" s="14" t="str"/>
      <x:c r="M605" s="14" t="str">
        <x:v>Alternate</x:v>
      </x:c>
      <x:c r="N605" s="14" t="n">
        <x:f>IF(E605&lt;&gt;"",1,0)+IF(F605&lt;&gt;"",1,0)+IF(H605&lt;&gt;"",1,0)+IF(J605&lt;&gt;"",1,0)+IF(L605&lt;&gt;"",1,0)</x:f>
        <x:v>1</x:v>
      </x:c>
      <x:c r="O605" s="14" t="str">
        <x:f>IF(E605="","MISSING MAIN",IF(N605=1,"MAIN ONLY","MULTI-PHOTO"))</x:f>
        <x:v>MAIN ONLY</x:v>
      </x:c>
      <x:c r="P605" s="14" t="str">
        <x:v>0697_</x:v>
      </x:c>
      <x:c r="Q605" s="14" t="str">
        <x:v>https://mb1advancedsolutions.github.io/mb1-catalog/index.html?design=0697</x:v>
      </x:c>
      <x:c r="R605" s="14" t="str"/>
    </x:row>
    <x:row r="606">
      <x:c r="A606" s="13" t="str">
        <x:v>MB1-0698</x:v>
      </x:c>
      <x:c r="B606" s="13" t="str">
        <x:v>MB1-0698</x:v>
      </x:c>
      <x:c r="C606" s="14" t="str">
        <x:v>Split scroll B</x:v>
      </x:c>
      <x:c r="D606" s="14" t="str">
        <x:v>family &amp; name</x:v>
      </x:c>
      <x:c r="E606" s="14" t="str">
        <x:v>https://res.cloudinary.com/oxygre42/image/upload/f_auto,q_auto,c_pad,b_white,w_1200,h_1200/v1788349904/0698_Split_scroll_B.png</x:v>
      </x:c>
      <x:c r="F606" s="14" t="str"/>
      <x:c r="G606" s="14" t="str">
        <x:v>Lifestyle</x:v>
      </x:c>
      <x:c r="H606" s="14" t="str"/>
      <x:c r="I606" s="14" t="str">
        <x:v>Detail</x:v>
      </x:c>
      <x:c r="J606" s="14" t="str"/>
      <x:c r="K606" s="14" t="str">
        <x:v>Scale</x:v>
      </x:c>
      <x:c r="L606" s="14" t="str"/>
      <x:c r="M606" s="14" t="str">
        <x:v>Alternate</x:v>
      </x:c>
      <x:c r="N606" s="14" t="n">
        <x:f>IF(E606&lt;&gt;"",1,0)+IF(F606&lt;&gt;"",1,0)+IF(H606&lt;&gt;"",1,0)+IF(J606&lt;&gt;"",1,0)+IF(L606&lt;&gt;"",1,0)</x:f>
        <x:v>1</x:v>
      </x:c>
      <x:c r="O606" s="14" t="str">
        <x:f>IF(E606="","MISSING MAIN",IF(N606=1,"MAIN ONLY","MULTI-PHOTO"))</x:f>
        <x:v>MAIN ONLY</x:v>
      </x:c>
      <x:c r="P606" s="14" t="str">
        <x:v>0698_</x:v>
      </x:c>
      <x:c r="Q606" s="14" t="str">
        <x:v>https://mb1advancedsolutions.github.io/mb1-catalog/index.html?design=0698</x:v>
      </x:c>
      <x:c r="R606" s="14" t="str"/>
    </x:row>
    <x:row r="607">
      <x:c r="A607" s="13" t="str">
        <x:v>MB1-0699</x:v>
      </x:c>
      <x:c r="B607" s="13" t="str">
        <x:v>MB1-0699</x:v>
      </x:c>
      <x:c r="C607" s="14" t="str">
        <x:v>Split scroll C</x:v>
      </x:c>
      <x:c r="D607" s="14" t="str">
        <x:v>family &amp; name</x:v>
      </x:c>
      <x:c r="E607" s="14" t="str">
        <x:v>https://res.cloudinary.com/oxygre42/image/upload/f_auto,q_auto,c_pad,b_white,w_1200,h_1200/v1788349906/0699_Split_scroll_C.png</x:v>
      </x:c>
      <x:c r="F607" s="14" t="str"/>
      <x:c r="G607" s="14" t="str">
        <x:v>Lifestyle</x:v>
      </x:c>
      <x:c r="H607" s="14" t="str"/>
      <x:c r="I607" s="14" t="str">
        <x:v>Detail</x:v>
      </x:c>
      <x:c r="J607" s="14" t="str"/>
      <x:c r="K607" s="14" t="str">
        <x:v>Scale</x:v>
      </x:c>
      <x:c r="L607" s="14" t="str"/>
      <x:c r="M607" s="14" t="str">
        <x:v>Alternate</x:v>
      </x:c>
      <x:c r="N607" s="14" t="n">
        <x:f>IF(E607&lt;&gt;"",1,0)+IF(F607&lt;&gt;"",1,0)+IF(H607&lt;&gt;"",1,0)+IF(J607&lt;&gt;"",1,0)+IF(L607&lt;&gt;"",1,0)</x:f>
        <x:v>1</x:v>
      </x:c>
      <x:c r="O607" s="14" t="str">
        <x:f>IF(E607="","MISSING MAIN",IF(N607=1,"MAIN ONLY","MULTI-PHOTO"))</x:f>
        <x:v>MAIN ONLY</x:v>
      </x:c>
      <x:c r="P607" s="14" t="str">
        <x:v>0699_</x:v>
      </x:c>
      <x:c r="Q607" s="14" t="str">
        <x:v>https://mb1advancedsolutions.github.io/mb1-catalog/index.html?design=0699</x:v>
      </x:c>
      <x:c r="R607" s="14" t="str"/>
    </x:row>
    <x:row r="608">
      <x:c r="A608" s="13" t="str">
        <x:v>MB1-0700</x:v>
      </x:c>
      <x:c r="B608" s="13" t="str">
        <x:v>MB1-0700</x:v>
      </x:c>
      <x:c r="C608" s="14" t="str">
        <x:v>Split scroll D</x:v>
      </x:c>
      <x:c r="D608" s="14" t="str">
        <x:v>family &amp; name</x:v>
      </x:c>
      <x:c r="E608" s="14" t="str">
        <x:v>https://res.cloudinary.com/oxygre42/image/upload/f_auto,q_auto,c_pad,b_white,w_1200,h_1200/v1788349907/0700_Split_scroll_D.png</x:v>
      </x:c>
      <x:c r="F608" s="14" t="str"/>
      <x:c r="G608" s="14" t="str">
        <x:v>Lifestyle</x:v>
      </x:c>
      <x:c r="H608" s="14" t="str"/>
      <x:c r="I608" s="14" t="str">
        <x:v>Detail</x:v>
      </x:c>
      <x:c r="J608" s="14" t="str"/>
      <x:c r="K608" s="14" t="str">
        <x:v>Scale</x:v>
      </x:c>
      <x:c r="L608" s="14" t="str"/>
      <x:c r="M608" s="14" t="str">
        <x:v>Alternate</x:v>
      </x:c>
      <x:c r="N608" s="14" t="n">
        <x:f>IF(E608&lt;&gt;"",1,0)+IF(F608&lt;&gt;"",1,0)+IF(H608&lt;&gt;"",1,0)+IF(J608&lt;&gt;"",1,0)+IF(L608&lt;&gt;"",1,0)</x:f>
        <x:v>1</x:v>
      </x:c>
      <x:c r="O608" s="14" t="str">
        <x:f>IF(E608="","MISSING MAIN",IF(N608=1,"MAIN ONLY","MULTI-PHOTO"))</x:f>
        <x:v>MAIN ONLY</x:v>
      </x:c>
      <x:c r="P608" s="14" t="str">
        <x:v>0700_</x:v>
      </x:c>
      <x:c r="Q608" s="14" t="str">
        <x:v>https://mb1advancedsolutions.github.io/mb1-catalog/index.html?design=0700</x:v>
      </x:c>
      <x:c r="R608" s="14" t="str"/>
    </x:row>
    <x:row r="609">
      <x:c r="A609" s="13" t="str">
        <x:v>MB1-0701</x:v>
      </x:c>
      <x:c r="B609" s="13" t="str">
        <x:v>MB1-0701</x:v>
      </x:c>
      <x:c r="C609" s="14" t="str">
        <x:v>Split scroll E</x:v>
      </x:c>
      <x:c r="D609" s="14" t="str">
        <x:v>family &amp; name</x:v>
      </x:c>
      <x:c r="E609" s="14" t="str">
        <x:v>https://res.cloudinary.com/oxygre42/image/upload/f_auto,q_auto,c_pad,b_white,w_1200,h_1200/v1788349909/0701_Split_scroll_E.png</x:v>
      </x:c>
      <x:c r="F609" s="14" t="str"/>
      <x:c r="G609" s="14" t="str">
        <x:v>Lifestyle</x:v>
      </x:c>
      <x:c r="H609" s="14" t="str"/>
      <x:c r="I609" s="14" t="str">
        <x:v>Detail</x:v>
      </x:c>
      <x:c r="J609" s="14" t="str"/>
      <x:c r="K609" s="14" t="str">
        <x:v>Scale</x:v>
      </x:c>
      <x:c r="L609" s="14" t="str"/>
      <x:c r="M609" s="14" t="str">
        <x:v>Alternate</x:v>
      </x:c>
      <x:c r="N609" s="14" t="n">
        <x:f>IF(E609&lt;&gt;"",1,0)+IF(F609&lt;&gt;"",1,0)+IF(H609&lt;&gt;"",1,0)+IF(J609&lt;&gt;"",1,0)+IF(L609&lt;&gt;"",1,0)</x:f>
        <x:v>1</x:v>
      </x:c>
      <x:c r="O609" s="14" t="str">
        <x:f>IF(E609="","MISSING MAIN",IF(N609=1,"MAIN ONLY","MULTI-PHOTO"))</x:f>
        <x:v>MAIN ONLY</x:v>
      </x:c>
      <x:c r="P609" s="14" t="str">
        <x:v>0701_</x:v>
      </x:c>
      <x:c r="Q609" s="14" t="str">
        <x:v>https://mb1advancedsolutions.github.io/mb1-catalog/index.html?design=0701</x:v>
      </x:c>
      <x:c r="R609" s="14" t="str"/>
    </x:row>
    <x:row r="610">
      <x:c r="A610" s="13" t="str">
        <x:v>MB1-0702</x:v>
      </x:c>
      <x:c r="B610" s="13" t="str">
        <x:v>MB1-0702</x:v>
      </x:c>
      <x:c r="C610" s="14" t="str">
        <x:v>Split scroll F</x:v>
      </x:c>
      <x:c r="D610" s="14" t="str">
        <x:v>family &amp; name</x:v>
      </x:c>
      <x:c r="E610" s="14" t="str">
        <x:v>https://res.cloudinary.com/oxygre42/image/upload/f_auto,q_auto,c_pad,b_white,w_1200,h_1200/v1788349911/0702_Split_scroll_F.png</x:v>
      </x:c>
      <x:c r="F610" s="14" t="str"/>
      <x:c r="G610" s="14" t="str">
        <x:v>Lifestyle</x:v>
      </x:c>
      <x:c r="H610" s="14" t="str"/>
      <x:c r="I610" s="14" t="str">
        <x:v>Detail</x:v>
      </x:c>
      <x:c r="J610" s="14" t="str"/>
      <x:c r="K610" s="14" t="str">
        <x:v>Scale</x:v>
      </x:c>
      <x:c r="L610" s="14" t="str"/>
      <x:c r="M610" s="14" t="str">
        <x:v>Alternate</x:v>
      </x:c>
      <x:c r="N610" s="14" t="n">
        <x:f>IF(E610&lt;&gt;"",1,0)+IF(F610&lt;&gt;"",1,0)+IF(H610&lt;&gt;"",1,0)+IF(J610&lt;&gt;"",1,0)+IF(L610&lt;&gt;"",1,0)</x:f>
        <x:v>1</x:v>
      </x:c>
      <x:c r="O610" s="14" t="str">
        <x:f>IF(E610="","MISSING MAIN",IF(N610=1,"MAIN ONLY","MULTI-PHOTO"))</x:f>
        <x:v>MAIN ONLY</x:v>
      </x:c>
      <x:c r="P610" s="14" t="str">
        <x:v>0702_</x:v>
      </x:c>
      <x:c r="Q610" s="14" t="str">
        <x:v>https://mb1advancedsolutions.github.io/mb1-catalog/index.html?design=0702</x:v>
      </x:c>
      <x:c r="R610" s="14" t="str"/>
    </x:row>
    <x:row r="611">
      <x:c r="A611" s="13" t="str">
        <x:v>MB1-0703</x:v>
      </x:c>
      <x:c r="B611" s="13" t="str">
        <x:v>MB1-0703</x:v>
      </x:c>
      <x:c r="C611" s="14" t="str">
        <x:v>Split scroll G</x:v>
      </x:c>
      <x:c r="D611" s="14" t="str">
        <x:v>family &amp; name</x:v>
      </x:c>
      <x:c r="E611" s="14" t="str">
        <x:v>https://res.cloudinary.com/oxygre42/image/upload/f_auto,q_auto,c_pad,b_white,w_1200,h_1200/v1788349913/0703_Split_scroll_G.png</x:v>
      </x:c>
      <x:c r="F611" s="14" t="str"/>
      <x:c r="G611" s="14" t="str">
        <x:v>Lifestyle</x:v>
      </x:c>
      <x:c r="H611" s="14" t="str"/>
      <x:c r="I611" s="14" t="str">
        <x:v>Detail</x:v>
      </x:c>
      <x:c r="J611" s="14" t="str"/>
      <x:c r="K611" s="14" t="str">
        <x:v>Scale</x:v>
      </x:c>
      <x:c r="L611" s="14" t="str"/>
      <x:c r="M611" s="14" t="str">
        <x:v>Alternate</x:v>
      </x:c>
      <x:c r="N611" s="14" t="n">
        <x:f>IF(E611&lt;&gt;"",1,0)+IF(F611&lt;&gt;"",1,0)+IF(H611&lt;&gt;"",1,0)+IF(J611&lt;&gt;"",1,0)+IF(L611&lt;&gt;"",1,0)</x:f>
        <x:v>1</x:v>
      </x:c>
      <x:c r="O611" s="14" t="str">
        <x:f>IF(E611="","MISSING MAIN",IF(N611=1,"MAIN ONLY","MULTI-PHOTO"))</x:f>
        <x:v>MAIN ONLY</x:v>
      </x:c>
      <x:c r="P611" s="14" t="str">
        <x:v>0703_</x:v>
      </x:c>
      <x:c r="Q611" s="14" t="str">
        <x:v>https://mb1advancedsolutions.github.io/mb1-catalog/index.html?design=0703</x:v>
      </x:c>
      <x:c r="R611" s="14" t="str"/>
    </x:row>
    <x:row r="612">
      <x:c r="A612" s="13" t="str">
        <x:v>MB1-0704</x:v>
      </x:c>
      <x:c r="B612" s="13" t="str">
        <x:v>MB1-0704</x:v>
      </x:c>
      <x:c r="C612" s="14" t="str">
        <x:v>Split scroll H</x:v>
      </x:c>
      <x:c r="D612" s="14" t="str">
        <x:v>family &amp; name</x:v>
      </x:c>
      <x:c r="E612" s="14" t="str">
        <x:v>https://res.cloudinary.com/oxygre42/image/upload/f_auto,q_auto,c_pad,b_white,w_1200,h_1200/v1788349915/0704_Split_scroll_H.png</x:v>
      </x:c>
      <x:c r="F612" s="14" t="str"/>
      <x:c r="G612" s="14" t="str">
        <x:v>Lifestyle</x:v>
      </x:c>
      <x:c r="H612" s="14" t="str"/>
      <x:c r="I612" s="14" t="str">
        <x:v>Detail</x:v>
      </x:c>
      <x:c r="J612" s="14" t="str"/>
      <x:c r="K612" s="14" t="str">
        <x:v>Scale</x:v>
      </x:c>
      <x:c r="L612" s="14" t="str"/>
      <x:c r="M612" s="14" t="str">
        <x:v>Alternate</x:v>
      </x:c>
      <x:c r="N612" s="14" t="n">
        <x:f>IF(E612&lt;&gt;"",1,0)+IF(F612&lt;&gt;"",1,0)+IF(H612&lt;&gt;"",1,0)+IF(J612&lt;&gt;"",1,0)+IF(L612&lt;&gt;"",1,0)</x:f>
        <x:v>1</x:v>
      </x:c>
      <x:c r="O612" s="14" t="str">
        <x:f>IF(E612="","MISSING MAIN",IF(N612=1,"MAIN ONLY","MULTI-PHOTO"))</x:f>
        <x:v>MAIN ONLY</x:v>
      </x:c>
      <x:c r="P612" s="14" t="str">
        <x:v>0704_</x:v>
      </x:c>
      <x:c r="Q612" s="14" t="str">
        <x:v>https://mb1advancedsolutions.github.io/mb1-catalog/index.html?design=0704</x:v>
      </x:c>
      <x:c r="R612" s="14" t="str"/>
    </x:row>
    <x:row r="613">
      <x:c r="A613" s="13" t="str">
        <x:v>MB1-0705</x:v>
      </x:c>
      <x:c r="B613" s="13" t="str">
        <x:v>MB1-0705</x:v>
      </x:c>
      <x:c r="C613" s="14" t="str">
        <x:v>Split scroll I</x:v>
      </x:c>
      <x:c r="D613" s="14" t="str">
        <x:v>family &amp; name</x:v>
      </x:c>
      <x:c r="E613" s="14" t="str">
        <x:v>https://res.cloudinary.com/oxygre42/image/upload/f_auto,q_auto,c_pad,b_white,w_1200,h_1200/v1788349917/0705_Split_scroll_I.png</x:v>
      </x:c>
      <x:c r="F613" s="14" t="str"/>
      <x:c r="G613" s="14" t="str">
        <x:v>Lifestyle</x:v>
      </x:c>
      <x:c r="H613" s="14" t="str"/>
      <x:c r="I613" s="14" t="str">
        <x:v>Detail</x:v>
      </x:c>
      <x:c r="J613" s="14" t="str"/>
      <x:c r="K613" s="14" t="str">
        <x:v>Scale</x:v>
      </x:c>
      <x:c r="L613" s="14" t="str"/>
      <x:c r="M613" s="14" t="str">
        <x:v>Alternate</x:v>
      </x:c>
      <x:c r="N613" s="14" t="n">
        <x:f>IF(E613&lt;&gt;"",1,0)+IF(F613&lt;&gt;"",1,0)+IF(H613&lt;&gt;"",1,0)+IF(J613&lt;&gt;"",1,0)+IF(L613&lt;&gt;"",1,0)</x:f>
        <x:v>1</x:v>
      </x:c>
      <x:c r="O613" s="14" t="str">
        <x:f>IF(E613="","MISSING MAIN",IF(N613=1,"MAIN ONLY","MULTI-PHOTO"))</x:f>
        <x:v>MAIN ONLY</x:v>
      </x:c>
      <x:c r="P613" s="14" t="str">
        <x:v>0705_</x:v>
      </x:c>
      <x:c r="Q613" s="14" t="str">
        <x:v>https://mb1advancedsolutions.github.io/mb1-catalog/index.html?design=0705</x:v>
      </x:c>
      <x:c r="R613" s="14" t="str"/>
    </x:row>
    <x:row r="614">
      <x:c r="A614" s="13" t="str">
        <x:v>MB1-0706</x:v>
      </x:c>
      <x:c r="B614" s="13" t="str">
        <x:v>MB1-0706</x:v>
      </x:c>
      <x:c r="C614" s="14" t="str">
        <x:v>Split scroll J</x:v>
      </x:c>
      <x:c r="D614" s="14" t="str">
        <x:v>family &amp; name</x:v>
      </x:c>
      <x:c r="E614" s="14" t="str">
        <x:v>https://res.cloudinary.com/oxygre42/image/upload/f_auto,q_auto,c_pad,b_white,w_1200,h_1200/v1788349919/0706_Split_scroll_J.png</x:v>
      </x:c>
      <x:c r="F614" s="14" t="str"/>
      <x:c r="G614" s="14" t="str">
        <x:v>Lifestyle</x:v>
      </x:c>
      <x:c r="H614" s="14" t="str"/>
      <x:c r="I614" s="14" t="str">
        <x:v>Detail</x:v>
      </x:c>
      <x:c r="J614" s="14" t="str"/>
      <x:c r="K614" s="14" t="str">
        <x:v>Scale</x:v>
      </x:c>
      <x:c r="L614" s="14" t="str"/>
      <x:c r="M614" s="14" t="str">
        <x:v>Alternate</x:v>
      </x:c>
      <x:c r="N614" s="14" t="n">
        <x:f>IF(E614&lt;&gt;"",1,0)+IF(F614&lt;&gt;"",1,0)+IF(H614&lt;&gt;"",1,0)+IF(J614&lt;&gt;"",1,0)+IF(L614&lt;&gt;"",1,0)</x:f>
        <x:v>1</x:v>
      </x:c>
      <x:c r="O614" s="14" t="str">
        <x:f>IF(E614="","MISSING MAIN",IF(N614=1,"MAIN ONLY","MULTI-PHOTO"))</x:f>
        <x:v>MAIN ONLY</x:v>
      </x:c>
      <x:c r="P614" s="14" t="str">
        <x:v>0706_</x:v>
      </x:c>
      <x:c r="Q614" s="14" t="str">
        <x:v>https://mb1advancedsolutions.github.io/mb1-catalog/index.html?design=0706</x:v>
      </x:c>
      <x:c r="R614" s="14" t="str"/>
    </x:row>
    <x:row r="615">
      <x:c r="A615" s="13" t="str">
        <x:v>MB1-0707</x:v>
      </x:c>
      <x:c r="B615" s="13" t="str">
        <x:v>MB1-0707</x:v>
      </x:c>
      <x:c r="C615" s="14" t="str">
        <x:v>Split scroll K</x:v>
      </x:c>
      <x:c r="D615" s="14" t="str">
        <x:v>family &amp; name</x:v>
      </x:c>
      <x:c r="E615" s="14" t="str">
        <x:v>https://res.cloudinary.com/oxygre42/image/upload/f_auto,q_auto,c_pad,b_white,w_1200,h_1200/v1788349921/0707_Split_scroll_K.png</x:v>
      </x:c>
      <x:c r="F615" s="14" t="str"/>
      <x:c r="G615" s="14" t="str">
        <x:v>Lifestyle</x:v>
      </x:c>
      <x:c r="H615" s="14" t="str"/>
      <x:c r="I615" s="14" t="str">
        <x:v>Detail</x:v>
      </x:c>
      <x:c r="J615" s="14" t="str"/>
      <x:c r="K615" s="14" t="str">
        <x:v>Scale</x:v>
      </x:c>
      <x:c r="L615" s="14" t="str"/>
      <x:c r="M615" s="14" t="str">
        <x:v>Alternate</x:v>
      </x:c>
      <x:c r="N615" s="14" t="n">
        <x:f>IF(E615&lt;&gt;"",1,0)+IF(F615&lt;&gt;"",1,0)+IF(H615&lt;&gt;"",1,0)+IF(J615&lt;&gt;"",1,0)+IF(L615&lt;&gt;"",1,0)</x:f>
        <x:v>1</x:v>
      </x:c>
      <x:c r="O615" s="14" t="str">
        <x:f>IF(E615="","MISSING MAIN",IF(N615=1,"MAIN ONLY","MULTI-PHOTO"))</x:f>
        <x:v>MAIN ONLY</x:v>
      </x:c>
      <x:c r="P615" s="14" t="str">
        <x:v>0707_</x:v>
      </x:c>
      <x:c r="Q615" s="14" t="str">
        <x:v>https://mb1advancedsolutions.github.io/mb1-catalog/index.html?design=0707</x:v>
      </x:c>
      <x:c r="R615" s="14" t="str"/>
    </x:row>
    <x:row r="616">
      <x:c r="A616" s="13" t="str">
        <x:v>MB1-0708</x:v>
      </x:c>
      <x:c r="B616" s="13" t="str">
        <x:v>MB1-0708</x:v>
      </x:c>
      <x:c r="C616" s="14" t="str">
        <x:v>Split scroll L</x:v>
      </x:c>
      <x:c r="D616" s="14" t="str">
        <x:v>family &amp; name</x:v>
      </x:c>
      <x:c r="E616" s="14" t="str">
        <x:v>https://res.cloudinary.com/oxygre42/image/upload/f_auto,q_auto,c_pad,b_white,w_1200,h_1200/v1788349922/0708_Split_scroll_L.png</x:v>
      </x:c>
      <x:c r="F616" s="14" t="str"/>
      <x:c r="G616" s="14" t="str">
        <x:v>Lifestyle</x:v>
      </x:c>
      <x:c r="H616" s="14" t="str"/>
      <x:c r="I616" s="14" t="str">
        <x:v>Detail</x:v>
      </x:c>
      <x:c r="J616" s="14" t="str"/>
      <x:c r="K616" s="14" t="str">
        <x:v>Scale</x:v>
      </x:c>
      <x:c r="L616" s="14" t="str"/>
      <x:c r="M616" s="14" t="str">
        <x:v>Alternate</x:v>
      </x:c>
      <x:c r="N616" s="14" t="n">
        <x:f>IF(E616&lt;&gt;"",1,0)+IF(F616&lt;&gt;"",1,0)+IF(H616&lt;&gt;"",1,0)+IF(J616&lt;&gt;"",1,0)+IF(L616&lt;&gt;"",1,0)</x:f>
        <x:v>1</x:v>
      </x:c>
      <x:c r="O616" s="14" t="str">
        <x:f>IF(E616="","MISSING MAIN",IF(N616=1,"MAIN ONLY","MULTI-PHOTO"))</x:f>
        <x:v>MAIN ONLY</x:v>
      </x:c>
      <x:c r="P616" s="14" t="str">
        <x:v>0708_</x:v>
      </x:c>
      <x:c r="Q616" s="14" t="str">
        <x:v>https://mb1advancedsolutions.github.io/mb1-catalog/index.html?design=0708</x:v>
      </x:c>
      <x:c r="R616" s="14" t="str"/>
    </x:row>
    <x:row r="617">
      <x:c r="A617" s="13" t="str">
        <x:v>MB1-0709</x:v>
      </x:c>
      <x:c r="B617" s="13" t="str">
        <x:v>MB1-0709</x:v>
      </x:c>
      <x:c r="C617" s="14" t="str">
        <x:v>Split scroll M</x:v>
      </x:c>
      <x:c r="D617" s="14" t="str">
        <x:v>family &amp; name</x:v>
      </x:c>
      <x:c r="E617" s="14" t="str">
        <x:v>https://res.cloudinary.com/oxygre42/image/upload/f_auto,q_auto,c_pad,b_white,w_1200,h_1200/v1788349924/0709_Split_scroll_M.png</x:v>
      </x:c>
      <x:c r="F617" s="14" t="str"/>
      <x:c r="G617" s="14" t="str">
        <x:v>Lifestyle</x:v>
      </x:c>
      <x:c r="H617" s="14" t="str"/>
      <x:c r="I617" s="14" t="str">
        <x:v>Detail</x:v>
      </x:c>
      <x:c r="J617" s="14" t="str"/>
      <x:c r="K617" s="14" t="str">
        <x:v>Scale</x:v>
      </x:c>
      <x:c r="L617" s="14" t="str"/>
      <x:c r="M617" s="14" t="str">
        <x:v>Alternate</x:v>
      </x:c>
      <x:c r="N617" s="14" t="n">
        <x:f>IF(E617&lt;&gt;"",1,0)+IF(F617&lt;&gt;"",1,0)+IF(H617&lt;&gt;"",1,0)+IF(J617&lt;&gt;"",1,0)+IF(L617&lt;&gt;"",1,0)</x:f>
        <x:v>1</x:v>
      </x:c>
      <x:c r="O617" s="14" t="str">
        <x:f>IF(E617="","MISSING MAIN",IF(N617=1,"MAIN ONLY","MULTI-PHOTO"))</x:f>
        <x:v>MAIN ONLY</x:v>
      </x:c>
      <x:c r="P617" s="14" t="str">
        <x:v>0709_</x:v>
      </x:c>
      <x:c r="Q617" s="14" t="str">
        <x:v>https://mb1advancedsolutions.github.io/mb1-catalog/index.html?design=0709</x:v>
      </x:c>
      <x:c r="R617" s="14" t="str"/>
    </x:row>
    <x:row r="618">
      <x:c r="A618" s="13" t="str">
        <x:v>MB1-0710</x:v>
      </x:c>
      <x:c r="B618" s="13" t="str">
        <x:v>MB1-0710</x:v>
      </x:c>
      <x:c r="C618" s="14" t="str">
        <x:v>Split scroll N</x:v>
      </x:c>
      <x:c r="D618" s="14" t="str">
        <x:v>family &amp; name</x:v>
      </x:c>
      <x:c r="E618" s="14" t="str">
        <x:v>https://res.cloudinary.com/oxygre42/image/upload/f_auto,q_auto,c_pad,b_white,w_1200,h_1200/v1788349926/0710_Split_scroll_N.png</x:v>
      </x:c>
      <x:c r="F618" s="14" t="str"/>
      <x:c r="G618" s="14" t="str">
        <x:v>Lifestyle</x:v>
      </x:c>
      <x:c r="H618" s="14" t="str"/>
      <x:c r="I618" s="14" t="str">
        <x:v>Detail</x:v>
      </x:c>
      <x:c r="J618" s="14" t="str"/>
      <x:c r="K618" s="14" t="str">
        <x:v>Scale</x:v>
      </x:c>
      <x:c r="L618" s="14" t="str"/>
      <x:c r="M618" s="14" t="str">
        <x:v>Alternate</x:v>
      </x:c>
      <x:c r="N618" s="14" t="n">
        <x:f>IF(E618&lt;&gt;"",1,0)+IF(F618&lt;&gt;"",1,0)+IF(H618&lt;&gt;"",1,0)+IF(J618&lt;&gt;"",1,0)+IF(L618&lt;&gt;"",1,0)</x:f>
        <x:v>1</x:v>
      </x:c>
      <x:c r="O618" s="14" t="str">
        <x:f>IF(E618="","MISSING MAIN",IF(N618=1,"MAIN ONLY","MULTI-PHOTO"))</x:f>
        <x:v>MAIN ONLY</x:v>
      </x:c>
      <x:c r="P618" s="14" t="str">
        <x:v>0710_</x:v>
      </x:c>
      <x:c r="Q618" s="14" t="str">
        <x:v>https://mb1advancedsolutions.github.io/mb1-catalog/index.html?design=0710</x:v>
      </x:c>
      <x:c r="R618" s="14" t="str"/>
    </x:row>
    <x:row r="619">
      <x:c r="A619" s="13" t="str">
        <x:v>MB1-0711</x:v>
      </x:c>
      <x:c r="B619" s="13" t="str">
        <x:v>MB1-0711</x:v>
      </x:c>
      <x:c r="C619" s="14" t="str">
        <x:v>Split scroll O</x:v>
      </x:c>
      <x:c r="D619" s="14" t="str">
        <x:v>family &amp; name</x:v>
      </x:c>
      <x:c r="E619" s="14" t="str">
        <x:v>https://res.cloudinary.com/oxygre42/image/upload/f_auto,q_auto,c_pad,b_white,w_1200,h_1200/v1788349928/0711_Split_scroll_O.png</x:v>
      </x:c>
      <x:c r="F619" s="14" t="str"/>
      <x:c r="G619" s="14" t="str">
        <x:v>Lifestyle</x:v>
      </x:c>
      <x:c r="H619" s="14" t="str"/>
      <x:c r="I619" s="14" t="str">
        <x:v>Detail</x:v>
      </x:c>
      <x:c r="J619" s="14" t="str"/>
      <x:c r="K619" s="14" t="str">
        <x:v>Scale</x:v>
      </x:c>
      <x:c r="L619" s="14" t="str"/>
      <x:c r="M619" s="14" t="str">
        <x:v>Alternate</x:v>
      </x:c>
      <x:c r="N619" s="14" t="n">
        <x:f>IF(E619&lt;&gt;"",1,0)+IF(F619&lt;&gt;"",1,0)+IF(H619&lt;&gt;"",1,0)+IF(J619&lt;&gt;"",1,0)+IF(L619&lt;&gt;"",1,0)</x:f>
        <x:v>1</x:v>
      </x:c>
      <x:c r="O619" s="14" t="str">
        <x:f>IF(E619="","MISSING MAIN",IF(N619=1,"MAIN ONLY","MULTI-PHOTO"))</x:f>
        <x:v>MAIN ONLY</x:v>
      </x:c>
      <x:c r="P619" s="14" t="str">
        <x:v>0711_</x:v>
      </x:c>
      <x:c r="Q619" s="14" t="str">
        <x:v>https://mb1advancedsolutions.github.io/mb1-catalog/index.html?design=0711</x:v>
      </x:c>
      <x:c r="R619" s="14" t="str"/>
    </x:row>
    <x:row r="620">
      <x:c r="A620" s="13" t="str">
        <x:v>MB1-0712</x:v>
      </x:c>
      <x:c r="B620" s="13" t="str">
        <x:v>MB1-0712</x:v>
      </x:c>
      <x:c r="C620" s="14" t="str">
        <x:v>Split scroll P</x:v>
      </x:c>
      <x:c r="D620" s="14" t="str">
        <x:v>family &amp; name</x:v>
      </x:c>
      <x:c r="E620" s="14" t="str">
        <x:v>https://res.cloudinary.com/oxygre42/image/upload/f_auto,q_auto,c_pad,b_white,w_1200,h_1200/v1788349930/0712_Split_scroll_P.png</x:v>
      </x:c>
      <x:c r="F620" s="14" t="str"/>
      <x:c r="G620" s="14" t="str">
        <x:v>Lifestyle</x:v>
      </x:c>
      <x:c r="H620" s="14" t="str"/>
      <x:c r="I620" s="14" t="str">
        <x:v>Detail</x:v>
      </x:c>
      <x:c r="J620" s="14" t="str"/>
      <x:c r="K620" s="14" t="str">
        <x:v>Scale</x:v>
      </x:c>
      <x:c r="L620" s="14" t="str"/>
      <x:c r="M620" s="14" t="str">
        <x:v>Alternate</x:v>
      </x:c>
      <x:c r="N620" s="14" t="n">
        <x:f>IF(E620&lt;&gt;"",1,0)+IF(F620&lt;&gt;"",1,0)+IF(H620&lt;&gt;"",1,0)+IF(J620&lt;&gt;"",1,0)+IF(L620&lt;&gt;"",1,0)</x:f>
        <x:v>1</x:v>
      </x:c>
      <x:c r="O620" s="14" t="str">
        <x:f>IF(E620="","MISSING MAIN",IF(N620=1,"MAIN ONLY","MULTI-PHOTO"))</x:f>
        <x:v>MAIN ONLY</x:v>
      </x:c>
      <x:c r="P620" s="14" t="str">
        <x:v>0712_</x:v>
      </x:c>
      <x:c r="Q620" s="14" t="str">
        <x:v>https://mb1advancedsolutions.github.io/mb1-catalog/index.html?design=0712</x:v>
      </x:c>
      <x:c r="R620" s="14" t="str"/>
    </x:row>
    <x:row r="621">
      <x:c r="A621" s="13" t="str">
        <x:v>MB1-0713</x:v>
      </x:c>
      <x:c r="B621" s="13" t="str">
        <x:v>MB1-0713</x:v>
      </x:c>
      <x:c r="C621" s="14" t="str">
        <x:v>Split scroll Q</x:v>
      </x:c>
      <x:c r="D621" s="14" t="str">
        <x:v>family &amp; name</x:v>
      </x:c>
      <x:c r="E621" s="14" t="str">
        <x:v>https://res.cloudinary.com/oxygre42/image/upload/f_auto,q_auto,c_pad,b_white,w_1200,h_1200/v1788349932/0713_Split_scroll_Q.png</x:v>
      </x:c>
      <x:c r="F621" s="14" t="str"/>
      <x:c r="G621" s="14" t="str">
        <x:v>Lifestyle</x:v>
      </x:c>
      <x:c r="H621" s="14" t="str"/>
      <x:c r="I621" s="14" t="str">
        <x:v>Detail</x:v>
      </x:c>
      <x:c r="J621" s="14" t="str"/>
      <x:c r="K621" s="14" t="str">
        <x:v>Scale</x:v>
      </x:c>
      <x:c r="L621" s="14" t="str"/>
      <x:c r="M621" s="14" t="str">
        <x:v>Alternate</x:v>
      </x:c>
      <x:c r="N621" s="14" t="n">
        <x:f>IF(E621&lt;&gt;"",1,0)+IF(F621&lt;&gt;"",1,0)+IF(H621&lt;&gt;"",1,0)+IF(J621&lt;&gt;"",1,0)+IF(L621&lt;&gt;"",1,0)</x:f>
        <x:v>1</x:v>
      </x:c>
      <x:c r="O621" s="14" t="str">
        <x:f>IF(E621="","MISSING MAIN",IF(N621=1,"MAIN ONLY","MULTI-PHOTO"))</x:f>
        <x:v>MAIN ONLY</x:v>
      </x:c>
      <x:c r="P621" s="14" t="str">
        <x:v>0713_</x:v>
      </x:c>
      <x:c r="Q621" s="14" t="str">
        <x:v>https://mb1advancedsolutions.github.io/mb1-catalog/index.html?design=0713</x:v>
      </x:c>
      <x:c r="R621" s="14" t="str"/>
    </x:row>
    <x:row r="622">
      <x:c r="A622" s="13" t="str">
        <x:v>MB1-0714</x:v>
      </x:c>
      <x:c r="B622" s="13" t="str">
        <x:v>MB1-0714</x:v>
      </x:c>
      <x:c r="C622" s="14" t="str">
        <x:v>Split scroll R</x:v>
      </x:c>
      <x:c r="D622" s="14" t="str">
        <x:v>family &amp; name</x:v>
      </x:c>
      <x:c r="E622" s="14" t="str">
        <x:v>https://res.cloudinary.com/oxygre42/image/upload/f_auto,q_auto,c_pad,b_white,w_1200,h_1200/v1788349934/0714_Split_scroll_R.png</x:v>
      </x:c>
      <x:c r="F622" s="14" t="str"/>
      <x:c r="G622" s="14" t="str">
        <x:v>Lifestyle</x:v>
      </x:c>
      <x:c r="H622" s="14" t="str"/>
      <x:c r="I622" s="14" t="str">
        <x:v>Detail</x:v>
      </x:c>
      <x:c r="J622" s="14" t="str"/>
      <x:c r="K622" s="14" t="str">
        <x:v>Scale</x:v>
      </x:c>
      <x:c r="L622" s="14" t="str"/>
      <x:c r="M622" s="14" t="str">
        <x:v>Alternate</x:v>
      </x:c>
      <x:c r="N622" s="14" t="n">
        <x:f>IF(E622&lt;&gt;"",1,0)+IF(F622&lt;&gt;"",1,0)+IF(H622&lt;&gt;"",1,0)+IF(J622&lt;&gt;"",1,0)+IF(L622&lt;&gt;"",1,0)</x:f>
        <x:v>1</x:v>
      </x:c>
      <x:c r="O622" s="14" t="str">
        <x:f>IF(E622="","MISSING MAIN",IF(N622=1,"MAIN ONLY","MULTI-PHOTO"))</x:f>
        <x:v>MAIN ONLY</x:v>
      </x:c>
      <x:c r="P622" s="14" t="str">
        <x:v>0714_</x:v>
      </x:c>
      <x:c r="Q622" s="14" t="str">
        <x:v>https://mb1advancedsolutions.github.io/mb1-catalog/index.html?design=0714</x:v>
      </x:c>
      <x:c r="R622" s="14" t="str"/>
    </x:row>
    <x:row r="623">
      <x:c r="A623" s="13" t="str">
        <x:v>MB1-0715</x:v>
      </x:c>
      <x:c r="B623" s="13" t="str">
        <x:v>MB1-0715</x:v>
      </x:c>
      <x:c r="C623" s="14" t="str">
        <x:v>Split scroll S</x:v>
      </x:c>
      <x:c r="D623" s="14" t="str">
        <x:v>family &amp; name</x:v>
      </x:c>
      <x:c r="E623" s="14" t="str">
        <x:v>https://res.cloudinary.com/oxygre42/image/upload/f_auto,q_auto,c_pad,b_white,w_1200,h_1200/v1788349936/0715_Split_scroll_S.png</x:v>
      </x:c>
      <x:c r="F623" s="14" t="str"/>
      <x:c r="G623" s="14" t="str">
        <x:v>Lifestyle</x:v>
      </x:c>
      <x:c r="H623" s="14" t="str"/>
      <x:c r="I623" s="14" t="str">
        <x:v>Detail</x:v>
      </x:c>
      <x:c r="J623" s="14" t="str"/>
      <x:c r="K623" s="14" t="str">
        <x:v>Scale</x:v>
      </x:c>
      <x:c r="L623" s="14" t="str"/>
      <x:c r="M623" s="14" t="str">
        <x:v>Alternate</x:v>
      </x:c>
      <x:c r="N623" s="14" t="n">
        <x:f>IF(E623&lt;&gt;"",1,0)+IF(F623&lt;&gt;"",1,0)+IF(H623&lt;&gt;"",1,0)+IF(J623&lt;&gt;"",1,0)+IF(L623&lt;&gt;"",1,0)</x:f>
        <x:v>1</x:v>
      </x:c>
      <x:c r="O623" s="14" t="str">
        <x:f>IF(E623="","MISSING MAIN",IF(N623=1,"MAIN ONLY","MULTI-PHOTO"))</x:f>
        <x:v>MAIN ONLY</x:v>
      </x:c>
      <x:c r="P623" s="14" t="str">
        <x:v>0715_</x:v>
      </x:c>
      <x:c r="Q623" s="14" t="str">
        <x:v>https://mb1advancedsolutions.github.io/mb1-catalog/index.html?design=0715</x:v>
      </x:c>
      <x:c r="R623" s="14" t="str"/>
    </x:row>
    <x:row r="624">
      <x:c r="A624" s="13" t="str">
        <x:v>MB1-0716</x:v>
      </x:c>
      <x:c r="B624" s="13" t="str">
        <x:v>MB1-0716</x:v>
      </x:c>
      <x:c r="C624" s="14" t="str">
        <x:v>Split scroll T</x:v>
      </x:c>
      <x:c r="D624" s="14" t="str">
        <x:v>family &amp; name</x:v>
      </x:c>
      <x:c r="E624" s="14" t="str">
        <x:v>https://res.cloudinary.com/oxygre42/image/upload/f_auto,q_auto,c_pad,b_white,w_1200,h_1200/v1788349937/0716_Split_scroll_T.png</x:v>
      </x:c>
      <x:c r="F624" s="14" t="str"/>
      <x:c r="G624" s="14" t="str">
        <x:v>Lifestyle</x:v>
      </x:c>
      <x:c r="H624" s="14" t="str"/>
      <x:c r="I624" s="14" t="str">
        <x:v>Detail</x:v>
      </x:c>
      <x:c r="J624" s="14" t="str"/>
      <x:c r="K624" s="14" t="str">
        <x:v>Scale</x:v>
      </x:c>
      <x:c r="L624" s="14" t="str"/>
      <x:c r="M624" s="14" t="str">
        <x:v>Alternate</x:v>
      </x:c>
      <x:c r="N624" s="14" t="n">
        <x:f>IF(E624&lt;&gt;"",1,0)+IF(F624&lt;&gt;"",1,0)+IF(H624&lt;&gt;"",1,0)+IF(J624&lt;&gt;"",1,0)+IF(L624&lt;&gt;"",1,0)</x:f>
        <x:v>1</x:v>
      </x:c>
      <x:c r="O624" s="14" t="str">
        <x:f>IF(E624="","MISSING MAIN",IF(N624=1,"MAIN ONLY","MULTI-PHOTO"))</x:f>
        <x:v>MAIN ONLY</x:v>
      </x:c>
      <x:c r="P624" s="14" t="str">
        <x:v>0716_</x:v>
      </x:c>
      <x:c r="Q624" s="14" t="str">
        <x:v>https://mb1advancedsolutions.github.io/mb1-catalog/index.html?design=0716</x:v>
      </x:c>
      <x:c r="R624" s="14" t="str"/>
    </x:row>
    <x:row r="625">
      <x:c r="A625" s="13" t="str">
        <x:v>MB1-0717</x:v>
      </x:c>
      <x:c r="B625" s="13" t="str">
        <x:v>MB1-0717</x:v>
      </x:c>
      <x:c r="C625" s="14" t="str">
        <x:v>Split scroll U</x:v>
      </x:c>
      <x:c r="D625" s="14" t="str">
        <x:v>family &amp; name</x:v>
      </x:c>
      <x:c r="E625" s="14" t="str">
        <x:v>https://res.cloudinary.com/oxygre42/image/upload/f_auto,q_auto,c_pad,b_white,w_1200,h_1200/v1788349939/0717_Split_scroll_U.png</x:v>
      </x:c>
      <x:c r="F625" s="14" t="str"/>
      <x:c r="G625" s="14" t="str">
        <x:v>Lifestyle</x:v>
      </x:c>
      <x:c r="H625" s="14" t="str"/>
      <x:c r="I625" s="14" t="str">
        <x:v>Detail</x:v>
      </x:c>
      <x:c r="J625" s="14" t="str"/>
      <x:c r="K625" s="14" t="str">
        <x:v>Scale</x:v>
      </x:c>
      <x:c r="L625" s="14" t="str"/>
      <x:c r="M625" s="14" t="str">
        <x:v>Alternate</x:v>
      </x:c>
      <x:c r="N625" s="14" t="n">
        <x:f>IF(E625&lt;&gt;"",1,0)+IF(F625&lt;&gt;"",1,0)+IF(H625&lt;&gt;"",1,0)+IF(J625&lt;&gt;"",1,0)+IF(L625&lt;&gt;"",1,0)</x:f>
        <x:v>1</x:v>
      </x:c>
      <x:c r="O625" s="14" t="str">
        <x:f>IF(E625="","MISSING MAIN",IF(N625=1,"MAIN ONLY","MULTI-PHOTO"))</x:f>
        <x:v>MAIN ONLY</x:v>
      </x:c>
      <x:c r="P625" s="14" t="str">
        <x:v>0717_</x:v>
      </x:c>
      <x:c r="Q625" s="14" t="str">
        <x:v>https://mb1advancedsolutions.github.io/mb1-catalog/index.html?design=0717</x:v>
      </x:c>
      <x:c r="R625" s="14" t="str"/>
    </x:row>
    <x:row r="626">
      <x:c r="A626" s="13" t="str">
        <x:v>MB1-0718</x:v>
      </x:c>
      <x:c r="B626" s="13" t="str">
        <x:v>MB1-0718</x:v>
      </x:c>
      <x:c r="C626" s="14" t="str">
        <x:v>Split scroll V</x:v>
      </x:c>
      <x:c r="D626" s="14" t="str">
        <x:v>family &amp; name</x:v>
      </x:c>
      <x:c r="E626" s="14" t="str">
        <x:v>https://res.cloudinary.com/oxygre42/image/upload/f_auto,q_auto,c_pad,b_white,w_1200,h_1200/v1788349941/0718_Split_scroll_V.png</x:v>
      </x:c>
      <x:c r="F626" s="14" t="str"/>
      <x:c r="G626" s="14" t="str">
        <x:v>Lifestyle</x:v>
      </x:c>
      <x:c r="H626" s="14" t="str"/>
      <x:c r="I626" s="14" t="str">
        <x:v>Detail</x:v>
      </x:c>
      <x:c r="J626" s="14" t="str"/>
      <x:c r="K626" s="14" t="str">
        <x:v>Scale</x:v>
      </x:c>
      <x:c r="L626" s="14" t="str"/>
      <x:c r="M626" s="14" t="str">
        <x:v>Alternate</x:v>
      </x:c>
      <x:c r="N626" s="14" t="n">
        <x:f>IF(E626&lt;&gt;"",1,0)+IF(F626&lt;&gt;"",1,0)+IF(H626&lt;&gt;"",1,0)+IF(J626&lt;&gt;"",1,0)+IF(L626&lt;&gt;"",1,0)</x:f>
        <x:v>1</x:v>
      </x:c>
      <x:c r="O626" s="14" t="str">
        <x:f>IF(E626="","MISSING MAIN",IF(N626=1,"MAIN ONLY","MULTI-PHOTO"))</x:f>
        <x:v>MAIN ONLY</x:v>
      </x:c>
      <x:c r="P626" s="14" t="str">
        <x:v>0718_</x:v>
      </x:c>
      <x:c r="Q626" s="14" t="str">
        <x:v>https://mb1advancedsolutions.github.io/mb1-catalog/index.html?design=0718</x:v>
      </x:c>
      <x:c r="R626" s="14" t="str"/>
    </x:row>
    <x:row r="627">
      <x:c r="A627" s="13" t="str">
        <x:v>MB1-0719</x:v>
      </x:c>
      <x:c r="B627" s="13" t="str">
        <x:v>MB1-0719</x:v>
      </x:c>
      <x:c r="C627" s="14" t="str">
        <x:v>Split scroll W</x:v>
      </x:c>
      <x:c r="D627" s="14" t="str">
        <x:v>family &amp; name</x:v>
      </x:c>
      <x:c r="E627" s="14" t="str">
        <x:v>https://res.cloudinary.com/oxygre42/image/upload/f_auto,q_auto,c_pad,b_white,w_1200,h_1200/v1788349943/0719_Split_scroll_W.png</x:v>
      </x:c>
      <x:c r="F627" s="14" t="str"/>
      <x:c r="G627" s="14" t="str">
        <x:v>Lifestyle</x:v>
      </x:c>
      <x:c r="H627" s="14" t="str"/>
      <x:c r="I627" s="14" t="str">
        <x:v>Detail</x:v>
      </x:c>
      <x:c r="J627" s="14" t="str"/>
      <x:c r="K627" s="14" t="str">
        <x:v>Scale</x:v>
      </x:c>
      <x:c r="L627" s="14" t="str"/>
      <x:c r="M627" s="14" t="str">
        <x:v>Alternate</x:v>
      </x:c>
      <x:c r="N627" s="14" t="n">
        <x:f>IF(E627&lt;&gt;"",1,0)+IF(F627&lt;&gt;"",1,0)+IF(H627&lt;&gt;"",1,0)+IF(J627&lt;&gt;"",1,0)+IF(L627&lt;&gt;"",1,0)</x:f>
        <x:v>1</x:v>
      </x:c>
      <x:c r="O627" s="14" t="str">
        <x:f>IF(E627="","MISSING MAIN",IF(N627=1,"MAIN ONLY","MULTI-PHOTO"))</x:f>
        <x:v>MAIN ONLY</x:v>
      </x:c>
      <x:c r="P627" s="14" t="str">
        <x:v>0719_</x:v>
      </x:c>
      <x:c r="Q627" s="14" t="str">
        <x:v>https://mb1advancedsolutions.github.io/mb1-catalog/index.html?design=0719</x:v>
      </x:c>
      <x:c r="R627" s="14" t="str"/>
    </x:row>
    <x:row r="628">
      <x:c r="A628" s="13" t="str">
        <x:v>MB1-0720</x:v>
      </x:c>
      <x:c r="B628" s="13" t="str">
        <x:v>MB1-0720</x:v>
      </x:c>
      <x:c r="C628" s="14" t="str">
        <x:v>Split scroll X</x:v>
      </x:c>
      <x:c r="D628" s="14" t="str">
        <x:v>family &amp; name</x:v>
      </x:c>
      <x:c r="E628" s="14" t="str">
        <x:v>https://res.cloudinary.com/oxygre42/image/upload/f_auto,q_auto,c_pad,b_white,w_1200,h_1200/v1788349945/0720_Split_scroll_X.png</x:v>
      </x:c>
      <x:c r="F628" s="14" t="str"/>
      <x:c r="G628" s="14" t="str">
        <x:v>Lifestyle</x:v>
      </x:c>
      <x:c r="H628" s="14" t="str"/>
      <x:c r="I628" s="14" t="str">
        <x:v>Detail</x:v>
      </x:c>
      <x:c r="J628" s="14" t="str"/>
      <x:c r="K628" s="14" t="str">
        <x:v>Scale</x:v>
      </x:c>
      <x:c r="L628" s="14" t="str"/>
      <x:c r="M628" s="14" t="str">
        <x:v>Alternate</x:v>
      </x:c>
      <x:c r="N628" s="14" t="n">
        <x:f>IF(E628&lt;&gt;"",1,0)+IF(F628&lt;&gt;"",1,0)+IF(H628&lt;&gt;"",1,0)+IF(J628&lt;&gt;"",1,0)+IF(L628&lt;&gt;"",1,0)</x:f>
        <x:v>1</x:v>
      </x:c>
      <x:c r="O628" s="14" t="str">
        <x:f>IF(E628="","MISSING MAIN",IF(N628=1,"MAIN ONLY","MULTI-PHOTO"))</x:f>
        <x:v>MAIN ONLY</x:v>
      </x:c>
      <x:c r="P628" s="14" t="str">
        <x:v>0720_</x:v>
      </x:c>
      <x:c r="Q628" s="14" t="str">
        <x:v>https://mb1advancedsolutions.github.io/mb1-catalog/index.html?design=0720</x:v>
      </x:c>
      <x:c r="R628" s="14" t="str"/>
    </x:row>
    <x:row r="629">
      <x:c r="A629" s="13" t="str">
        <x:v>MB1-0721</x:v>
      </x:c>
      <x:c r="B629" s="13" t="str">
        <x:v>MB1-0721</x:v>
      </x:c>
      <x:c r="C629" s="14" t="str">
        <x:v>Split scroll Y</x:v>
      </x:c>
      <x:c r="D629" s="14" t="str">
        <x:v>family &amp; name</x:v>
      </x:c>
      <x:c r="E629" s="14" t="str">
        <x:v>https://res.cloudinary.com/oxygre42/image/upload/f_auto,q_auto,c_pad,b_white,w_1200,h_1200/v1788349947/0721_Split_scroll_Y.png</x:v>
      </x:c>
      <x:c r="F629" s="14" t="str"/>
      <x:c r="G629" s="14" t="str">
        <x:v>Lifestyle</x:v>
      </x:c>
      <x:c r="H629" s="14" t="str"/>
      <x:c r="I629" s="14" t="str">
        <x:v>Detail</x:v>
      </x:c>
      <x:c r="J629" s="14" t="str"/>
      <x:c r="K629" s="14" t="str">
        <x:v>Scale</x:v>
      </x:c>
      <x:c r="L629" s="14" t="str"/>
      <x:c r="M629" s="14" t="str">
        <x:v>Alternate</x:v>
      </x:c>
      <x:c r="N629" s="14" t="n">
        <x:f>IF(E629&lt;&gt;"",1,0)+IF(F629&lt;&gt;"",1,0)+IF(H629&lt;&gt;"",1,0)+IF(J629&lt;&gt;"",1,0)+IF(L629&lt;&gt;"",1,0)</x:f>
        <x:v>1</x:v>
      </x:c>
      <x:c r="O629" s="14" t="str">
        <x:f>IF(E629="","MISSING MAIN",IF(N629=1,"MAIN ONLY","MULTI-PHOTO"))</x:f>
        <x:v>MAIN ONLY</x:v>
      </x:c>
      <x:c r="P629" s="14" t="str">
        <x:v>0721_</x:v>
      </x:c>
      <x:c r="Q629" s="14" t="str">
        <x:v>https://mb1advancedsolutions.github.io/mb1-catalog/index.html?design=0721</x:v>
      </x:c>
      <x:c r="R629" s="14" t="str"/>
    </x:row>
    <x:row r="630">
      <x:c r="A630" s="13" t="str">
        <x:v>MB1-0722</x:v>
      </x:c>
      <x:c r="B630" s="13" t="str">
        <x:v>MB1-0722</x:v>
      </x:c>
      <x:c r="C630" s="14" t="str">
        <x:v>Split scroll Z</x:v>
      </x:c>
      <x:c r="D630" s="14" t="str">
        <x:v>family &amp; name</x:v>
      </x:c>
      <x:c r="E630" s="14" t="str">
        <x:v>https://res.cloudinary.com/oxygre42/image/upload/f_auto,q_auto,c_pad,b_white,w_1200,h_1200/v1788349949/0722_Split_scroll_Z.png</x:v>
      </x:c>
      <x:c r="F630" s="14" t="str"/>
      <x:c r="G630" s="14" t="str">
        <x:v>Lifestyle</x:v>
      </x:c>
      <x:c r="H630" s="14" t="str"/>
      <x:c r="I630" s="14" t="str">
        <x:v>Detail</x:v>
      </x:c>
      <x:c r="J630" s="14" t="str"/>
      <x:c r="K630" s="14" t="str">
        <x:v>Scale</x:v>
      </x:c>
      <x:c r="L630" s="14" t="str"/>
      <x:c r="M630" s="14" t="str">
        <x:v>Alternate</x:v>
      </x:c>
      <x:c r="N630" s="14" t="n">
        <x:f>IF(E630&lt;&gt;"",1,0)+IF(F630&lt;&gt;"",1,0)+IF(H630&lt;&gt;"",1,0)+IF(J630&lt;&gt;"",1,0)+IF(L630&lt;&gt;"",1,0)</x:f>
        <x:v>1</x:v>
      </x:c>
      <x:c r="O630" s="14" t="str">
        <x:f>IF(E630="","MISSING MAIN",IF(N630=1,"MAIN ONLY","MULTI-PHOTO"))</x:f>
        <x:v>MAIN ONLY</x:v>
      </x:c>
      <x:c r="P630" s="14" t="str">
        <x:v>0722_</x:v>
      </x:c>
      <x:c r="Q630" s="14" t="str">
        <x:v>https://mb1advancedsolutions.github.io/mb1-catalog/index.html?design=0722</x:v>
      </x:c>
      <x:c r="R630" s="14" t="str"/>
    </x:row>
    <x:row r="631">
      <x:c r="A631" s="13" t="str">
        <x:v>MB1-0723</x:v>
      </x:c>
      <x:c r="B631" s="13" t="str">
        <x:v>MB1-0723</x:v>
      </x:c>
      <x:c r="C631" s="14" t="str">
        <x:v>Steampunk A</x:v>
      </x:c>
      <x:c r="D631" s="14" t="str">
        <x:v>family &amp; name</x:v>
      </x:c>
      <x:c r="E631" s="14" t="str">
        <x:v>https://res.cloudinary.com/oxygre42/image/upload/f_auto,q_auto,c_pad,b_white,w_1200,h_1200/v1788349951/0723_Steampunk_A.png</x:v>
      </x:c>
      <x:c r="F631" s="14" t="str"/>
      <x:c r="G631" s="14" t="str">
        <x:v>Lifestyle</x:v>
      </x:c>
      <x:c r="H631" s="14" t="str"/>
      <x:c r="I631" s="14" t="str">
        <x:v>Detail</x:v>
      </x:c>
      <x:c r="J631" s="14" t="str"/>
      <x:c r="K631" s="14" t="str">
        <x:v>Scale</x:v>
      </x:c>
      <x:c r="L631" s="14" t="str"/>
      <x:c r="M631" s="14" t="str">
        <x:v>Alternate</x:v>
      </x:c>
      <x:c r="N631" s="14" t="n">
        <x:f>IF(E631&lt;&gt;"",1,0)+IF(F631&lt;&gt;"",1,0)+IF(H631&lt;&gt;"",1,0)+IF(J631&lt;&gt;"",1,0)+IF(L631&lt;&gt;"",1,0)</x:f>
        <x:v>1</x:v>
      </x:c>
      <x:c r="O631" s="14" t="str">
        <x:f>IF(E631="","MISSING MAIN",IF(N631=1,"MAIN ONLY","MULTI-PHOTO"))</x:f>
        <x:v>MAIN ONLY</x:v>
      </x:c>
      <x:c r="P631" s="14" t="str">
        <x:v>0723_</x:v>
      </x:c>
      <x:c r="Q631" s="14" t="str">
        <x:v>https://mb1advancedsolutions.github.io/mb1-catalog/index.html?design=0723</x:v>
      </x:c>
      <x:c r="R631" s="14" t="str"/>
    </x:row>
    <x:row r="632">
      <x:c r="A632" s="13" t="str">
        <x:v>MB1-0724</x:v>
      </x:c>
      <x:c r="B632" s="13" t="str">
        <x:v>MB1-0724</x:v>
      </x:c>
      <x:c r="C632" s="14" t="str">
        <x:v>Steampunk B</x:v>
      </x:c>
      <x:c r="D632" s="14" t="str">
        <x:v>family &amp; name</x:v>
      </x:c>
      <x:c r="E632" s="14" t="str">
        <x:v>https://res.cloudinary.com/oxygre42/image/upload/f_auto,q_auto,c_pad,b_white,w_1200,h_1200/v1788349953/0724_Steampunk_B.png</x:v>
      </x:c>
      <x:c r="F632" s="14" t="str"/>
      <x:c r="G632" s="14" t="str">
        <x:v>Lifestyle</x:v>
      </x:c>
      <x:c r="H632" s="14" t="str"/>
      <x:c r="I632" s="14" t="str">
        <x:v>Detail</x:v>
      </x:c>
      <x:c r="J632" s="14" t="str"/>
      <x:c r="K632" s="14" t="str">
        <x:v>Scale</x:v>
      </x:c>
      <x:c r="L632" s="14" t="str"/>
      <x:c r="M632" s="14" t="str">
        <x:v>Alternate</x:v>
      </x:c>
      <x:c r="N632" s="14" t="n">
        <x:f>IF(E632&lt;&gt;"",1,0)+IF(F632&lt;&gt;"",1,0)+IF(H632&lt;&gt;"",1,0)+IF(J632&lt;&gt;"",1,0)+IF(L632&lt;&gt;"",1,0)</x:f>
        <x:v>1</x:v>
      </x:c>
      <x:c r="O632" s="14" t="str">
        <x:f>IF(E632="","MISSING MAIN",IF(N632=1,"MAIN ONLY","MULTI-PHOTO"))</x:f>
        <x:v>MAIN ONLY</x:v>
      </x:c>
      <x:c r="P632" s="14" t="str">
        <x:v>0724_</x:v>
      </x:c>
      <x:c r="Q632" s="14" t="str">
        <x:v>https://mb1advancedsolutions.github.io/mb1-catalog/index.html?design=0724</x:v>
      </x:c>
      <x:c r="R632" s="14" t="str"/>
    </x:row>
    <x:row r="633">
      <x:c r="A633" s="13" t="str">
        <x:v>MB1-0725</x:v>
      </x:c>
      <x:c r="B633" s="13" t="str">
        <x:v>MB1-0725</x:v>
      </x:c>
      <x:c r="C633" s="14" t="str">
        <x:v>Steampunk C</x:v>
      </x:c>
      <x:c r="D633" s="14" t="str">
        <x:v>family &amp; name</x:v>
      </x:c>
      <x:c r="E633" s="14" t="str">
        <x:v>https://res.cloudinary.com/oxygre42/image/upload/f_auto,q_auto,c_pad,b_white,w_1200,h_1200/v1788349954/0725_Steampunk_C.png</x:v>
      </x:c>
      <x:c r="F633" s="14" t="str"/>
      <x:c r="G633" s="14" t="str">
        <x:v>Lifestyle</x:v>
      </x:c>
      <x:c r="H633" s="14" t="str"/>
      <x:c r="I633" s="14" t="str">
        <x:v>Detail</x:v>
      </x:c>
      <x:c r="J633" s="14" t="str"/>
      <x:c r="K633" s="14" t="str">
        <x:v>Scale</x:v>
      </x:c>
      <x:c r="L633" s="14" t="str"/>
      <x:c r="M633" s="14" t="str">
        <x:v>Alternate</x:v>
      </x:c>
      <x:c r="N633" s="14" t="n">
        <x:f>IF(E633&lt;&gt;"",1,0)+IF(F633&lt;&gt;"",1,0)+IF(H633&lt;&gt;"",1,0)+IF(J633&lt;&gt;"",1,0)+IF(L633&lt;&gt;"",1,0)</x:f>
        <x:v>1</x:v>
      </x:c>
      <x:c r="O633" s="14" t="str">
        <x:f>IF(E633="","MISSING MAIN",IF(N633=1,"MAIN ONLY","MULTI-PHOTO"))</x:f>
        <x:v>MAIN ONLY</x:v>
      </x:c>
      <x:c r="P633" s="14" t="str">
        <x:v>0725_</x:v>
      </x:c>
      <x:c r="Q633" s="14" t="str">
        <x:v>https://mb1advancedsolutions.github.io/mb1-catalog/index.html?design=0725</x:v>
      </x:c>
      <x:c r="R633" s="14" t="str"/>
    </x:row>
    <x:row r="634">
      <x:c r="A634" s="13" t="str">
        <x:v>MB1-0726</x:v>
      </x:c>
      <x:c r="B634" s="13" t="str">
        <x:v>MB1-0726</x:v>
      </x:c>
      <x:c r="C634" s="14" t="str">
        <x:v>Steampunk D</x:v>
      </x:c>
      <x:c r="D634" s="14" t="str">
        <x:v>family &amp; name</x:v>
      </x:c>
      <x:c r="E634" s="14" t="str">
        <x:v>https://res.cloudinary.com/oxygre42/image/upload/f_auto,q_auto,c_pad,b_white,w_1200,h_1200/v1788349956/0726_Steampunk_D.png</x:v>
      </x:c>
      <x:c r="F634" s="14" t="str"/>
      <x:c r="G634" s="14" t="str">
        <x:v>Lifestyle</x:v>
      </x:c>
      <x:c r="H634" s="14" t="str"/>
      <x:c r="I634" s="14" t="str">
        <x:v>Detail</x:v>
      </x:c>
      <x:c r="J634" s="14" t="str"/>
      <x:c r="K634" s="14" t="str">
        <x:v>Scale</x:v>
      </x:c>
      <x:c r="L634" s="14" t="str"/>
      <x:c r="M634" s="14" t="str">
        <x:v>Alternate</x:v>
      </x:c>
      <x:c r="N634" s="14" t="n">
        <x:f>IF(E634&lt;&gt;"",1,0)+IF(F634&lt;&gt;"",1,0)+IF(H634&lt;&gt;"",1,0)+IF(J634&lt;&gt;"",1,0)+IF(L634&lt;&gt;"",1,0)</x:f>
        <x:v>1</x:v>
      </x:c>
      <x:c r="O634" s="14" t="str">
        <x:f>IF(E634="","MISSING MAIN",IF(N634=1,"MAIN ONLY","MULTI-PHOTO"))</x:f>
        <x:v>MAIN ONLY</x:v>
      </x:c>
      <x:c r="P634" s="14" t="str">
        <x:v>0726_</x:v>
      </x:c>
      <x:c r="Q634" s="14" t="str">
        <x:v>https://mb1advancedsolutions.github.io/mb1-catalog/index.html?design=0726</x:v>
      </x:c>
      <x:c r="R634" s="14" t="str"/>
    </x:row>
    <x:row r="635">
      <x:c r="A635" s="13" t="str">
        <x:v>MB1-0727</x:v>
      </x:c>
      <x:c r="B635" s="13" t="str">
        <x:v>MB1-0727</x:v>
      </x:c>
      <x:c r="C635" s="14" t="str">
        <x:v>Steampunk E</x:v>
      </x:c>
      <x:c r="D635" s="14" t="str">
        <x:v>family &amp; name</x:v>
      </x:c>
      <x:c r="E635" s="14" t="str">
        <x:v>https://res.cloudinary.com/oxygre42/image/upload/f_auto,q_auto,c_pad,b_white,w_1200,h_1200/v1788349958/0727_Steampunk_E.png</x:v>
      </x:c>
      <x:c r="F635" s="14" t="str"/>
      <x:c r="G635" s="14" t="str">
        <x:v>Lifestyle</x:v>
      </x:c>
      <x:c r="H635" s="14" t="str"/>
      <x:c r="I635" s="14" t="str">
        <x:v>Detail</x:v>
      </x:c>
      <x:c r="J635" s="14" t="str"/>
      <x:c r="K635" s="14" t="str">
        <x:v>Scale</x:v>
      </x:c>
      <x:c r="L635" s="14" t="str"/>
      <x:c r="M635" s="14" t="str">
        <x:v>Alternate</x:v>
      </x:c>
      <x:c r="N635" s="14" t="n">
        <x:f>IF(E635&lt;&gt;"",1,0)+IF(F635&lt;&gt;"",1,0)+IF(H635&lt;&gt;"",1,0)+IF(J635&lt;&gt;"",1,0)+IF(L635&lt;&gt;"",1,0)</x:f>
        <x:v>1</x:v>
      </x:c>
      <x:c r="O635" s="14" t="str">
        <x:f>IF(E635="","MISSING MAIN",IF(N635=1,"MAIN ONLY","MULTI-PHOTO"))</x:f>
        <x:v>MAIN ONLY</x:v>
      </x:c>
      <x:c r="P635" s="14" t="str">
        <x:v>0727_</x:v>
      </x:c>
      <x:c r="Q635" s="14" t="str">
        <x:v>https://mb1advancedsolutions.github.io/mb1-catalog/index.html?design=0727</x:v>
      </x:c>
      <x:c r="R635" s="14" t="str"/>
    </x:row>
    <x:row r="636">
      <x:c r="A636" s="13" t="str">
        <x:v>MB1-0728</x:v>
      </x:c>
      <x:c r="B636" s="13" t="str">
        <x:v>MB1-0728</x:v>
      </x:c>
      <x:c r="C636" s="14" t="str">
        <x:v>Steampunk F</x:v>
      </x:c>
      <x:c r="D636" s="14" t="str">
        <x:v>family &amp; name</x:v>
      </x:c>
      <x:c r="E636" s="14" t="str">
        <x:v>https://res.cloudinary.com/oxygre42/image/upload/f_auto,q_auto,c_pad,b_white,w_1200,h_1200/v1788349960/0728_Steampunk_F.png</x:v>
      </x:c>
      <x:c r="F636" s="14" t="str"/>
      <x:c r="G636" s="14" t="str">
        <x:v>Lifestyle</x:v>
      </x:c>
      <x:c r="H636" s="14" t="str"/>
      <x:c r="I636" s="14" t="str">
        <x:v>Detail</x:v>
      </x:c>
      <x:c r="J636" s="14" t="str"/>
      <x:c r="K636" s="14" t="str">
        <x:v>Scale</x:v>
      </x:c>
      <x:c r="L636" s="14" t="str"/>
      <x:c r="M636" s="14" t="str">
        <x:v>Alternate</x:v>
      </x:c>
      <x:c r="N636" s="14" t="n">
        <x:f>IF(E636&lt;&gt;"",1,0)+IF(F636&lt;&gt;"",1,0)+IF(H636&lt;&gt;"",1,0)+IF(J636&lt;&gt;"",1,0)+IF(L636&lt;&gt;"",1,0)</x:f>
        <x:v>1</x:v>
      </x:c>
      <x:c r="O636" s="14" t="str">
        <x:f>IF(E636="","MISSING MAIN",IF(N636=1,"MAIN ONLY","MULTI-PHOTO"))</x:f>
        <x:v>MAIN ONLY</x:v>
      </x:c>
      <x:c r="P636" s="14" t="str">
        <x:v>0728_</x:v>
      </x:c>
      <x:c r="Q636" s="14" t="str">
        <x:v>https://mb1advancedsolutions.github.io/mb1-catalog/index.html?design=0728</x:v>
      </x:c>
      <x:c r="R636" s="14" t="str"/>
    </x:row>
    <x:row r="637">
      <x:c r="A637" s="13" t="str">
        <x:v>MB1-0729</x:v>
      </x:c>
      <x:c r="B637" s="13" t="str">
        <x:v>MB1-0729</x:v>
      </x:c>
      <x:c r="C637" s="14" t="str">
        <x:v>Steampunk G</x:v>
      </x:c>
      <x:c r="D637" s="14" t="str">
        <x:v>family &amp; name</x:v>
      </x:c>
      <x:c r="E637" s="14" t="str">
        <x:v>https://res.cloudinary.com/oxygre42/image/upload/f_auto,q_auto,c_pad,b_white,w_1200,h_1200/v1788349962/0729_Steampunk_G.png</x:v>
      </x:c>
      <x:c r="F637" s="14" t="str"/>
      <x:c r="G637" s="14" t="str">
        <x:v>Lifestyle</x:v>
      </x:c>
      <x:c r="H637" s="14" t="str"/>
      <x:c r="I637" s="14" t="str">
        <x:v>Detail</x:v>
      </x:c>
      <x:c r="J637" s="14" t="str"/>
      <x:c r="K637" s="14" t="str">
        <x:v>Scale</x:v>
      </x:c>
      <x:c r="L637" s="14" t="str"/>
      <x:c r="M637" s="14" t="str">
        <x:v>Alternate</x:v>
      </x:c>
      <x:c r="N637" s="14" t="n">
        <x:f>IF(E637&lt;&gt;"",1,0)+IF(F637&lt;&gt;"",1,0)+IF(H637&lt;&gt;"",1,0)+IF(J637&lt;&gt;"",1,0)+IF(L637&lt;&gt;"",1,0)</x:f>
        <x:v>1</x:v>
      </x:c>
      <x:c r="O637" s="14" t="str">
        <x:f>IF(E637="","MISSING MAIN",IF(N637=1,"MAIN ONLY","MULTI-PHOTO"))</x:f>
        <x:v>MAIN ONLY</x:v>
      </x:c>
      <x:c r="P637" s="14" t="str">
        <x:v>0729_</x:v>
      </x:c>
      <x:c r="Q637" s="14" t="str">
        <x:v>https://mb1advancedsolutions.github.io/mb1-catalog/index.html?design=0729</x:v>
      </x:c>
      <x:c r="R637" s="14" t="str"/>
    </x:row>
    <x:row r="638">
      <x:c r="A638" s="13" t="str">
        <x:v>MB1-0730</x:v>
      </x:c>
      <x:c r="B638" s="13" t="str">
        <x:v>MB1-0730</x:v>
      </x:c>
      <x:c r="C638" s="14" t="str">
        <x:v>Steampunk H</x:v>
      </x:c>
      <x:c r="D638" s="14" t="str">
        <x:v>family &amp; name</x:v>
      </x:c>
      <x:c r="E638" s="14" t="str">
        <x:v>https://res.cloudinary.com/oxygre42/image/upload/f_auto,q_auto,c_pad,b_white,w_1200,h_1200/v1788349964/0730_Steampunk_H.png</x:v>
      </x:c>
      <x:c r="F638" s="14" t="str"/>
      <x:c r="G638" s="14" t="str">
        <x:v>Lifestyle</x:v>
      </x:c>
      <x:c r="H638" s="14" t="str"/>
      <x:c r="I638" s="14" t="str">
        <x:v>Detail</x:v>
      </x:c>
      <x:c r="J638" s="14" t="str"/>
      <x:c r="K638" s="14" t="str">
        <x:v>Scale</x:v>
      </x:c>
      <x:c r="L638" s="14" t="str"/>
      <x:c r="M638" s="14" t="str">
        <x:v>Alternate</x:v>
      </x:c>
      <x:c r="N638" s="14" t="n">
        <x:f>IF(E638&lt;&gt;"",1,0)+IF(F638&lt;&gt;"",1,0)+IF(H638&lt;&gt;"",1,0)+IF(J638&lt;&gt;"",1,0)+IF(L638&lt;&gt;"",1,0)</x:f>
        <x:v>1</x:v>
      </x:c>
      <x:c r="O638" s="14" t="str">
        <x:f>IF(E638="","MISSING MAIN",IF(N638=1,"MAIN ONLY","MULTI-PHOTO"))</x:f>
        <x:v>MAIN ONLY</x:v>
      </x:c>
      <x:c r="P638" s="14" t="str">
        <x:v>0730_</x:v>
      </x:c>
      <x:c r="Q638" s="14" t="str">
        <x:v>https://mb1advancedsolutions.github.io/mb1-catalog/index.html?design=0730</x:v>
      </x:c>
      <x:c r="R638" s="14" t="str"/>
    </x:row>
    <x:row r="639">
      <x:c r="A639" s="13" t="str">
        <x:v>MB1-0731</x:v>
      </x:c>
      <x:c r="B639" s="13" t="str">
        <x:v>MB1-0731</x:v>
      </x:c>
      <x:c r="C639" s="14" t="str">
        <x:v>Steampunk I</x:v>
      </x:c>
      <x:c r="D639" s="14" t="str">
        <x:v>family &amp; name</x:v>
      </x:c>
      <x:c r="E639" s="14" t="str">
        <x:v>https://res.cloudinary.com/oxygre42/image/upload/f_auto,q_auto,c_pad,b_white,w_1200,h_1200/v1788349966/0731_Steampunk_I.png</x:v>
      </x:c>
      <x:c r="F639" s="14" t="str"/>
      <x:c r="G639" s="14" t="str">
        <x:v>Lifestyle</x:v>
      </x:c>
      <x:c r="H639" s="14" t="str"/>
      <x:c r="I639" s="14" t="str">
        <x:v>Detail</x:v>
      </x:c>
      <x:c r="J639" s="14" t="str"/>
      <x:c r="K639" s="14" t="str">
        <x:v>Scale</x:v>
      </x:c>
      <x:c r="L639" s="14" t="str"/>
      <x:c r="M639" s="14" t="str">
        <x:v>Alternate</x:v>
      </x:c>
      <x:c r="N639" s="14" t="n">
        <x:f>IF(E639&lt;&gt;"",1,0)+IF(F639&lt;&gt;"",1,0)+IF(H639&lt;&gt;"",1,0)+IF(J639&lt;&gt;"",1,0)+IF(L639&lt;&gt;"",1,0)</x:f>
        <x:v>1</x:v>
      </x:c>
      <x:c r="O639" s="14" t="str">
        <x:f>IF(E639="","MISSING MAIN",IF(N639=1,"MAIN ONLY","MULTI-PHOTO"))</x:f>
        <x:v>MAIN ONLY</x:v>
      </x:c>
      <x:c r="P639" s="14" t="str">
        <x:v>0731_</x:v>
      </x:c>
      <x:c r="Q639" s="14" t="str">
        <x:v>https://mb1advancedsolutions.github.io/mb1-catalog/index.html?design=0731</x:v>
      </x:c>
      <x:c r="R639" s="14" t="str"/>
    </x:row>
    <x:row r="640">
      <x:c r="A640" s="13" t="str">
        <x:v>MB1-0732</x:v>
      </x:c>
      <x:c r="B640" s="13" t="str">
        <x:v>MB1-0732</x:v>
      </x:c>
      <x:c r="C640" s="14" t="str">
        <x:v>Steampunk J</x:v>
      </x:c>
      <x:c r="D640" s="14" t="str">
        <x:v>family &amp; name</x:v>
      </x:c>
      <x:c r="E640" s="14" t="str">
        <x:v>https://res.cloudinary.com/oxygre42/image/upload/f_auto,q_auto,c_pad,b_white,w_1200,h_1200/v1788349968/0732_Steampunk_J.png</x:v>
      </x:c>
      <x:c r="F640" s="14" t="str"/>
      <x:c r="G640" s="14" t="str">
        <x:v>Lifestyle</x:v>
      </x:c>
      <x:c r="H640" s="14" t="str"/>
      <x:c r="I640" s="14" t="str">
        <x:v>Detail</x:v>
      </x:c>
      <x:c r="J640" s="14" t="str"/>
      <x:c r="K640" s="14" t="str">
        <x:v>Scale</x:v>
      </x:c>
      <x:c r="L640" s="14" t="str"/>
      <x:c r="M640" s="14" t="str">
        <x:v>Alternate</x:v>
      </x:c>
      <x:c r="N640" s="14" t="n">
        <x:f>IF(E640&lt;&gt;"",1,0)+IF(F640&lt;&gt;"",1,0)+IF(H640&lt;&gt;"",1,0)+IF(J640&lt;&gt;"",1,0)+IF(L640&lt;&gt;"",1,0)</x:f>
        <x:v>1</x:v>
      </x:c>
      <x:c r="O640" s="14" t="str">
        <x:f>IF(E640="","MISSING MAIN",IF(N640=1,"MAIN ONLY","MULTI-PHOTO"))</x:f>
        <x:v>MAIN ONLY</x:v>
      </x:c>
      <x:c r="P640" s="14" t="str">
        <x:v>0732_</x:v>
      </x:c>
      <x:c r="Q640" s="14" t="str">
        <x:v>https://mb1advancedsolutions.github.io/mb1-catalog/index.html?design=0732</x:v>
      </x:c>
      <x:c r="R640" s="14" t="str"/>
    </x:row>
    <x:row r="641">
      <x:c r="A641" s="13" t="str">
        <x:v>MB1-0733</x:v>
      </x:c>
      <x:c r="B641" s="13" t="str">
        <x:v>MB1-0733</x:v>
      </x:c>
      <x:c r="C641" s="14" t="str">
        <x:v>Steampunk K</x:v>
      </x:c>
      <x:c r="D641" s="14" t="str">
        <x:v>family &amp; name</x:v>
      </x:c>
      <x:c r="E641" s="14" t="str">
        <x:v>https://res.cloudinary.com/oxygre42/image/upload/f_auto,q_auto,c_pad,b_white,w_1200,h_1200/v1788349969/0733_Steampunk_K.png</x:v>
      </x:c>
      <x:c r="F641" s="14" t="str"/>
      <x:c r="G641" s="14" t="str">
        <x:v>Lifestyle</x:v>
      </x:c>
      <x:c r="H641" s="14" t="str"/>
      <x:c r="I641" s="14" t="str">
        <x:v>Detail</x:v>
      </x:c>
      <x:c r="J641" s="14" t="str"/>
      <x:c r="K641" s="14" t="str">
        <x:v>Scale</x:v>
      </x:c>
      <x:c r="L641" s="14" t="str"/>
      <x:c r="M641" s="14" t="str">
        <x:v>Alternate</x:v>
      </x:c>
      <x:c r="N641" s="14" t="n">
        <x:f>IF(E641&lt;&gt;"",1,0)+IF(F641&lt;&gt;"",1,0)+IF(H641&lt;&gt;"",1,0)+IF(J641&lt;&gt;"",1,0)+IF(L641&lt;&gt;"",1,0)</x:f>
        <x:v>1</x:v>
      </x:c>
      <x:c r="O641" s="14" t="str">
        <x:f>IF(E641="","MISSING MAIN",IF(N641=1,"MAIN ONLY","MULTI-PHOTO"))</x:f>
        <x:v>MAIN ONLY</x:v>
      </x:c>
      <x:c r="P641" s="14" t="str">
        <x:v>0733_</x:v>
      </x:c>
      <x:c r="Q641" s="14" t="str">
        <x:v>https://mb1advancedsolutions.github.io/mb1-catalog/index.html?design=0733</x:v>
      </x:c>
      <x:c r="R641" s="14" t="str"/>
    </x:row>
    <x:row r="642">
      <x:c r="A642" s="13" t="str">
        <x:v>MB1-0734</x:v>
      </x:c>
      <x:c r="B642" s="13" t="str">
        <x:v>MB1-0734</x:v>
      </x:c>
      <x:c r="C642" s="14" t="str">
        <x:v>Steampunk L</x:v>
      </x:c>
      <x:c r="D642" s="14" t="str">
        <x:v>family &amp; name</x:v>
      </x:c>
      <x:c r="E642" s="14" t="str">
        <x:v>https://res.cloudinary.com/oxygre42/image/upload/f_auto,q_auto,c_pad,b_white,w_1200,h_1200/v1788349971/0734_Steampunk_L.png</x:v>
      </x:c>
      <x:c r="F642" s="14" t="str"/>
      <x:c r="G642" s="14" t="str">
        <x:v>Lifestyle</x:v>
      </x:c>
      <x:c r="H642" s="14" t="str"/>
      <x:c r="I642" s="14" t="str">
        <x:v>Detail</x:v>
      </x:c>
      <x:c r="J642" s="14" t="str"/>
      <x:c r="K642" s="14" t="str">
        <x:v>Scale</x:v>
      </x:c>
      <x:c r="L642" s="14" t="str"/>
      <x:c r="M642" s="14" t="str">
        <x:v>Alternate</x:v>
      </x:c>
      <x:c r="N642" s="14" t="n">
        <x:f>IF(E642&lt;&gt;"",1,0)+IF(F642&lt;&gt;"",1,0)+IF(H642&lt;&gt;"",1,0)+IF(J642&lt;&gt;"",1,0)+IF(L642&lt;&gt;"",1,0)</x:f>
        <x:v>1</x:v>
      </x:c>
      <x:c r="O642" s="14" t="str">
        <x:f>IF(E642="","MISSING MAIN",IF(N642=1,"MAIN ONLY","MULTI-PHOTO"))</x:f>
        <x:v>MAIN ONLY</x:v>
      </x:c>
      <x:c r="P642" s="14" t="str">
        <x:v>0734_</x:v>
      </x:c>
      <x:c r="Q642" s="14" t="str">
        <x:v>https://mb1advancedsolutions.github.io/mb1-catalog/index.html?design=0734</x:v>
      </x:c>
      <x:c r="R642" s="14" t="str"/>
    </x:row>
    <x:row r="643">
      <x:c r="A643" s="13" t="str">
        <x:v>MB1-0735</x:v>
      </x:c>
      <x:c r="B643" s="13" t="str">
        <x:v>MB1-0735</x:v>
      </x:c>
      <x:c r="C643" s="14" t="str">
        <x:v>Steampunk M</x:v>
      </x:c>
      <x:c r="D643" s="14" t="str">
        <x:v>family &amp; name</x:v>
      </x:c>
      <x:c r="E643" s="14" t="str">
        <x:v>https://res.cloudinary.com/oxygre42/image/upload/f_auto,q_auto,c_pad,b_white,w_1200,h_1200/v1788349973/0735_Steampunk_M.png</x:v>
      </x:c>
      <x:c r="F643" s="14" t="str"/>
      <x:c r="G643" s="14" t="str">
        <x:v>Lifestyle</x:v>
      </x:c>
      <x:c r="H643" s="14" t="str"/>
      <x:c r="I643" s="14" t="str">
        <x:v>Detail</x:v>
      </x:c>
      <x:c r="J643" s="14" t="str"/>
      <x:c r="K643" s="14" t="str">
        <x:v>Scale</x:v>
      </x:c>
      <x:c r="L643" s="14" t="str"/>
      <x:c r="M643" s="14" t="str">
        <x:v>Alternate</x:v>
      </x:c>
      <x:c r="N643" s="14" t="n">
        <x:f>IF(E643&lt;&gt;"",1,0)+IF(F643&lt;&gt;"",1,0)+IF(H643&lt;&gt;"",1,0)+IF(J643&lt;&gt;"",1,0)+IF(L643&lt;&gt;"",1,0)</x:f>
        <x:v>1</x:v>
      </x:c>
      <x:c r="O643" s="14" t="str">
        <x:f>IF(E643="","MISSING MAIN",IF(N643=1,"MAIN ONLY","MULTI-PHOTO"))</x:f>
        <x:v>MAIN ONLY</x:v>
      </x:c>
      <x:c r="P643" s="14" t="str">
        <x:v>0735_</x:v>
      </x:c>
      <x:c r="Q643" s="14" t="str">
        <x:v>https://mb1advancedsolutions.github.io/mb1-catalog/index.html?design=0735</x:v>
      </x:c>
      <x:c r="R643" s="14" t="str"/>
    </x:row>
    <x:row r="644">
      <x:c r="A644" s="13" t="str">
        <x:v>MB1-0736</x:v>
      </x:c>
      <x:c r="B644" s="13" t="str">
        <x:v>MB1-0736</x:v>
      </x:c>
      <x:c r="C644" s="14" t="str">
        <x:v>Steampunk Mr and Mrs</x:v>
      </x:c>
      <x:c r="D644" s="14" t="str">
        <x:v>wedding and events</x:v>
      </x:c>
      <x:c r="E644" s="14" t="str">
        <x:v>https://res.cloudinary.com/oxygre42/image/upload/f_auto,q_auto,c_pad,b_white,w_1200,h_1200/v1788349975/0736_Steampunk_Mr_and_Mrs.png</x:v>
      </x:c>
      <x:c r="F644" s="14" t="str"/>
      <x:c r="G644" s="14" t="str">
        <x:v>Lifestyle</x:v>
      </x:c>
      <x:c r="H644" s="14" t="str"/>
      <x:c r="I644" s="14" t="str">
        <x:v>Detail</x:v>
      </x:c>
      <x:c r="J644" s="14" t="str"/>
      <x:c r="K644" s="14" t="str">
        <x:v>Scale</x:v>
      </x:c>
      <x:c r="L644" s="14" t="str"/>
      <x:c r="M644" s="14" t="str">
        <x:v>Alternate</x:v>
      </x:c>
      <x:c r="N644" s="14" t="n">
        <x:f>IF(E644&lt;&gt;"",1,0)+IF(F644&lt;&gt;"",1,0)+IF(H644&lt;&gt;"",1,0)+IF(J644&lt;&gt;"",1,0)+IF(L644&lt;&gt;"",1,0)</x:f>
        <x:v>1</x:v>
      </x:c>
      <x:c r="O644" s="14" t="str">
        <x:f>IF(E644="","MISSING MAIN",IF(N644=1,"MAIN ONLY","MULTI-PHOTO"))</x:f>
        <x:v>MAIN ONLY</x:v>
      </x:c>
      <x:c r="P644" s="14" t="str">
        <x:v>0736_</x:v>
      </x:c>
      <x:c r="Q644" s="14" t="str">
        <x:v>https://mb1advancedsolutions.github.io/mb1-catalog/index.html?design=0736</x:v>
      </x:c>
      <x:c r="R644" s="14" t="str"/>
    </x:row>
    <x:row r="645">
      <x:c r="A645" s="13" t="str">
        <x:v>MB1-0737</x:v>
      </x:c>
      <x:c r="B645" s="13" t="str">
        <x:v>MB1-0737</x:v>
      </x:c>
      <x:c r="C645" s="14" t="str">
        <x:v>Steampunk N</x:v>
      </x:c>
      <x:c r="D645" s="14" t="str">
        <x:v>family &amp; name</x:v>
      </x:c>
      <x:c r="E645" s="14" t="str">
        <x:v>https://res.cloudinary.com/oxygre42/image/upload/f_auto,q_auto,c_pad,b_white,w_1200,h_1200/v1788349977/0737_Steampunk_N.png</x:v>
      </x:c>
      <x:c r="F645" s="14" t="str"/>
      <x:c r="G645" s="14" t="str">
        <x:v>Lifestyle</x:v>
      </x:c>
      <x:c r="H645" s="14" t="str"/>
      <x:c r="I645" s="14" t="str">
        <x:v>Detail</x:v>
      </x:c>
      <x:c r="J645" s="14" t="str"/>
      <x:c r="K645" s="14" t="str">
        <x:v>Scale</x:v>
      </x:c>
      <x:c r="L645" s="14" t="str"/>
      <x:c r="M645" s="14" t="str">
        <x:v>Alternate</x:v>
      </x:c>
      <x:c r="N645" s="14" t="n">
        <x:f>IF(E645&lt;&gt;"",1,0)+IF(F645&lt;&gt;"",1,0)+IF(H645&lt;&gt;"",1,0)+IF(J645&lt;&gt;"",1,0)+IF(L645&lt;&gt;"",1,0)</x:f>
        <x:v>1</x:v>
      </x:c>
      <x:c r="O645" s="14" t="str">
        <x:f>IF(E645="","MISSING MAIN",IF(N645=1,"MAIN ONLY","MULTI-PHOTO"))</x:f>
        <x:v>MAIN ONLY</x:v>
      </x:c>
      <x:c r="P645" s="14" t="str">
        <x:v>0737_</x:v>
      </x:c>
      <x:c r="Q645" s="14" t="str">
        <x:v>https://mb1advancedsolutions.github.io/mb1-catalog/index.html?design=0737</x:v>
      </x:c>
      <x:c r="R645" s="14" t="str"/>
    </x:row>
    <x:row r="646">
      <x:c r="A646" s="13" t="str">
        <x:v>MB1-0738</x:v>
      </x:c>
      <x:c r="B646" s="13" t="str">
        <x:v>MB1-0738</x:v>
      </x:c>
      <x:c r="C646" s="14" t="str">
        <x:v>Steampunk O</x:v>
      </x:c>
      <x:c r="D646" s="14" t="str">
        <x:v>family &amp; name</x:v>
      </x:c>
      <x:c r="E646" s="14" t="str">
        <x:v>https://res.cloudinary.com/oxygre42/image/upload/f_auto,q_auto,c_pad,b_white,w_1200,h_1200/v1788349979/0738_Steampunk_O.png</x:v>
      </x:c>
      <x:c r="F646" s="14" t="str"/>
      <x:c r="G646" s="14" t="str">
        <x:v>Lifestyle</x:v>
      </x:c>
      <x:c r="H646" s="14" t="str"/>
      <x:c r="I646" s="14" t="str">
        <x:v>Detail</x:v>
      </x:c>
      <x:c r="J646" s="14" t="str"/>
      <x:c r="K646" s="14" t="str">
        <x:v>Scale</x:v>
      </x:c>
      <x:c r="L646" s="14" t="str"/>
      <x:c r="M646" s="14" t="str">
        <x:v>Alternate</x:v>
      </x:c>
      <x:c r="N646" s="14" t="n">
        <x:f>IF(E646&lt;&gt;"",1,0)+IF(F646&lt;&gt;"",1,0)+IF(H646&lt;&gt;"",1,0)+IF(J646&lt;&gt;"",1,0)+IF(L646&lt;&gt;"",1,0)</x:f>
        <x:v>1</x:v>
      </x:c>
      <x:c r="O646" s="14" t="str">
        <x:f>IF(E646="","MISSING MAIN",IF(N646=1,"MAIN ONLY","MULTI-PHOTO"))</x:f>
        <x:v>MAIN ONLY</x:v>
      </x:c>
      <x:c r="P646" s="14" t="str">
        <x:v>0738_</x:v>
      </x:c>
      <x:c r="Q646" s="14" t="str">
        <x:v>https://mb1advancedsolutions.github.io/mb1-catalog/index.html?design=0738</x:v>
      </x:c>
      <x:c r="R646" s="14" t="str"/>
    </x:row>
    <x:row r="647">
      <x:c r="A647" s="13" t="str">
        <x:v>MB1-0739</x:v>
      </x:c>
      <x:c r="B647" s="13" t="str">
        <x:v>MB1-0739</x:v>
      </x:c>
      <x:c r="C647" s="14" t="str">
        <x:v>Steampunk P</x:v>
      </x:c>
      <x:c r="D647" s="14" t="str">
        <x:v>family &amp; name</x:v>
      </x:c>
      <x:c r="E647" s="14" t="str">
        <x:v>https://res.cloudinary.com/oxygre42/image/upload/f_auto,q_auto,c_pad,b_white,w_1200,h_1200/v1788349981/0739_Steampunk_P.png</x:v>
      </x:c>
      <x:c r="F647" s="14" t="str"/>
      <x:c r="G647" s="14" t="str">
        <x:v>Lifestyle</x:v>
      </x:c>
      <x:c r="H647" s="14" t="str"/>
      <x:c r="I647" s="14" t="str">
        <x:v>Detail</x:v>
      </x:c>
      <x:c r="J647" s="14" t="str"/>
      <x:c r="K647" s="14" t="str">
        <x:v>Scale</x:v>
      </x:c>
      <x:c r="L647" s="14" t="str"/>
      <x:c r="M647" s="14" t="str">
        <x:v>Alternate</x:v>
      </x:c>
      <x:c r="N647" s="14" t="n">
        <x:f>IF(E647&lt;&gt;"",1,0)+IF(F647&lt;&gt;"",1,0)+IF(H647&lt;&gt;"",1,0)+IF(J647&lt;&gt;"",1,0)+IF(L647&lt;&gt;"",1,0)</x:f>
        <x:v>1</x:v>
      </x:c>
      <x:c r="O647" s="14" t="str">
        <x:f>IF(E647="","MISSING MAIN",IF(N647=1,"MAIN ONLY","MULTI-PHOTO"))</x:f>
        <x:v>MAIN ONLY</x:v>
      </x:c>
      <x:c r="P647" s="14" t="str">
        <x:v>0739_</x:v>
      </x:c>
      <x:c r="Q647" s="14" t="str">
        <x:v>https://mb1advancedsolutions.github.io/mb1-catalog/index.html?design=0739</x:v>
      </x:c>
      <x:c r="R647" s="14" t="str"/>
    </x:row>
    <x:row r="648">
      <x:c r="A648" s="13" t="str">
        <x:v>MB1-0740</x:v>
      </x:c>
      <x:c r="B648" s="13" t="str">
        <x:v>MB1-0740</x:v>
      </x:c>
      <x:c r="C648" s="14" t="str">
        <x:v>Steampunk Q</x:v>
      </x:c>
      <x:c r="D648" s="14" t="str">
        <x:v>family &amp; name</x:v>
      </x:c>
      <x:c r="E648" s="14" t="str">
        <x:v>https://res.cloudinary.com/oxygre42/image/upload/f_auto,q_auto,c_pad,b_white,w_1200,h_1200/v1788349983/0740_Steampunk_Q.png</x:v>
      </x:c>
      <x:c r="F648" s="14" t="str"/>
      <x:c r="G648" s="14" t="str">
        <x:v>Lifestyle</x:v>
      </x:c>
      <x:c r="H648" s="14" t="str"/>
      <x:c r="I648" s="14" t="str">
        <x:v>Detail</x:v>
      </x:c>
      <x:c r="J648" s="14" t="str"/>
      <x:c r="K648" s="14" t="str">
        <x:v>Scale</x:v>
      </x:c>
      <x:c r="L648" s="14" t="str"/>
      <x:c r="M648" s="14" t="str">
        <x:v>Alternate</x:v>
      </x:c>
      <x:c r="N648" s="14" t="n">
        <x:f>IF(E648&lt;&gt;"",1,0)+IF(F648&lt;&gt;"",1,0)+IF(H648&lt;&gt;"",1,0)+IF(J648&lt;&gt;"",1,0)+IF(L648&lt;&gt;"",1,0)</x:f>
        <x:v>1</x:v>
      </x:c>
      <x:c r="O648" s="14" t="str">
        <x:f>IF(E648="","MISSING MAIN",IF(N648=1,"MAIN ONLY","MULTI-PHOTO"))</x:f>
        <x:v>MAIN ONLY</x:v>
      </x:c>
      <x:c r="P648" s="14" t="str">
        <x:v>0740_</x:v>
      </x:c>
      <x:c r="Q648" s="14" t="str">
        <x:v>https://mb1advancedsolutions.github.io/mb1-catalog/index.html?design=0740</x:v>
      </x:c>
      <x:c r="R648" s="14" t="str"/>
    </x:row>
    <x:row r="649">
      <x:c r="A649" s="13" t="str">
        <x:v>MB1-0741</x:v>
      </x:c>
      <x:c r="B649" s="13" t="str">
        <x:v>MB1-0741</x:v>
      </x:c>
      <x:c r="C649" s="14" t="str">
        <x:v>Steampunk R</x:v>
      </x:c>
      <x:c r="D649" s="14" t="str">
        <x:v>family &amp; name</x:v>
      </x:c>
      <x:c r="E649" s="14" t="str">
        <x:v>https://res.cloudinary.com/oxygre42/image/upload/f_auto,q_auto,c_pad,b_white,w_1200,h_1200/v1788349984/0741_Steampunk_R.png</x:v>
      </x:c>
      <x:c r="F649" s="14" t="str"/>
      <x:c r="G649" s="14" t="str">
        <x:v>Lifestyle</x:v>
      </x:c>
      <x:c r="H649" s="14" t="str"/>
      <x:c r="I649" s="14" t="str">
        <x:v>Detail</x:v>
      </x:c>
      <x:c r="J649" s="14" t="str"/>
      <x:c r="K649" s="14" t="str">
        <x:v>Scale</x:v>
      </x:c>
      <x:c r="L649" s="14" t="str"/>
      <x:c r="M649" s="14" t="str">
        <x:v>Alternate</x:v>
      </x:c>
      <x:c r="N649" s="14" t="n">
        <x:f>IF(E649&lt;&gt;"",1,0)+IF(F649&lt;&gt;"",1,0)+IF(H649&lt;&gt;"",1,0)+IF(J649&lt;&gt;"",1,0)+IF(L649&lt;&gt;"",1,0)</x:f>
        <x:v>1</x:v>
      </x:c>
      <x:c r="O649" s="14" t="str">
        <x:f>IF(E649="","MISSING MAIN",IF(N649=1,"MAIN ONLY","MULTI-PHOTO"))</x:f>
        <x:v>MAIN ONLY</x:v>
      </x:c>
      <x:c r="P649" s="14" t="str">
        <x:v>0741_</x:v>
      </x:c>
      <x:c r="Q649" s="14" t="str">
        <x:v>https://mb1advancedsolutions.github.io/mb1-catalog/index.html?design=0741</x:v>
      </x:c>
      <x:c r="R649" s="14" t="str"/>
    </x:row>
    <x:row r="650">
      <x:c r="A650" s="13" t="str">
        <x:v>MB1-0742</x:v>
      </x:c>
      <x:c r="B650" s="13" t="str">
        <x:v>MB1-0742</x:v>
      </x:c>
      <x:c r="C650" s="14" t="str">
        <x:v>Steampunk S</x:v>
      </x:c>
      <x:c r="D650" s="14" t="str">
        <x:v>family &amp; name</x:v>
      </x:c>
      <x:c r="E650" s="14" t="str">
        <x:v>https://res.cloudinary.com/oxygre42/image/upload/f_auto,q_auto,c_pad,b_white,w_1200,h_1200/v1788349986/0742_Steampunk_S.png</x:v>
      </x:c>
      <x:c r="F650" s="14" t="str"/>
      <x:c r="G650" s="14" t="str">
        <x:v>Lifestyle</x:v>
      </x:c>
      <x:c r="H650" s="14" t="str"/>
      <x:c r="I650" s="14" t="str">
        <x:v>Detail</x:v>
      </x:c>
      <x:c r="J650" s="14" t="str"/>
      <x:c r="K650" s="14" t="str">
        <x:v>Scale</x:v>
      </x:c>
      <x:c r="L650" s="14" t="str"/>
      <x:c r="M650" s="14" t="str">
        <x:v>Alternate</x:v>
      </x:c>
      <x:c r="N650" s="14" t="n">
        <x:f>IF(E650&lt;&gt;"",1,0)+IF(F650&lt;&gt;"",1,0)+IF(H650&lt;&gt;"",1,0)+IF(J650&lt;&gt;"",1,0)+IF(L650&lt;&gt;"",1,0)</x:f>
        <x:v>1</x:v>
      </x:c>
      <x:c r="O650" s="14" t="str">
        <x:f>IF(E650="","MISSING MAIN",IF(N650=1,"MAIN ONLY","MULTI-PHOTO"))</x:f>
        <x:v>MAIN ONLY</x:v>
      </x:c>
      <x:c r="P650" s="14" t="str">
        <x:v>0742_</x:v>
      </x:c>
      <x:c r="Q650" s="14" t="str">
        <x:v>https://mb1advancedsolutions.github.io/mb1-catalog/index.html?design=0742</x:v>
      </x:c>
      <x:c r="R650" s="14" t="str"/>
    </x:row>
    <x:row r="651">
      <x:c r="A651" s="13" t="str">
        <x:v>MB1-0743</x:v>
      </x:c>
      <x:c r="B651" s="13" t="str">
        <x:v>MB1-0743</x:v>
      </x:c>
      <x:c r="C651" s="14" t="str">
        <x:v>Steampunk T</x:v>
      </x:c>
      <x:c r="D651" s="14" t="str">
        <x:v>family &amp; name</x:v>
      </x:c>
      <x:c r="E651" s="14" t="str">
        <x:v>https://res.cloudinary.com/oxygre42/image/upload/f_auto,q_auto,c_pad,b_white,w_1200,h_1200/v1788349988/0743_Steampunk_T.png</x:v>
      </x:c>
      <x:c r="F651" s="14" t="str"/>
      <x:c r="G651" s="14" t="str">
        <x:v>Lifestyle</x:v>
      </x:c>
      <x:c r="H651" s="14" t="str"/>
      <x:c r="I651" s="14" t="str">
        <x:v>Detail</x:v>
      </x:c>
      <x:c r="J651" s="14" t="str"/>
      <x:c r="K651" s="14" t="str">
        <x:v>Scale</x:v>
      </x:c>
      <x:c r="L651" s="14" t="str"/>
      <x:c r="M651" s="14" t="str">
        <x:v>Alternate</x:v>
      </x:c>
      <x:c r="N651" s="14" t="n">
        <x:f>IF(E651&lt;&gt;"",1,0)+IF(F651&lt;&gt;"",1,0)+IF(H651&lt;&gt;"",1,0)+IF(J651&lt;&gt;"",1,0)+IF(L651&lt;&gt;"",1,0)</x:f>
        <x:v>1</x:v>
      </x:c>
      <x:c r="O651" s="14" t="str">
        <x:f>IF(E651="","MISSING MAIN",IF(N651=1,"MAIN ONLY","MULTI-PHOTO"))</x:f>
        <x:v>MAIN ONLY</x:v>
      </x:c>
      <x:c r="P651" s="14" t="str">
        <x:v>0743_</x:v>
      </x:c>
      <x:c r="Q651" s="14" t="str">
        <x:v>https://mb1advancedsolutions.github.io/mb1-catalog/index.html?design=0743</x:v>
      </x:c>
      <x:c r="R651" s="14" t="str"/>
    </x:row>
    <x:row r="652">
      <x:c r="A652" s="13" t="str">
        <x:v>MB1-0744</x:v>
      </x:c>
      <x:c r="B652" s="13" t="str">
        <x:v>MB1-0744</x:v>
      </x:c>
      <x:c r="C652" s="14" t="str">
        <x:v>Steampunk U</x:v>
      </x:c>
      <x:c r="D652" s="14" t="str">
        <x:v>family &amp; name</x:v>
      </x:c>
      <x:c r="E652" s="14" t="str">
        <x:v>https://res.cloudinary.com/oxygre42/image/upload/f_auto,q_auto,c_pad,b_white,w_1200,h_1200/v1788349990/0744_Steampunk_U.png</x:v>
      </x:c>
      <x:c r="F652" s="14" t="str"/>
      <x:c r="G652" s="14" t="str">
        <x:v>Lifestyle</x:v>
      </x:c>
      <x:c r="H652" s="14" t="str"/>
      <x:c r="I652" s="14" t="str">
        <x:v>Detail</x:v>
      </x:c>
      <x:c r="J652" s="14" t="str"/>
      <x:c r="K652" s="14" t="str">
        <x:v>Scale</x:v>
      </x:c>
      <x:c r="L652" s="14" t="str"/>
      <x:c r="M652" s="14" t="str">
        <x:v>Alternate</x:v>
      </x:c>
      <x:c r="N652" s="14" t="n">
        <x:f>IF(E652&lt;&gt;"",1,0)+IF(F652&lt;&gt;"",1,0)+IF(H652&lt;&gt;"",1,0)+IF(J652&lt;&gt;"",1,0)+IF(L652&lt;&gt;"",1,0)</x:f>
        <x:v>1</x:v>
      </x:c>
      <x:c r="O652" s="14" t="str">
        <x:f>IF(E652="","MISSING MAIN",IF(N652=1,"MAIN ONLY","MULTI-PHOTO"))</x:f>
        <x:v>MAIN ONLY</x:v>
      </x:c>
      <x:c r="P652" s="14" t="str">
        <x:v>0744_</x:v>
      </x:c>
      <x:c r="Q652" s="14" t="str">
        <x:v>https://mb1advancedsolutions.github.io/mb1-catalog/index.html?design=0744</x:v>
      </x:c>
      <x:c r="R652" s="14" t="str"/>
    </x:row>
    <x:row r="653">
      <x:c r="A653" s="13" t="str">
        <x:v>MB1-0745</x:v>
      </x:c>
      <x:c r="B653" s="13" t="str">
        <x:v>MB1-0745</x:v>
      </x:c>
      <x:c r="C653" s="14" t="str">
        <x:v>Steampunk V</x:v>
      </x:c>
      <x:c r="D653" s="14" t="str">
        <x:v>family &amp; name</x:v>
      </x:c>
      <x:c r="E653" s="14" t="str">
        <x:v>https://res.cloudinary.com/oxygre42/image/upload/f_auto,q_auto,c_pad,b_white,w_1200,h_1200/v1788349992/0745_Steampunk_V.png</x:v>
      </x:c>
      <x:c r="F653" s="14" t="str"/>
      <x:c r="G653" s="14" t="str">
        <x:v>Lifestyle</x:v>
      </x:c>
      <x:c r="H653" s="14" t="str"/>
      <x:c r="I653" s="14" t="str">
        <x:v>Detail</x:v>
      </x:c>
      <x:c r="J653" s="14" t="str"/>
      <x:c r="K653" s="14" t="str">
        <x:v>Scale</x:v>
      </x:c>
      <x:c r="L653" s="14" t="str"/>
      <x:c r="M653" s="14" t="str">
        <x:v>Alternate</x:v>
      </x:c>
      <x:c r="N653" s="14" t="n">
        <x:f>IF(E653&lt;&gt;"",1,0)+IF(F653&lt;&gt;"",1,0)+IF(H653&lt;&gt;"",1,0)+IF(J653&lt;&gt;"",1,0)+IF(L653&lt;&gt;"",1,0)</x:f>
        <x:v>1</x:v>
      </x:c>
      <x:c r="O653" s="14" t="str">
        <x:f>IF(E653="","MISSING MAIN",IF(N653=1,"MAIN ONLY","MULTI-PHOTO"))</x:f>
        <x:v>MAIN ONLY</x:v>
      </x:c>
      <x:c r="P653" s="14" t="str">
        <x:v>0745_</x:v>
      </x:c>
      <x:c r="Q653" s="14" t="str">
        <x:v>https://mb1advancedsolutions.github.io/mb1-catalog/index.html?design=0745</x:v>
      </x:c>
      <x:c r="R653" s="14" t="str"/>
    </x:row>
    <x:row r="654">
      <x:c r="A654" s="13" t="str">
        <x:v>MB1-0746</x:v>
      </x:c>
      <x:c r="B654" s="13" t="str">
        <x:v>MB1-0746</x:v>
      </x:c>
      <x:c r="C654" s="14" t="str">
        <x:v>Steampunk W</x:v>
      </x:c>
      <x:c r="D654" s="14" t="str">
        <x:v>family &amp; name</x:v>
      </x:c>
      <x:c r="E654" s="14" t="str">
        <x:v>https://res.cloudinary.com/oxygre42/image/upload/f_auto,q_auto,c_pad,b_white,w_1200,h_1200/v1788349994/0746_Steampunk_W.png</x:v>
      </x:c>
      <x:c r="F654" s="14" t="str"/>
      <x:c r="G654" s="14" t="str">
        <x:v>Lifestyle</x:v>
      </x:c>
      <x:c r="H654" s="14" t="str"/>
      <x:c r="I654" s="14" t="str">
        <x:v>Detail</x:v>
      </x:c>
      <x:c r="J654" s="14" t="str"/>
      <x:c r="K654" s="14" t="str">
        <x:v>Scale</x:v>
      </x:c>
      <x:c r="L654" s="14" t="str"/>
      <x:c r="M654" s="14" t="str">
        <x:v>Alternate</x:v>
      </x:c>
      <x:c r="N654" s="14" t="n">
        <x:f>IF(E654&lt;&gt;"",1,0)+IF(F654&lt;&gt;"",1,0)+IF(H654&lt;&gt;"",1,0)+IF(J654&lt;&gt;"",1,0)+IF(L654&lt;&gt;"",1,0)</x:f>
        <x:v>1</x:v>
      </x:c>
      <x:c r="O654" s="14" t="str">
        <x:f>IF(E654="","MISSING MAIN",IF(N654=1,"MAIN ONLY","MULTI-PHOTO"))</x:f>
        <x:v>MAIN ONLY</x:v>
      </x:c>
      <x:c r="P654" s="14" t="str">
        <x:v>0746_</x:v>
      </x:c>
      <x:c r="Q654" s="14" t="str">
        <x:v>https://mb1advancedsolutions.github.io/mb1-catalog/index.html?design=0746</x:v>
      </x:c>
      <x:c r="R654" s="14" t="str"/>
    </x:row>
    <x:row r="655">
      <x:c r="A655" s="13" t="str">
        <x:v>MB1-0747</x:v>
      </x:c>
      <x:c r="B655" s="13" t="str">
        <x:v>MB1-0747</x:v>
      </x:c>
      <x:c r="C655" s="14" t="str">
        <x:v>Steampunk X</x:v>
      </x:c>
      <x:c r="D655" s="14" t="str">
        <x:v>family &amp; name</x:v>
      </x:c>
      <x:c r="E655" s="14" t="str">
        <x:v>https://res.cloudinary.com/oxygre42/image/upload/f_auto,q_auto,c_pad,b_white,w_1200,h_1200/v1788349996/0747_Steampunk_X.png</x:v>
      </x:c>
      <x:c r="F655" s="14" t="str"/>
      <x:c r="G655" s="14" t="str">
        <x:v>Lifestyle</x:v>
      </x:c>
      <x:c r="H655" s="14" t="str"/>
      <x:c r="I655" s="14" t="str">
        <x:v>Detail</x:v>
      </x:c>
      <x:c r="J655" s="14" t="str"/>
      <x:c r="K655" s="14" t="str">
        <x:v>Scale</x:v>
      </x:c>
      <x:c r="L655" s="14" t="str"/>
      <x:c r="M655" s="14" t="str">
        <x:v>Alternate</x:v>
      </x:c>
      <x:c r="N655" s="14" t="n">
        <x:f>IF(E655&lt;&gt;"",1,0)+IF(F655&lt;&gt;"",1,0)+IF(H655&lt;&gt;"",1,0)+IF(J655&lt;&gt;"",1,0)+IF(L655&lt;&gt;"",1,0)</x:f>
        <x:v>1</x:v>
      </x:c>
      <x:c r="O655" s="14" t="str">
        <x:f>IF(E655="","MISSING MAIN",IF(N655=1,"MAIN ONLY","MULTI-PHOTO"))</x:f>
        <x:v>MAIN ONLY</x:v>
      </x:c>
      <x:c r="P655" s="14" t="str">
        <x:v>0747_</x:v>
      </x:c>
      <x:c r="Q655" s="14" t="str">
        <x:v>https://mb1advancedsolutions.github.io/mb1-catalog/index.html?design=0747</x:v>
      </x:c>
      <x:c r="R655" s="14" t="str"/>
    </x:row>
    <x:row r="656">
      <x:c r="A656" s="13" t="str">
        <x:v>MB1-0748</x:v>
      </x:c>
      <x:c r="B656" s="13" t="str">
        <x:v>MB1-0748</x:v>
      </x:c>
      <x:c r="C656" s="14" t="str">
        <x:v>Steampunk Y</x:v>
      </x:c>
      <x:c r="D656" s="14" t="str">
        <x:v>family &amp; name</x:v>
      </x:c>
      <x:c r="E656" s="14" t="str">
        <x:v>https://res.cloudinary.com/oxygre42/image/upload/f_auto,q_auto,c_pad,b_white,w_1200,h_1200/v1788349998/0748_Steampunk_Y.png</x:v>
      </x:c>
      <x:c r="F656" s="14" t="str"/>
      <x:c r="G656" s="14" t="str">
        <x:v>Lifestyle</x:v>
      </x:c>
      <x:c r="H656" s="14" t="str"/>
      <x:c r="I656" s="14" t="str">
        <x:v>Detail</x:v>
      </x:c>
      <x:c r="J656" s="14" t="str"/>
      <x:c r="K656" s="14" t="str">
        <x:v>Scale</x:v>
      </x:c>
      <x:c r="L656" s="14" t="str"/>
      <x:c r="M656" s="14" t="str">
        <x:v>Alternate</x:v>
      </x:c>
      <x:c r="N656" s="14" t="n">
        <x:f>IF(E656&lt;&gt;"",1,0)+IF(F656&lt;&gt;"",1,0)+IF(H656&lt;&gt;"",1,0)+IF(J656&lt;&gt;"",1,0)+IF(L656&lt;&gt;"",1,0)</x:f>
        <x:v>1</x:v>
      </x:c>
      <x:c r="O656" s="14" t="str">
        <x:f>IF(E656="","MISSING MAIN",IF(N656=1,"MAIN ONLY","MULTI-PHOTO"))</x:f>
        <x:v>MAIN ONLY</x:v>
      </x:c>
      <x:c r="P656" s="14" t="str">
        <x:v>0748_</x:v>
      </x:c>
      <x:c r="Q656" s="14" t="str">
        <x:v>https://mb1advancedsolutions.github.io/mb1-catalog/index.html?design=0748</x:v>
      </x:c>
      <x:c r="R656" s="14" t="str"/>
    </x:row>
    <x:row r="657">
      <x:c r="A657" s="13" t="str">
        <x:v>MB1-0749</x:v>
      </x:c>
      <x:c r="B657" s="13" t="str">
        <x:v>MB1-0749</x:v>
      </x:c>
      <x:c r="C657" s="14" t="str">
        <x:v>Steampunk Z</x:v>
      </x:c>
      <x:c r="D657" s="14" t="str">
        <x:v>family &amp; name</x:v>
      </x:c>
      <x:c r="E657" s="14" t="str">
        <x:v>https://res.cloudinary.com/oxygre42/image/upload/f_auto,q_auto,c_pad,b_white,w_1200,h_1200/v1788349999/0749_Steampunk_Z.png</x:v>
      </x:c>
      <x:c r="F657" s="14" t="str"/>
      <x:c r="G657" s="14" t="str">
        <x:v>Lifestyle</x:v>
      </x:c>
      <x:c r="H657" s="14" t="str"/>
      <x:c r="I657" s="14" t="str">
        <x:v>Detail</x:v>
      </x:c>
      <x:c r="J657" s="14" t="str"/>
      <x:c r="K657" s="14" t="str">
        <x:v>Scale</x:v>
      </x:c>
      <x:c r="L657" s="14" t="str"/>
      <x:c r="M657" s="14" t="str">
        <x:v>Alternate</x:v>
      </x:c>
      <x:c r="N657" s="14" t="n">
        <x:f>IF(E657&lt;&gt;"",1,0)+IF(F657&lt;&gt;"",1,0)+IF(H657&lt;&gt;"",1,0)+IF(J657&lt;&gt;"",1,0)+IF(L657&lt;&gt;"",1,0)</x:f>
        <x:v>1</x:v>
      </x:c>
      <x:c r="O657" s="14" t="str">
        <x:f>IF(E657="","MISSING MAIN",IF(N657=1,"MAIN ONLY","MULTI-PHOTO"))</x:f>
        <x:v>MAIN ONLY</x:v>
      </x:c>
      <x:c r="P657" s="14" t="str">
        <x:v>0749_</x:v>
      </x:c>
      <x:c r="Q657" s="14" t="str">
        <x:v>https://mb1advancedsolutions.github.io/mb1-catalog/index.html?design=0749</x:v>
      </x:c>
      <x:c r="R657" s="14" t="str"/>
    </x:row>
    <x:row r="658">
      <x:c r="A658" s="13" t="str">
        <x:v>MB1-0750</x:v>
      </x:c>
      <x:c r="B658" s="13" t="str">
        <x:v>MB1-0750</x:v>
      </x:c>
      <x:c r="C658" s="14" t="str">
        <x:v>Alphabet Snowman</x:v>
      </x:c>
      <x:c r="D658" s="14" t="str">
        <x:v>seasonal and holiday</x:v>
      </x:c>
      <x:c r="E658" s="14" t="str">
        <x:v>https://res.cloudinary.com/oxygre42/image/upload/f_auto,q_auto,c_pad,b_white,w_1200,h_1200/v1788350001/0750_Alphabet_Snowman.png</x:v>
      </x:c>
      <x:c r="F658" s="14" t="str"/>
      <x:c r="G658" s="14" t="str">
        <x:v>Lifestyle</x:v>
      </x:c>
      <x:c r="H658" s="14" t="str"/>
      <x:c r="I658" s="14" t="str">
        <x:v>Detail</x:v>
      </x:c>
      <x:c r="J658" s="14" t="str"/>
      <x:c r="K658" s="14" t="str">
        <x:v>Scale</x:v>
      </x:c>
      <x:c r="L658" s="14" t="str"/>
      <x:c r="M658" s="14" t="str">
        <x:v>Alternate</x:v>
      </x:c>
      <x:c r="N658" s="14" t="n">
        <x:f>IF(E658&lt;&gt;"",1,0)+IF(F658&lt;&gt;"",1,0)+IF(H658&lt;&gt;"",1,0)+IF(J658&lt;&gt;"",1,0)+IF(L658&lt;&gt;"",1,0)</x:f>
        <x:v>1</x:v>
      </x:c>
      <x:c r="O658" s="14" t="str">
        <x:f>IF(E658="","MISSING MAIN",IF(N658=1,"MAIN ONLY","MULTI-PHOTO"))</x:f>
        <x:v>MAIN ONLY</x:v>
      </x:c>
      <x:c r="P658" s="14" t="str">
        <x:v>0750_</x:v>
      </x:c>
      <x:c r="Q658" s="14" t="str">
        <x:v>https://mb1advancedsolutions.github.io/mb1-catalog/index.html?design=0750</x:v>
      </x:c>
      <x:c r="R658" s="14" t="str"/>
    </x:row>
    <x:row r="659">
      <x:c r="A659" s="13" t="str">
        <x:v>MB1-0751</x:v>
      </x:c>
      <x:c r="B659" s="13" t="str">
        <x:v>MB1-0751</x:v>
      </x:c>
      <x:c r="C659" s="14" t="str">
        <x:v>Alphabet split model 1</x:v>
      </x:c>
      <x:c r="D659" s="14" t="str">
        <x:v>family &amp; name</x:v>
      </x:c>
      <x:c r="E659" s="14" t="str">
        <x:v>https://res.cloudinary.com/oxygre42/image/upload/f_auto,q_auto,c_pad,b_white,w_1200,h_1200/v1788350003/0751_Alphabet_split_model_1.png</x:v>
      </x:c>
      <x:c r="F659" s="14" t="str"/>
      <x:c r="G659" s="14" t="str">
        <x:v>Lifestyle</x:v>
      </x:c>
      <x:c r="H659" s="14" t="str"/>
      <x:c r="I659" s="14" t="str">
        <x:v>Detail</x:v>
      </x:c>
      <x:c r="J659" s="14" t="str"/>
      <x:c r="K659" s="14" t="str">
        <x:v>Scale</x:v>
      </x:c>
      <x:c r="L659" s="14" t="str"/>
      <x:c r="M659" s="14" t="str">
        <x:v>Alternate</x:v>
      </x:c>
      <x:c r="N659" s="14" t="n">
        <x:f>IF(E659&lt;&gt;"",1,0)+IF(F659&lt;&gt;"",1,0)+IF(H659&lt;&gt;"",1,0)+IF(J659&lt;&gt;"",1,0)+IF(L659&lt;&gt;"",1,0)</x:f>
        <x:v>1</x:v>
      </x:c>
      <x:c r="O659" s="14" t="str">
        <x:f>IF(E659="","MISSING MAIN",IF(N659=1,"MAIN ONLY","MULTI-PHOTO"))</x:f>
        <x:v>MAIN ONLY</x:v>
      </x:c>
      <x:c r="P659" s="14" t="str">
        <x:v>0751_</x:v>
      </x:c>
      <x:c r="Q659" s="14" t="str">
        <x:v>https://mb1advancedsolutions.github.io/mb1-catalog/index.html?design=0751</x:v>
      </x:c>
      <x:c r="R659" s="14" t="str"/>
    </x:row>
    <x:row r="660">
      <x:c r="A660" s="13" t="str">
        <x:v>MB1-0752</x:v>
      </x:c>
      <x:c r="B660" s="13" t="str">
        <x:v>MB1-0752</x:v>
      </x:c>
      <x:c r="C660" s="14" t="str">
        <x:v>Alphabet split model 10</x:v>
      </x:c>
      <x:c r="D660" s="14" t="str">
        <x:v>family &amp; name</x:v>
      </x:c>
      <x:c r="E660" s="14" t="str">
        <x:v>https://res.cloudinary.com/oxygre42/image/upload/f_auto,q_auto,c_pad,b_white,w_1200,h_1200/v1788350005/0752_Alphabet_split_model_10.png</x:v>
      </x:c>
      <x:c r="F660" s="14" t="str"/>
      <x:c r="G660" s="14" t="str">
        <x:v>Lifestyle</x:v>
      </x:c>
      <x:c r="H660" s="14" t="str"/>
      <x:c r="I660" s="14" t="str">
        <x:v>Detail</x:v>
      </x:c>
      <x:c r="J660" s="14" t="str"/>
      <x:c r="K660" s="14" t="str">
        <x:v>Scale</x:v>
      </x:c>
      <x:c r="L660" s="14" t="str"/>
      <x:c r="M660" s="14" t="str">
        <x:v>Alternate</x:v>
      </x:c>
      <x:c r="N660" s="14" t="n">
        <x:f>IF(E660&lt;&gt;"",1,0)+IF(F660&lt;&gt;"",1,0)+IF(H660&lt;&gt;"",1,0)+IF(J660&lt;&gt;"",1,0)+IF(L660&lt;&gt;"",1,0)</x:f>
        <x:v>1</x:v>
      </x:c>
      <x:c r="O660" s="14" t="str">
        <x:f>IF(E660="","MISSING MAIN",IF(N660=1,"MAIN ONLY","MULTI-PHOTO"))</x:f>
        <x:v>MAIN ONLY</x:v>
      </x:c>
      <x:c r="P660" s="14" t="str">
        <x:v>0752_</x:v>
      </x:c>
      <x:c r="Q660" s="14" t="str">
        <x:v>https://mb1advancedsolutions.github.io/mb1-catalog/index.html?design=0752</x:v>
      </x:c>
      <x:c r="R660" s="14" t="str"/>
    </x:row>
    <x:row r="661">
      <x:c r="A661" s="13" t="str">
        <x:v>MB1-0753</x:v>
      </x:c>
      <x:c r="B661" s="13" t="str">
        <x:v>MB1-0753</x:v>
      </x:c>
      <x:c r="C661" s="14" t="str">
        <x:v>Alphabet split model 11</x:v>
      </x:c>
      <x:c r="D661" s="14" t="str">
        <x:v>family &amp; name</x:v>
      </x:c>
      <x:c r="E661" s="14" t="str">
        <x:v>https://res.cloudinary.com/oxygre42/image/upload/f_auto,q_auto,c_pad,b_white,w_1200,h_1200/v1788350007/0753_Alphabet_split_model_11.png</x:v>
      </x:c>
      <x:c r="F661" s="14" t="str"/>
      <x:c r="G661" s="14" t="str">
        <x:v>Lifestyle</x:v>
      </x:c>
      <x:c r="H661" s="14" t="str"/>
      <x:c r="I661" s="14" t="str">
        <x:v>Detail</x:v>
      </x:c>
      <x:c r="J661" s="14" t="str"/>
      <x:c r="K661" s="14" t="str">
        <x:v>Scale</x:v>
      </x:c>
      <x:c r="L661" s="14" t="str"/>
      <x:c r="M661" s="14" t="str">
        <x:v>Alternate</x:v>
      </x:c>
      <x:c r="N661" s="14" t="n">
        <x:f>IF(E661&lt;&gt;"",1,0)+IF(F661&lt;&gt;"",1,0)+IF(H661&lt;&gt;"",1,0)+IF(J661&lt;&gt;"",1,0)+IF(L661&lt;&gt;"",1,0)</x:f>
        <x:v>1</x:v>
      </x:c>
      <x:c r="O661" s="14" t="str">
        <x:f>IF(E661="","MISSING MAIN",IF(N661=1,"MAIN ONLY","MULTI-PHOTO"))</x:f>
        <x:v>MAIN ONLY</x:v>
      </x:c>
      <x:c r="P661" s="14" t="str">
        <x:v>0753_</x:v>
      </x:c>
      <x:c r="Q661" s="14" t="str">
        <x:v>https://mb1advancedsolutions.github.io/mb1-catalog/index.html?design=0753</x:v>
      </x:c>
      <x:c r="R661" s="14" t="str"/>
    </x:row>
    <x:row r="662">
      <x:c r="A662" s="13" t="str">
        <x:v>MB1-0754</x:v>
      </x:c>
      <x:c r="B662" s="13" t="str">
        <x:v>MB1-0754</x:v>
      </x:c>
      <x:c r="C662" s="14" t="str">
        <x:v>Alphabet split model 12</x:v>
      </x:c>
      <x:c r="D662" s="14" t="str">
        <x:v>family &amp; name</x:v>
      </x:c>
      <x:c r="E662" s="14" t="str">
        <x:v>https://res.cloudinary.com/oxygre42/image/upload/f_auto,q_auto,c_pad,b_white,w_1200,h_1200/v1788350009/0754_Alphabet_split_model_12.png</x:v>
      </x:c>
      <x:c r="F662" s="14" t="str"/>
      <x:c r="G662" s="14" t="str">
        <x:v>Lifestyle</x:v>
      </x:c>
      <x:c r="H662" s="14" t="str"/>
      <x:c r="I662" s="14" t="str">
        <x:v>Detail</x:v>
      </x:c>
      <x:c r="J662" s="14" t="str"/>
      <x:c r="K662" s="14" t="str">
        <x:v>Scale</x:v>
      </x:c>
      <x:c r="L662" s="14" t="str"/>
      <x:c r="M662" s="14" t="str">
        <x:v>Alternate</x:v>
      </x:c>
      <x:c r="N662" s="14" t="n">
        <x:f>IF(E662&lt;&gt;"",1,0)+IF(F662&lt;&gt;"",1,0)+IF(H662&lt;&gt;"",1,0)+IF(J662&lt;&gt;"",1,0)+IF(L662&lt;&gt;"",1,0)</x:f>
        <x:v>1</x:v>
      </x:c>
      <x:c r="O662" s="14" t="str">
        <x:f>IF(E662="","MISSING MAIN",IF(N662=1,"MAIN ONLY","MULTI-PHOTO"))</x:f>
        <x:v>MAIN ONLY</x:v>
      </x:c>
      <x:c r="P662" s="14" t="str">
        <x:v>0754_</x:v>
      </x:c>
      <x:c r="Q662" s="14" t="str">
        <x:v>https://mb1advancedsolutions.github.io/mb1-catalog/index.html?design=0754</x:v>
      </x:c>
      <x:c r="R662" s="14" t="str"/>
    </x:row>
    <x:row r="663">
      <x:c r="A663" s="13" t="str">
        <x:v>MB1-0755</x:v>
      </x:c>
      <x:c r="B663" s="13" t="str">
        <x:v>MB1-0755</x:v>
      </x:c>
      <x:c r="C663" s="14" t="str">
        <x:v>Alphabet split model 13</x:v>
      </x:c>
      <x:c r="D663" s="14" t="str">
        <x:v>family &amp; name</x:v>
      </x:c>
      <x:c r="E663" s="14" t="str">
        <x:v>https://res.cloudinary.com/oxygre42/image/upload/f_auto,q_auto,c_pad,b_white,w_1200,h_1200/v1788350011/0755_Alphabet_split_model_13.png</x:v>
      </x:c>
      <x:c r="F663" s="14" t="str"/>
      <x:c r="G663" s="14" t="str">
        <x:v>Lifestyle</x:v>
      </x:c>
      <x:c r="H663" s="14" t="str"/>
      <x:c r="I663" s="14" t="str">
        <x:v>Detail</x:v>
      </x:c>
      <x:c r="J663" s="14" t="str"/>
      <x:c r="K663" s="14" t="str">
        <x:v>Scale</x:v>
      </x:c>
      <x:c r="L663" s="14" t="str"/>
      <x:c r="M663" s="14" t="str">
        <x:v>Alternate</x:v>
      </x:c>
      <x:c r="N663" s="14" t="n">
        <x:f>IF(E663&lt;&gt;"",1,0)+IF(F663&lt;&gt;"",1,0)+IF(H663&lt;&gt;"",1,0)+IF(J663&lt;&gt;"",1,0)+IF(L663&lt;&gt;"",1,0)</x:f>
        <x:v>1</x:v>
      </x:c>
      <x:c r="O663" s="14" t="str">
        <x:f>IF(E663="","MISSING MAIN",IF(N663=1,"MAIN ONLY","MULTI-PHOTO"))</x:f>
        <x:v>MAIN ONLY</x:v>
      </x:c>
      <x:c r="P663" s="14" t="str">
        <x:v>0755_</x:v>
      </x:c>
      <x:c r="Q663" s="14" t="str">
        <x:v>https://mb1advancedsolutions.github.io/mb1-catalog/index.html?design=0755</x:v>
      </x:c>
      <x:c r="R663" s="14" t="str"/>
    </x:row>
    <x:row r="664">
      <x:c r="A664" s="13" t="str">
        <x:v>MB1-0756</x:v>
      </x:c>
      <x:c r="B664" s="13" t="str">
        <x:v>MB1-0756</x:v>
      </x:c>
      <x:c r="C664" s="14" t="str">
        <x:v>Alphabet split model 14</x:v>
      </x:c>
      <x:c r="D664" s="14" t="str">
        <x:v>family &amp; name</x:v>
      </x:c>
      <x:c r="E664" s="14" t="str">
        <x:v>https://res.cloudinary.com/oxygre42/image/upload/f_auto,q_auto,c_pad,b_white,w_1200,h_1200/v1788350013/0756_Alphabet_split_model_14.png</x:v>
      </x:c>
      <x:c r="F664" s="14" t="str"/>
      <x:c r="G664" s="14" t="str">
        <x:v>Lifestyle</x:v>
      </x:c>
      <x:c r="H664" s="14" t="str"/>
      <x:c r="I664" s="14" t="str">
        <x:v>Detail</x:v>
      </x:c>
      <x:c r="J664" s="14" t="str"/>
      <x:c r="K664" s="14" t="str">
        <x:v>Scale</x:v>
      </x:c>
      <x:c r="L664" s="14" t="str"/>
      <x:c r="M664" s="14" t="str">
        <x:v>Alternate</x:v>
      </x:c>
      <x:c r="N664" s="14" t="n">
        <x:f>IF(E664&lt;&gt;"",1,0)+IF(F664&lt;&gt;"",1,0)+IF(H664&lt;&gt;"",1,0)+IF(J664&lt;&gt;"",1,0)+IF(L664&lt;&gt;"",1,0)</x:f>
        <x:v>1</x:v>
      </x:c>
      <x:c r="O664" s="14" t="str">
        <x:f>IF(E664="","MISSING MAIN",IF(N664=1,"MAIN ONLY","MULTI-PHOTO"))</x:f>
        <x:v>MAIN ONLY</x:v>
      </x:c>
      <x:c r="P664" s="14" t="str">
        <x:v>0756_</x:v>
      </x:c>
      <x:c r="Q664" s="14" t="str">
        <x:v>https://mb1advancedsolutions.github.io/mb1-catalog/index.html?design=0756</x:v>
      </x:c>
      <x:c r="R664" s="14" t="str"/>
    </x:row>
    <x:row r="665">
      <x:c r="A665" s="13" t="str">
        <x:v>MB1-0757</x:v>
      </x:c>
      <x:c r="B665" s="13" t="str">
        <x:v>MB1-0757</x:v>
      </x:c>
      <x:c r="C665" s="14" t="str">
        <x:v>Alphabet Split Model 15</x:v>
      </x:c>
      <x:c r="D665" s="14" t="str">
        <x:v>family &amp; name</x:v>
      </x:c>
      <x:c r="E665" s="14" t="str">
        <x:v>https://res.cloudinary.com/oxygre42/image/upload/f_auto,q_auto,c_pad,b_white,w_1200,h_1200/v1788350014/0757_Alphabet_Split_Model_15.png</x:v>
      </x:c>
      <x:c r="F665" s="14" t="str"/>
      <x:c r="G665" s="14" t="str">
        <x:v>Lifestyle</x:v>
      </x:c>
      <x:c r="H665" s="14" t="str"/>
      <x:c r="I665" s="14" t="str">
        <x:v>Detail</x:v>
      </x:c>
      <x:c r="J665" s="14" t="str"/>
      <x:c r="K665" s="14" t="str">
        <x:v>Scale</x:v>
      </x:c>
      <x:c r="L665" s="14" t="str"/>
      <x:c r="M665" s="14" t="str">
        <x:v>Alternate</x:v>
      </x:c>
      <x:c r="N665" s="14" t="n">
        <x:f>IF(E665&lt;&gt;"",1,0)+IF(F665&lt;&gt;"",1,0)+IF(H665&lt;&gt;"",1,0)+IF(J665&lt;&gt;"",1,0)+IF(L665&lt;&gt;"",1,0)</x:f>
        <x:v>1</x:v>
      </x:c>
      <x:c r="O665" s="14" t="str">
        <x:f>IF(E665="","MISSING MAIN",IF(N665=1,"MAIN ONLY","MULTI-PHOTO"))</x:f>
        <x:v>MAIN ONLY</x:v>
      </x:c>
      <x:c r="P665" s="14" t="str">
        <x:v>0757_</x:v>
      </x:c>
      <x:c r="Q665" s="14" t="str">
        <x:v>https://mb1advancedsolutions.github.io/mb1-catalog/index.html?design=0757</x:v>
      </x:c>
      <x:c r="R665" s="14" t="str"/>
    </x:row>
    <x:row r="666">
      <x:c r="A666" s="13" t="str">
        <x:v>MB1-0758</x:v>
      </x:c>
      <x:c r="B666" s="13" t="str">
        <x:v>MB1-0758</x:v>
      </x:c>
      <x:c r="C666" s="14" t="str">
        <x:v>Alphabet Split Model 16</x:v>
      </x:c>
      <x:c r="D666" s="14" t="str">
        <x:v>family &amp; name</x:v>
      </x:c>
      <x:c r="E666" s="14" t="str">
        <x:v>https://res.cloudinary.com/oxygre42/image/upload/f_auto,q_auto,c_pad,b_white,w_1200,h_1200/v1788350016/0758_Alphabet_Split_Model_16.png</x:v>
      </x:c>
      <x:c r="F666" s="14" t="str"/>
      <x:c r="G666" s="14" t="str">
        <x:v>Lifestyle</x:v>
      </x:c>
      <x:c r="H666" s="14" t="str"/>
      <x:c r="I666" s="14" t="str">
        <x:v>Detail</x:v>
      </x:c>
      <x:c r="J666" s="14" t="str"/>
      <x:c r="K666" s="14" t="str">
        <x:v>Scale</x:v>
      </x:c>
      <x:c r="L666" s="14" t="str"/>
      <x:c r="M666" s="14" t="str">
        <x:v>Alternate</x:v>
      </x:c>
      <x:c r="N666" s="14" t="n">
        <x:f>IF(E666&lt;&gt;"",1,0)+IF(F666&lt;&gt;"",1,0)+IF(H666&lt;&gt;"",1,0)+IF(J666&lt;&gt;"",1,0)+IF(L666&lt;&gt;"",1,0)</x:f>
        <x:v>1</x:v>
      </x:c>
      <x:c r="O666" s="14" t="str">
        <x:f>IF(E666="","MISSING MAIN",IF(N666=1,"MAIN ONLY","MULTI-PHOTO"))</x:f>
        <x:v>MAIN ONLY</x:v>
      </x:c>
      <x:c r="P666" s="14" t="str">
        <x:v>0758_</x:v>
      </x:c>
      <x:c r="Q666" s="14" t="str">
        <x:v>https://mb1advancedsolutions.github.io/mb1-catalog/index.html?design=0758</x:v>
      </x:c>
      <x:c r="R666" s="14" t="str"/>
    </x:row>
    <x:row r="667">
      <x:c r="A667" s="13" t="str">
        <x:v>MB1-0759</x:v>
      </x:c>
      <x:c r="B667" s="13" t="str">
        <x:v>MB1-0759</x:v>
      </x:c>
      <x:c r="C667" s="14" t="str">
        <x:v>Alphabet Split Model 17</x:v>
      </x:c>
      <x:c r="D667" s="14" t="str">
        <x:v>family &amp; name</x:v>
      </x:c>
      <x:c r="E667" s="14" t="str">
        <x:v>https://res.cloudinary.com/oxygre42/image/upload/f_auto,q_auto,c_pad,b_white,w_1200,h_1200/v1788350018/0759_Alphabet_Split_Model_17.png</x:v>
      </x:c>
      <x:c r="F667" s="14" t="str"/>
      <x:c r="G667" s="14" t="str">
        <x:v>Lifestyle</x:v>
      </x:c>
      <x:c r="H667" s="14" t="str"/>
      <x:c r="I667" s="14" t="str">
        <x:v>Detail</x:v>
      </x:c>
      <x:c r="J667" s="14" t="str"/>
      <x:c r="K667" s="14" t="str">
        <x:v>Scale</x:v>
      </x:c>
      <x:c r="L667" s="14" t="str"/>
      <x:c r="M667" s="14" t="str">
        <x:v>Alternate</x:v>
      </x:c>
      <x:c r="N667" s="14" t="n">
        <x:f>IF(E667&lt;&gt;"",1,0)+IF(F667&lt;&gt;"",1,0)+IF(H667&lt;&gt;"",1,0)+IF(J667&lt;&gt;"",1,0)+IF(L667&lt;&gt;"",1,0)</x:f>
        <x:v>1</x:v>
      </x:c>
      <x:c r="O667" s="14" t="str">
        <x:f>IF(E667="","MISSING MAIN",IF(N667=1,"MAIN ONLY","MULTI-PHOTO"))</x:f>
        <x:v>MAIN ONLY</x:v>
      </x:c>
      <x:c r="P667" s="14" t="str">
        <x:v>0759_</x:v>
      </x:c>
      <x:c r="Q667" s="14" t="str">
        <x:v>https://mb1advancedsolutions.github.io/mb1-catalog/index.html?design=0759</x:v>
      </x:c>
      <x:c r="R667" s="14" t="str"/>
    </x:row>
    <x:row r="668">
      <x:c r="A668" s="13" t="str">
        <x:v>MB1-0760</x:v>
      </x:c>
      <x:c r="B668" s="13" t="str">
        <x:v>MB1-0760</x:v>
      </x:c>
      <x:c r="C668" s="14" t="str">
        <x:v>Alphabet Split Model 19</x:v>
      </x:c>
      <x:c r="D668" s="14" t="str">
        <x:v>family &amp; name</x:v>
      </x:c>
      <x:c r="E668" s="14" t="str">
        <x:v>https://res.cloudinary.com/oxygre42/image/upload/f_auto,q_auto,c_pad,b_white,w_1200,h_1200/v1788350020/0760_Alphabet_Split_Model_19.png</x:v>
      </x:c>
      <x:c r="F668" s="14" t="str"/>
      <x:c r="G668" s="14" t="str">
        <x:v>Lifestyle</x:v>
      </x:c>
      <x:c r="H668" s="14" t="str"/>
      <x:c r="I668" s="14" t="str">
        <x:v>Detail</x:v>
      </x:c>
      <x:c r="J668" s="14" t="str"/>
      <x:c r="K668" s="14" t="str">
        <x:v>Scale</x:v>
      </x:c>
      <x:c r="L668" s="14" t="str"/>
      <x:c r="M668" s="14" t="str">
        <x:v>Alternate</x:v>
      </x:c>
      <x:c r="N668" s="14" t="n">
        <x:f>IF(E668&lt;&gt;"",1,0)+IF(F668&lt;&gt;"",1,0)+IF(H668&lt;&gt;"",1,0)+IF(J668&lt;&gt;"",1,0)+IF(L668&lt;&gt;"",1,0)</x:f>
        <x:v>1</x:v>
      </x:c>
      <x:c r="O668" s="14" t="str">
        <x:f>IF(E668="","MISSING MAIN",IF(N668=1,"MAIN ONLY","MULTI-PHOTO"))</x:f>
        <x:v>MAIN ONLY</x:v>
      </x:c>
      <x:c r="P668" s="14" t="str">
        <x:v>0760_</x:v>
      </x:c>
      <x:c r="Q668" s="14" t="str">
        <x:v>https://mb1advancedsolutions.github.io/mb1-catalog/index.html?design=0760</x:v>
      </x:c>
      <x:c r="R668" s="14" t="str"/>
    </x:row>
    <x:row r="669">
      <x:c r="A669" s="13" t="str">
        <x:v>MB1-0761</x:v>
      </x:c>
      <x:c r="B669" s="13" t="str">
        <x:v>MB1-0761</x:v>
      </x:c>
      <x:c r="C669" s="14" t="str">
        <x:v>Alphabet split model 2</x:v>
      </x:c>
      <x:c r="D669" s="14" t="str">
        <x:v>family &amp; name</x:v>
      </x:c>
      <x:c r="E669" s="14" t="str">
        <x:v>https://res.cloudinary.com/oxygre42/image/upload/f_auto,q_auto,c_pad,b_white,w_1200,h_1200/v1788350022/0761_Alphabet_split_model_2.png</x:v>
      </x:c>
      <x:c r="F669" s="14" t="str"/>
      <x:c r="G669" s="14" t="str">
        <x:v>Lifestyle</x:v>
      </x:c>
      <x:c r="H669" s="14" t="str"/>
      <x:c r="I669" s="14" t="str">
        <x:v>Detail</x:v>
      </x:c>
      <x:c r="J669" s="14" t="str"/>
      <x:c r="K669" s="14" t="str">
        <x:v>Scale</x:v>
      </x:c>
      <x:c r="L669" s="14" t="str"/>
      <x:c r="M669" s="14" t="str">
        <x:v>Alternate</x:v>
      </x:c>
      <x:c r="N669" s="14" t="n">
        <x:f>IF(E669&lt;&gt;"",1,0)+IF(F669&lt;&gt;"",1,0)+IF(H669&lt;&gt;"",1,0)+IF(J669&lt;&gt;"",1,0)+IF(L669&lt;&gt;"",1,0)</x:f>
        <x:v>1</x:v>
      </x:c>
      <x:c r="O669" s="14" t="str">
        <x:f>IF(E669="","MISSING MAIN",IF(N669=1,"MAIN ONLY","MULTI-PHOTO"))</x:f>
        <x:v>MAIN ONLY</x:v>
      </x:c>
      <x:c r="P669" s="14" t="str">
        <x:v>0761_</x:v>
      </x:c>
      <x:c r="Q669" s="14" t="str">
        <x:v>https://mb1advancedsolutions.github.io/mb1-catalog/index.html?design=0761</x:v>
      </x:c>
      <x:c r="R669" s="14" t="str"/>
    </x:row>
    <x:row r="670">
      <x:c r="A670" s="13" t="str">
        <x:v>MB1-0762</x:v>
      </x:c>
      <x:c r="B670" s="13" t="str">
        <x:v>MB1-0762</x:v>
      </x:c>
      <x:c r="C670" s="14" t="str">
        <x:v>Alphabet split model 3</x:v>
      </x:c>
      <x:c r="D670" s="14" t="str">
        <x:v>family &amp; name</x:v>
      </x:c>
      <x:c r="E670" s="14" t="str">
        <x:v>https://res.cloudinary.com/oxygre42/image/upload/f_auto,q_auto,c_pad,b_white,w_1200,h_1200/v1788350024/0762_Alphabet_split_model_3.png</x:v>
      </x:c>
      <x:c r="F670" s="14" t="str"/>
      <x:c r="G670" s="14" t="str">
        <x:v>Lifestyle</x:v>
      </x:c>
      <x:c r="H670" s="14" t="str"/>
      <x:c r="I670" s="14" t="str">
        <x:v>Detail</x:v>
      </x:c>
      <x:c r="J670" s="14" t="str"/>
      <x:c r="K670" s="14" t="str">
        <x:v>Scale</x:v>
      </x:c>
      <x:c r="L670" s="14" t="str"/>
      <x:c r="M670" s="14" t="str">
        <x:v>Alternate</x:v>
      </x:c>
      <x:c r="N670" s="14" t="n">
        <x:f>IF(E670&lt;&gt;"",1,0)+IF(F670&lt;&gt;"",1,0)+IF(H670&lt;&gt;"",1,0)+IF(J670&lt;&gt;"",1,0)+IF(L670&lt;&gt;"",1,0)</x:f>
        <x:v>1</x:v>
      </x:c>
      <x:c r="O670" s="14" t="str">
        <x:f>IF(E670="","MISSING MAIN",IF(N670=1,"MAIN ONLY","MULTI-PHOTO"))</x:f>
        <x:v>MAIN ONLY</x:v>
      </x:c>
      <x:c r="P670" s="14" t="str">
        <x:v>0762_</x:v>
      </x:c>
      <x:c r="Q670" s="14" t="str">
        <x:v>https://mb1advancedsolutions.github.io/mb1-catalog/index.html?design=0762</x:v>
      </x:c>
      <x:c r="R670" s="14" t="str"/>
    </x:row>
    <x:row r="671">
      <x:c r="A671" s="13" t="str">
        <x:v>MB1-0763</x:v>
      </x:c>
      <x:c r="B671" s="13" t="str">
        <x:v>MB1-0763</x:v>
      </x:c>
      <x:c r="C671" s="14" t="str">
        <x:v>Alphabet split model 4</x:v>
      </x:c>
      <x:c r="D671" s="14" t="str">
        <x:v>family &amp; name</x:v>
      </x:c>
      <x:c r="E671" s="14" t="str">
        <x:v>https://res.cloudinary.com/oxygre42/image/upload/f_auto,q_auto,c_pad,b_white,w_1200,h_1200/v1788350026/0763_Alphabet_split_model_4.png</x:v>
      </x:c>
      <x:c r="F671" s="14" t="str"/>
      <x:c r="G671" s="14" t="str">
        <x:v>Lifestyle</x:v>
      </x:c>
      <x:c r="H671" s="14" t="str"/>
      <x:c r="I671" s="14" t="str">
        <x:v>Detail</x:v>
      </x:c>
      <x:c r="J671" s="14" t="str"/>
      <x:c r="K671" s="14" t="str">
        <x:v>Scale</x:v>
      </x:c>
      <x:c r="L671" s="14" t="str"/>
      <x:c r="M671" s="14" t="str">
        <x:v>Alternate</x:v>
      </x:c>
      <x:c r="N671" s="14" t="n">
        <x:f>IF(E671&lt;&gt;"",1,0)+IF(F671&lt;&gt;"",1,0)+IF(H671&lt;&gt;"",1,0)+IF(J671&lt;&gt;"",1,0)+IF(L671&lt;&gt;"",1,0)</x:f>
        <x:v>1</x:v>
      </x:c>
      <x:c r="O671" s="14" t="str">
        <x:f>IF(E671="","MISSING MAIN",IF(N671=1,"MAIN ONLY","MULTI-PHOTO"))</x:f>
        <x:v>MAIN ONLY</x:v>
      </x:c>
      <x:c r="P671" s="14" t="str">
        <x:v>0763_</x:v>
      </x:c>
      <x:c r="Q671" s="14" t="str">
        <x:v>https://mb1advancedsolutions.github.io/mb1-catalog/index.html?design=0763</x:v>
      </x:c>
      <x:c r="R671" s="14" t="str"/>
    </x:row>
    <x:row r="672">
      <x:c r="A672" s="13" t="str">
        <x:v>MB1-0764</x:v>
      </x:c>
      <x:c r="B672" s="13" t="str">
        <x:v>MB1-0764</x:v>
      </x:c>
      <x:c r="C672" s="14" t="str">
        <x:v>Alphabet split model 5</x:v>
      </x:c>
      <x:c r="D672" s="14" t="str">
        <x:v>family &amp; name</x:v>
      </x:c>
      <x:c r="E672" s="14" t="str">
        <x:v>https://res.cloudinary.com/oxygre42/image/upload/f_auto,q_auto,c_pad,b_white,w_1200,h_1200/v1788350028/0764_Alphabet_split_model_5.png</x:v>
      </x:c>
      <x:c r="F672" s="14" t="str"/>
      <x:c r="G672" s="14" t="str">
        <x:v>Lifestyle</x:v>
      </x:c>
      <x:c r="H672" s="14" t="str"/>
      <x:c r="I672" s="14" t="str">
        <x:v>Detail</x:v>
      </x:c>
      <x:c r="J672" s="14" t="str"/>
      <x:c r="K672" s="14" t="str">
        <x:v>Scale</x:v>
      </x:c>
      <x:c r="L672" s="14" t="str"/>
      <x:c r="M672" s="14" t="str">
        <x:v>Alternate</x:v>
      </x:c>
      <x:c r="N672" s="14" t="n">
        <x:f>IF(E672&lt;&gt;"",1,0)+IF(F672&lt;&gt;"",1,0)+IF(H672&lt;&gt;"",1,0)+IF(J672&lt;&gt;"",1,0)+IF(L672&lt;&gt;"",1,0)</x:f>
        <x:v>1</x:v>
      </x:c>
      <x:c r="O672" s="14" t="str">
        <x:f>IF(E672="","MISSING MAIN",IF(N672=1,"MAIN ONLY","MULTI-PHOTO"))</x:f>
        <x:v>MAIN ONLY</x:v>
      </x:c>
      <x:c r="P672" s="14" t="str">
        <x:v>0764_</x:v>
      </x:c>
      <x:c r="Q672" s="14" t="str">
        <x:v>https://mb1advancedsolutions.github.io/mb1-catalog/index.html?design=0764</x:v>
      </x:c>
      <x:c r="R672" s="14" t="str"/>
    </x:row>
    <x:row r="673">
      <x:c r="A673" s="13" t="str">
        <x:v>MB1-0765</x:v>
      </x:c>
      <x:c r="B673" s="13" t="str">
        <x:v>MB1-0765</x:v>
      </x:c>
      <x:c r="C673" s="14" t="str">
        <x:v>Alphabet split model 6</x:v>
      </x:c>
      <x:c r="D673" s="14" t="str">
        <x:v>family &amp; name</x:v>
      </x:c>
      <x:c r="E673" s="14" t="str">
        <x:v>https://res.cloudinary.com/oxygre42/image/upload/f_auto,q_auto,c_pad,b_white,w_1200,h_1200/v1788350030/0765_Alphabet_split_model_6.png</x:v>
      </x:c>
      <x:c r="F673" s="14" t="str"/>
      <x:c r="G673" s="14" t="str">
        <x:v>Lifestyle</x:v>
      </x:c>
      <x:c r="H673" s="14" t="str"/>
      <x:c r="I673" s="14" t="str">
        <x:v>Detail</x:v>
      </x:c>
      <x:c r="J673" s="14" t="str"/>
      <x:c r="K673" s="14" t="str">
        <x:v>Scale</x:v>
      </x:c>
      <x:c r="L673" s="14" t="str"/>
      <x:c r="M673" s="14" t="str">
        <x:v>Alternate</x:v>
      </x:c>
      <x:c r="N673" s="14" t="n">
        <x:f>IF(E673&lt;&gt;"",1,0)+IF(F673&lt;&gt;"",1,0)+IF(H673&lt;&gt;"",1,0)+IF(J673&lt;&gt;"",1,0)+IF(L673&lt;&gt;"",1,0)</x:f>
        <x:v>1</x:v>
      </x:c>
      <x:c r="O673" s="14" t="str">
        <x:f>IF(E673="","MISSING MAIN",IF(N673=1,"MAIN ONLY","MULTI-PHOTO"))</x:f>
        <x:v>MAIN ONLY</x:v>
      </x:c>
      <x:c r="P673" s="14" t="str">
        <x:v>0765_</x:v>
      </x:c>
      <x:c r="Q673" s="14" t="str">
        <x:v>https://mb1advancedsolutions.github.io/mb1-catalog/index.html?design=0765</x:v>
      </x:c>
      <x:c r="R673" s="14" t="str"/>
    </x:row>
    <x:row r="674">
      <x:c r="A674" s="13" t="str">
        <x:v>MB1-0766</x:v>
      </x:c>
      <x:c r="B674" s="13" t="str">
        <x:v>MB1-0766</x:v>
      </x:c>
      <x:c r="C674" s="14" t="str">
        <x:v>Alphabet split model 7</x:v>
      </x:c>
      <x:c r="D674" s="14" t="str">
        <x:v>family &amp; name</x:v>
      </x:c>
      <x:c r="E674" s="14" t="str">
        <x:v>https://res.cloudinary.com/oxygre42/image/upload/f_auto,q_auto,c_pad,b_white,w_1200,h_1200/v1788350031/0766_Alphabet_split_model_7.png</x:v>
      </x:c>
      <x:c r="F674" s="14" t="str"/>
      <x:c r="G674" s="14" t="str">
        <x:v>Lifestyle</x:v>
      </x:c>
      <x:c r="H674" s="14" t="str"/>
      <x:c r="I674" s="14" t="str">
        <x:v>Detail</x:v>
      </x:c>
      <x:c r="J674" s="14" t="str"/>
      <x:c r="K674" s="14" t="str">
        <x:v>Scale</x:v>
      </x:c>
      <x:c r="L674" s="14" t="str"/>
      <x:c r="M674" s="14" t="str">
        <x:v>Alternate</x:v>
      </x:c>
      <x:c r="N674" s="14" t="n">
        <x:f>IF(E674&lt;&gt;"",1,0)+IF(F674&lt;&gt;"",1,0)+IF(H674&lt;&gt;"",1,0)+IF(J674&lt;&gt;"",1,0)+IF(L674&lt;&gt;"",1,0)</x:f>
        <x:v>1</x:v>
      </x:c>
      <x:c r="O674" s="14" t="str">
        <x:f>IF(E674="","MISSING MAIN",IF(N674=1,"MAIN ONLY","MULTI-PHOTO"))</x:f>
        <x:v>MAIN ONLY</x:v>
      </x:c>
      <x:c r="P674" s="14" t="str">
        <x:v>0766_</x:v>
      </x:c>
      <x:c r="Q674" s="14" t="str">
        <x:v>https://mb1advancedsolutions.github.io/mb1-catalog/index.html?design=0766</x:v>
      </x:c>
      <x:c r="R674" s="14" t="str"/>
    </x:row>
    <x:row r="675">
      <x:c r="A675" s="13" t="str">
        <x:v>MB1-0767</x:v>
      </x:c>
      <x:c r="B675" s="13" t="str">
        <x:v>MB1-0767</x:v>
      </x:c>
      <x:c r="C675" s="14" t="str">
        <x:v>Alphabet split model 8</x:v>
      </x:c>
      <x:c r="D675" s="14" t="str">
        <x:v>family &amp; name</x:v>
      </x:c>
      <x:c r="E675" s="14" t="str">
        <x:v>https://res.cloudinary.com/oxygre42/image/upload/f_auto,q_auto,c_pad,b_white,w_1200,h_1200/v1788350033/0767_Alphabet_split_model_8.png</x:v>
      </x:c>
      <x:c r="F675" s="14" t="str"/>
      <x:c r="G675" s="14" t="str">
        <x:v>Lifestyle</x:v>
      </x:c>
      <x:c r="H675" s="14" t="str"/>
      <x:c r="I675" s="14" t="str">
        <x:v>Detail</x:v>
      </x:c>
      <x:c r="J675" s="14" t="str"/>
      <x:c r="K675" s="14" t="str">
        <x:v>Scale</x:v>
      </x:c>
      <x:c r="L675" s="14" t="str"/>
      <x:c r="M675" s="14" t="str">
        <x:v>Alternate</x:v>
      </x:c>
      <x:c r="N675" s="14" t="n">
        <x:f>IF(E675&lt;&gt;"",1,0)+IF(F675&lt;&gt;"",1,0)+IF(H675&lt;&gt;"",1,0)+IF(J675&lt;&gt;"",1,0)+IF(L675&lt;&gt;"",1,0)</x:f>
        <x:v>1</x:v>
      </x:c>
      <x:c r="O675" s="14" t="str">
        <x:f>IF(E675="","MISSING MAIN",IF(N675=1,"MAIN ONLY","MULTI-PHOTO"))</x:f>
        <x:v>MAIN ONLY</x:v>
      </x:c>
      <x:c r="P675" s="14" t="str">
        <x:v>0767_</x:v>
      </x:c>
      <x:c r="Q675" s="14" t="str">
        <x:v>https://mb1advancedsolutions.github.io/mb1-catalog/index.html?design=0767</x:v>
      </x:c>
      <x:c r="R675" s="14" t="str"/>
    </x:row>
    <x:row r="676">
      <x:c r="A676" s="13" t="str">
        <x:v>MB1-0768</x:v>
      </x:c>
      <x:c r="B676" s="13" t="str">
        <x:v>MB1-0768</x:v>
      </x:c>
      <x:c r="C676" s="14" t="str">
        <x:v>Alphabet split model 9</x:v>
      </x:c>
      <x:c r="D676" s="14" t="str">
        <x:v>family &amp; name</x:v>
      </x:c>
      <x:c r="E676" s="14" t="str">
        <x:v>https://res.cloudinary.com/oxygre42/image/upload/f_auto,q_auto,c_pad,b_white,w_1200,h_1200/v1788350035/0768_Alphabet_split_model_9.png</x:v>
      </x:c>
      <x:c r="F676" s="14" t="str"/>
      <x:c r="G676" s="14" t="str">
        <x:v>Lifestyle</x:v>
      </x:c>
      <x:c r="H676" s="14" t="str"/>
      <x:c r="I676" s="14" t="str">
        <x:v>Detail</x:v>
      </x:c>
      <x:c r="J676" s="14" t="str"/>
      <x:c r="K676" s="14" t="str">
        <x:v>Scale</x:v>
      </x:c>
      <x:c r="L676" s="14" t="str"/>
      <x:c r="M676" s="14" t="str">
        <x:v>Alternate</x:v>
      </x:c>
      <x:c r="N676" s="14" t="n">
        <x:f>IF(E676&lt;&gt;"",1,0)+IF(F676&lt;&gt;"",1,0)+IF(H676&lt;&gt;"",1,0)+IF(J676&lt;&gt;"",1,0)+IF(L676&lt;&gt;"",1,0)</x:f>
        <x:v>1</x:v>
      </x:c>
      <x:c r="O676" s="14" t="str">
        <x:f>IF(E676="","MISSING MAIN",IF(N676=1,"MAIN ONLY","MULTI-PHOTO"))</x:f>
        <x:v>MAIN ONLY</x:v>
      </x:c>
      <x:c r="P676" s="14" t="str">
        <x:v>0768_</x:v>
      </x:c>
      <x:c r="Q676" s="14" t="str">
        <x:v>https://mb1advancedsolutions.github.io/mb1-catalog/index.html?design=0768</x:v>
      </x:c>
      <x:c r="R676" s="14" t="str"/>
    </x:row>
    <x:row r="677">
      <x:c r="A677" s="13" t="str">
        <x:v>MB1-0769</x:v>
      </x:c>
      <x:c r="B677" s="13" t="str">
        <x:v>MB1-0769</x:v>
      </x:c>
      <x:c r="C677" s="14" t="str">
        <x:v>Alphabet Turquey</x:v>
      </x:c>
      <x:c r="D677" s="14" t="str">
        <x:v>family &amp; name</x:v>
      </x:c>
      <x:c r="E677" s="14" t="str">
        <x:v>https://res.cloudinary.com/oxygre42/image/upload/f_auto,q_auto,c_pad,b_white,w_1200,h_1200/v1788350037/0769_Alphabet_Turquey.png</x:v>
      </x:c>
      <x:c r="F677" s="14" t="str"/>
      <x:c r="G677" s="14" t="str">
        <x:v>Lifestyle</x:v>
      </x:c>
      <x:c r="H677" s="14" t="str"/>
      <x:c r="I677" s="14" t="str">
        <x:v>Detail</x:v>
      </x:c>
      <x:c r="J677" s="14" t="str"/>
      <x:c r="K677" s="14" t="str">
        <x:v>Scale</x:v>
      </x:c>
      <x:c r="L677" s="14" t="str"/>
      <x:c r="M677" s="14" t="str">
        <x:v>Alternate</x:v>
      </x:c>
      <x:c r="N677" s="14" t="n">
        <x:f>IF(E677&lt;&gt;"",1,0)+IF(F677&lt;&gt;"",1,0)+IF(H677&lt;&gt;"",1,0)+IF(J677&lt;&gt;"",1,0)+IF(L677&lt;&gt;"",1,0)</x:f>
        <x:v>1</x:v>
      </x:c>
      <x:c r="O677" s="14" t="str">
        <x:f>IF(E677="","MISSING MAIN",IF(N677=1,"MAIN ONLY","MULTI-PHOTO"))</x:f>
        <x:v>MAIN ONLY</x:v>
      </x:c>
      <x:c r="P677" s="14" t="str">
        <x:v>0769_</x:v>
      </x:c>
      <x:c r="Q677" s="14" t="str">
        <x:v>https://mb1advancedsolutions.github.io/mb1-catalog/index.html?design=0769</x:v>
      </x:c>
      <x:c r="R677" s="14" t="str"/>
    </x:row>
    <x:row r="678">
      <x:c r="A678" s="13" t="str">
        <x:v>MB1-0770</x:v>
      </x:c>
      <x:c r="B678" s="13" t="str">
        <x:v>MB1-0770</x:v>
      </x:c>
      <x:c r="C678" s="14" t="str">
        <x:v>Snow Monogram Letter 1</x:v>
      </x:c>
      <x:c r="D678" s="14" t="str">
        <x:v>family &amp; name</x:v>
      </x:c>
      <x:c r="E678" s="14" t="str">
        <x:v>https://res.cloudinary.com/oxygre42/image/upload/f_auto,q_auto,c_pad,b_white,w_1200,h_1200/v1788350039/0770_Snow_Monogram_Letter_1.png</x:v>
      </x:c>
      <x:c r="F678" s="14" t="str"/>
      <x:c r="G678" s="14" t="str">
        <x:v>Lifestyle</x:v>
      </x:c>
      <x:c r="H678" s="14" t="str"/>
      <x:c r="I678" s="14" t="str">
        <x:v>Detail</x:v>
      </x:c>
      <x:c r="J678" s="14" t="str"/>
      <x:c r="K678" s="14" t="str">
        <x:v>Scale</x:v>
      </x:c>
      <x:c r="L678" s="14" t="str"/>
      <x:c r="M678" s="14" t="str">
        <x:v>Alternate</x:v>
      </x:c>
      <x:c r="N678" s="14" t="n">
        <x:f>IF(E678&lt;&gt;"",1,0)+IF(F678&lt;&gt;"",1,0)+IF(H678&lt;&gt;"",1,0)+IF(J678&lt;&gt;"",1,0)+IF(L678&lt;&gt;"",1,0)</x:f>
        <x:v>1</x:v>
      </x:c>
      <x:c r="O678" s="14" t="str">
        <x:f>IF(E678="","MISSING MAIN",IF(N678=1,"MAIN ONLY","MULTI-PHOTO"))</x:f>
        <x:v>MAIN ONLY</x:v>
      </x:c>
      <x:c r="P678" s="14" t="str">
        <x:v>0770_</x:v>
      </x:c>
      <x:c r="Q678" s="14" t="str">
        <x:v>https://mb1advancedsolutions.github.io/mb1-catalog/index.html?design=0770</x:v>
      </x:c>
      <x:c r="R678" s="14" t="str"/>
    </x:row>
    <x:row r="679">
      <x:c r="A679" s="13" t="str">
        <x:v>MB1-0771</x:v>
      </x:c>
      <x:c r="B679" s="13" t="str">
        <x:v>MB1-0771</x:v>
      </x:c>
      <x:c r="C679" s="14" t="str">
        <x:v>Snow Monogram Letter 2</x:v>
      </x:c>
      <x:c r="D679" s="14" t="str">
        <x:v>family &amp; name</x:v>
      </x:c>
      <x:c r="E679" s="14" t="str">
        <x:v>https://res.cloudinary.com/oxygre42/image/upload/f_auto,q_auto,c_pad,b_white,w_1200,h_1200/v1788350041/0771_Snow_Monogram_Letter_2.png</x:v>
      </x:c>
      <x:c r="F679" s="14" t="str"/>
      <x:c r="G679" s="14" t="str">
        <x:v>Lifestyle</x:v>
      </x:c>
      <x:c r="H679" s="14" t="str"/>
      <x:c r="I679" s="14" t="str">
        <x:v>Detail</x:v>
      </x:c>
      <x:c r="J679" s="14" t="str"/>
      <x:c r="K679" s="14" t="str">
        <x:v>Scale</x:v>
      </x:c>
      <x:c r="L679" s="14" t="str"/>
      <x:c r="M679" s="14" t="str">
        <x:v>Alternate</x:v>
      </x:c>
      <x:c r="N679" s="14" t="n">
        <x:f>IF(E679&lt;&gt;"",1,0)+IF(F679&lt;&gt;"",1,0)+IF(H679&lt;&gt;"",1,0)+IF(J679&lt;&gt;"",1,0)+IF(L679&lt;&gt;"",1,0)</x:f>
        <x:v>1</x:v>
      </x:c>
      <x:c r="O679" s="14" t="str">
        <x:f>IF(E679="","MISSING MAIN",IF(N679=1,"MAIN ONLY","MULTI-PHOTO"))</x:f>
        <x:v>MAIN ONLY</x:v>
      </x:c>
      <x:c r="P679" s="14" t="str">
        <x:v>0771_</x:v>
      </x:c>
      <x:c r="Q679" s="14" t="str">
        <x:v>https://mb1advancedsolutions.github.io/mb1-catalog/index.html?design=0771</x:v>
      </x:c>
      <x:c r="R679" s="14" t="str"/>
    </x:row>
    <x:row r="680">
      <x:c r="A680" s="13" t="str">
        <x:v>MB1-0772</x:v>
      </x:c>
      <x:c r="B680" s="13" t="str">
        <x:v>MB1-0772</x:v>
      </x:c>
      <x:c r="C680" s="14" t="str">
        <x:v>Snow Monogram Letter 3</x:v>
      </x:c>
      <x:c r="D680" s="14" t="str">
        <x:v>family &amp; name</x:v>
      </x:c>
      <x:c r="E680" s="14" t="str">
        <x:v>https://res.cloudinary.com/oxygre42/image/upload/f_auto,q_auto,c_pad,b_white,w_1200,h_1200/v1788350043/0772_Snow_Monogram_Letter_3.png</x:v>
      </x:c>
      <x:c r="F680" s="14" t="str"/>
      <x:c r="G680" s="14" t="str">
        <x:v>Lifestyle</x:v>
      </x:c>
      <x:c r="H680" s="14" t="str"/>
      <x:c r="I680" s="14" t="str">
        <x:v>Detail</x:v>
      </x:c>
      <x:c r="J680" s="14" t="str"/>
      <x:c r="K680" s="14" t="str">
        <x:v>Scale</x:v>
      </x:c>
      <x:c r="L680" s="14" t="str"/>
      <x:c r="M680" s="14" t="str">
        <x:v>Alternate</x:v>
      </x:c>
      <x:c r="N680" s="14" t="n">
        <x:f>IF(E680&lt;&gt;"",1,0)+IF(F680&lt;&gt;"",1,0)+IF(H680&lt;&gt;"",1,0)+IF(J680&lt;&gt;"",1,0)+IF(L680&lt;&gt;"",1,0)</x:f>
        <x:v>1</x:v>
      </x:c>
      <x:c r="O680" s="14" t="str">
        <x:f>IF(E680="","MISSING MAIN",IF(N680=1,"MAIN ONLY","MULTI-PHOTO"))</x:f>
        <x:v>MAIN ONLY</x:v>
      </x:c>
      <x:c r="P680" s="14" t="str">
        <x:v>0772_</x:v>
      </x:c>
      <x:c r="Q680" s="14" t="str">
        <x:v>https://mb1advancedsolutions.github.io/mb1-catalog/index.html?design=0772</x:v>
      </x:c>
      <x:c r="R680" s="14" t="str"/>
    </x:row>
    <x:row r="681">
      <x:c r="A681" s="13" t="str">
        <x:v>MB1-0773</x:v>
      </x:c>
      <x:c r="B681" s="13" t="str">
        <x:v>MB1-0773</x:v>
      </x:c>
      <x:c r="C681" s="14" t="str">
        <x:v>Snow Monogram Letter 4</x:v>
      </x:c>
      <x:c r="D681" s="14" t="str">
        <x:v>family &amp; name</x:v>
      </x:c>
      <x:c r="E681" s="14" t="str">
        <x:v>https://res.cloudinary.com/oxygre42/image/upload/f_auto,q_auto,c_pad,b_white,w_1200,h_1200/v1788350045/0773_Snow_Monogram_Letter_4.png</x:v>
      </x:c>
      <x:c r="F681" s="14" t="str"/>
      <x:c r="G681" s="14" t="str">
        <x:v>Lifestyle</x:v>
      </x:c>
      <x:c r="H681" s="14" t="str"/>
      <x:c r="I681" s="14" t="str">
        <x:v>Detail</x:v>
      </x:c>
      <x:c r="J681" s="14" t="str"/>
      <x:c r="K681" s="14" t="str">
        <x:v>Scale</x:v>
      </x:c>
      <x:c r="L681" s="14" t="str"/>
      <x:c r="M681" s="14" t="str">
        <x:v>Alternate</x:v>
      </x:c>
      <x:c r="N681" s="14" t="n">
        <x:f>IF(E681&lt;&gt;"",1,0)+IF(F681&lt;&gt;"",1,0)+IF(H681&lt;&gt;"",1,0)+IF(J681&lt;&gt;"",1,0)+IF(L681&lt;&gt;"",1,0)</x:f>
        <x:v>1</x:v>
      </x:c>
      <x:c r="O681" s="14" t="str">
        <x:f>IF(E681="","MISSING MAIN",IF(N681=1,"MAIN ONLY","MULTI-PHOTO"))</x:f>
        <x:v>MAIN ONLY</x:v>
      </x:c>
      <x:c r="P681" s="14" t="str">
        <x:v>0773_</x:v>
      </x:c>
      <x:c r="Q681" s="14" t="str">
        <x:v>https://mb1advancedsolutions.github.io/mb1-catalog/index.html?design=0773</x:v>
      </x:c>
      <x:c r="R681" s="14" t="str"/>
    </x:row>
    <x:row r="682">
      <x:c r="A682" s="13" t="str">
        <x:v>MB1-0774</x:v>
      </x:c>
      <x:c r="B682" s="13" t="str">
        <x:v>MB1-0774</x:v>
      </x:c>
      <x:c r="C682" s="14" t="str">
        <x:v>Snow Split Monogram 1</x:v>
      </x:c>
      <x:c r="D682" s="14" t="str">
        <x:v>family &amp; name</x:v>
      </x:c>
      <x:c r="E682" s="14" t="str">
        <x:v>https://res.cloudinary.com/oxygre42/image/upload/f_auto,q_auto,c_pad,b_white,w_1200,h_1200/v1788350046/0774_Snow_Split_Monogram_1.png</x:v>
      </x:c>
      <x:c r="F682" s="14" t="str"/>
      <x:c r="G682" s="14" t="str">
        <x:v>Lifestyle</x:v>
      </x:c>
      <x:c r="H682" s="14" t="str"/>
      <x:c r="I682" s="14" t="str">
        <x:v>Detail</x:v>
      </x:c>
      <x:c r="J682" s="14" t="str"/>
      <x:c r="K682" s="14" t="str">
        <x:v>Scale</x:v>
      </x:c>
      <x:c r="L682" s="14" t="str"/>
      <x:c r="M682" s="14" t="str">
        <x:v>Alternate</x:v>
      </x:c>
      <x:c r="N682" s="14" t="n">
        <x:f>IF(E682&lt;&gt;"",1,0)+IF(F682&lt;&gt;"",1,0)+IF(H682&lt;&gt;"",1,0)+IF(J682&lt;&gt;"",1,0)+IF(L682&lt;&gt;"",1,0)</x:f>
        <x:v>1</x:v>
      </x:c>
      <x:c r="O682" s="14" t="str">
        <x:f>IF(E682="","MISSING MAIN",IF(N682=1,"MAIN ONLY","MULTI-PHOTO"))</x:f>
        <x:v>MAIN ONLY</x:v>
      </x:c>
      <x:c r="P682" s="14" t="str">
        <x:v>0774_</x:v>
      </x:c>
      <x:c r="Q682" s="14" t="str">
        <x:v>https://mb1advancedsolutions.github.io/mb1-catalog/index.html?design=0774</x:v>
      </x:c>
      <x:c r="R682" s="14" t="str"/>
    </x:row>
    <x:row r="683">
      <x:c r="A683" s="13" t="str">
        <x:v>MB1-0775</x:v>
      </x:c>
      <x:c r="B683" s="13" t="str">
        <x:v>MB1-0775</x:v>
      </x:c>
      <x:c r="C683" s="14" t="str">
        <x:v>Split Letter Monogram 1</x:v>
      </x:c>
      <x:c r="D683" s="14" t="str">
        <x:v>family &amp; name</x:v>
      </x:c>
      <x:c r="E683" s="14" t="str">
        <x:v>https://res.cloudinary.com/oxygre42/image/upload/f_auto,q_auto,c_pad,b_white,w_1200,h_1200/v1788350048/0775_Split_Letter_Monogram_1.png</x:v>
      </x:c>
      <x:c r="F683" s="14" t="str"/>
      <x:c r="G683" s="14" t="str">
        <x:v>Lifestyle</x:v>
      </x:c>
      <x:c r="H683" s="14" t="str"/>
      <x:c r="I683" s="14" t="str">
        <x:v>Detail</x:v>
      </x:c>
      <x:c r="J683" s="14" t="str"/>
      <x:c r="K683" s="14" t="str">
        <x:v>Scale</x:v>
      </x:c>
      <x:c r="L683" s="14" t="str"/>
      <x:c r="M683" s="14" t="str">
        <x:v>Alternate</x:v>
      </x:c>
      <x:c r="N683" s="14" t="n">
        <x:f>IF(E683&lt;&gt;"",1,0)+IF(F683&lt;&gt;"",1,0)+IF(H683&lt;&gt;"",1,0)+IF(J683&lt;&gt;"",1,0)+IF(L683&lt;&gt;"",1,0)</x:f>
        <x:v>1</x:v>
      </x:c>
      <x:c r="O683" s="14" t="str">
        <x:f>IF(E683="","MISSING MAIN",IF(N683=1,"MAIN ONLY","MULTI-PHOTO"))</x:f>
        <x:v>MAIN ONLY</x:v>
      </x:c>
      <x:c r="P683" s="14" t="str">
        <x:v>0775_</x:v>
      </x:c>
      <x:c r="Q683" s="14" t="str">
        <x:v>https://mb1advancedsolutions.github.io/mb1-catalog/index.html?design=0775</x:v>
      </x:c>
      <x:c r="R683" s="14" t="str"/>
    </x:row>
    <x:row r="684">
      <x:c r="A684" s="13" t="str">
        <x:v>MB1-0776</x:v>
      </x:c>
      <x:c r="B684" s="13" t="str">
        <x:v>MB1-0776</x:v>
      </x:c>
      <x:c r="C684" s="14" t="str">
        <x:v>Split Letter Monogram 10</x:v>
      </x:c>
      <x:c r="D684" s="14" t="str">
        <x:v>family &amp; name</x:v>
      </x:c>
      <x:c r="E684" s="14" t="str">
        <x:v>https://res.cloudinary.com/oxygre42/image/upload/f_auto,q_auto,c_pad,b_white,w_1200,h_1200/v1788350050/0776_Split_Letter_Monogram_10.png</x:v>
      </x:c>
      <x:c r="F684" s="14" t="str"/>
      <x:c r="G684" s="14" t="str">
        <x:v>Lifestyle</x:v>
      </x:c>
      <x:c r="H684" s="14" t="str"/>
      <x:c r="I684" s="14" t="str">
        <x:v>Detail</x:v>
      </x:c>
      <x:c r="J684" s="14" t="str"/>
      <x:c r="K684" s="14" t="str">
        <x:v>Scale</x:v>
      </x:c>
      <x:c r="L684" s="14" t="str"/>
      <x:c r="M684" s="14" t="str">
        <x:v>Alternate</x:v>
      </x:c>
      <x:c r="N684" s="14" t="n">
        <x:f>IF(E684&lt;&gt;"",1,0)+IF(F684&lt;&gt;"",1,0)+IF(H684&lt;&gt;"",1,0)+IF(J684&lt;&gt;"",1,0)+IF(L684&lt;&gt;"",1,0)</x:f>
        <x:v>1</x:v>
      </x:c>
      <x:c r="O684" s="14" t="str">
        <x:f>IF(E684="","MISSING MAIN",IF(N684=1,"MAIN ONLY","MULTI-PHOTO"))</x:f>
        <x:v>MAIN ONLY</x:v>
      </x:c>
      <x:c r="P684" s="14" t="str">
        <x:v>0776_</x:v>
      </x:c>
      <x:c r="Q684" s="14" t="str">
        <x:v>https://mb1advancedsolutions.github.io/mb1-catalog/index.html?design=0776</x:v>
      </x:c>
      <x:c r="R684" s="14" t="str"/>
    </x:row>
    <x:row r="685">
      <x:c r="A685" s="13" t="str">
        <x:v>MB1-0777</x:v>
      </x:c>
      <x:c r="B685" s="13" t="str">
        <x:v>MB1-0777</x:v>
      </x:c>
      <x:c r="C685" s="14" t="str">
        <x:v>Split Letter Monogram 11</x:v>
      </x:c>
      <x:c r="D685" s="14" t="str">
        <x:v>family &amp; name</x:v>
      </x:c>
      <x:c r="E685" s="14" t="str">
        <x:v>https://res.cloudinary.com/oxygre42/image/upload/f_auto,q_auto,c_pad,b_white,w_1200,h_1200/v1788350052/0777_Split_Letter_Monogram_11.png</x:v>
      </x:c>
      <x:c r="F685" s="14" t="str"/>
      <x:c r="G685" s="14" t="str">
        <x:v>Lifestyle</x:v>
      </x:c>
      <x:c r="H685" s="14" t="str"/>
      <x:c r="I685" s="14" t="str">
        <x:v>Detail</x:v>
      </x:c>
      <x:c r="J685" s="14" t="str"/>
      <x:c r="K685" s="14" t="str">
        <x:v>Scale</x:v>
      </x:c>
      <x:c r="L685" s="14" t="str"/>
      <x:c r="M685" s="14" t="str">
        <x:v>Alternate</x:v>
      </x:c>
      <x:c r="N685" s="14" t="n">
        <x:f>IF(E685&lt;&gt;"",1,0)+IF(F685&lt;&gt;"",1,0)+IF(H685&lt;&gt;"",1,0)+IF(J685&lt;&gt;"",1,0)+IF(L685&lt;&gt;"",1,0)</x:f>
        <x:v>1</x:v>
      </x:c>
      <x:c r="O685" s="14" t="str">
        <x:f>IF(E685="","MISSING MAIN",IF(N685=1,"MAIN ONLY","MULTI-PHOTO"))</x:f>
        <x:v>MAIN ONLY</x:v>
      </x:c>
      <x:c r="P685" s="14" t="str">
        <x:v>0777_</x:v>
      </x:c>
      <x:c r="Q685" s="14" t="str">
        <x:v>https://mb1advancedsolutions.github.io/mb1-catalog/index.html?design=0777</x:v>
      </x:c>
      <x:c r="R685" s="14" t="str"/>
    </x:row>
    <x:row r="686">
      <x:c r="A686" s="13" t="str">
        <x:v>MB1-0778</x:v>
      </x:c>
      <x:c r="B686" s="13" t="str">
        <x:v>MB1-0778</x:v>
      </x:c>
      <x:c r="C686" s="14" t="str">
        <x:v>Split Letter Monogram 12</x:v>
      </x:c>
      <x:c r="D686" s="14" t="str">
        <x:v>family &amp; name</x:v>
      </x:c>
      <x:c r="E686" s="14" t="str">
        <x:v>https://res.cloudinary.com/oxygre42/image/upload/f_auto,q_auto,c_pad,b_white,w_1200,h_1200/v1788350054/0778_Split_Letter_Monogram_12.png</x:v>
      </x:c>
      <x:c r="F686" s="14" t="str"/>
      <x:c r="G686" s="14" t="str">
        <x:v>Lifestyle</x:v>
      </x:c>
      <x:c r="H686" s="14" t="str"/>
      <x:c r="I686" s="14" t="str">
        <x:v>Detail</x:v>
      </x:c>
      <x:c r="J686" s="14" t="str"/>
      <x:c r="K686" s="14" t="str">
        <x:v>Scale</x:v>
      </x:c>
      <x:c r="L686" s="14" t="str"/>
      <x:c r="M686" s="14" t="str">
        <x:v>Alternate</x:v>
      </x:c>
      <x:c r="N686" s="14" t="n">
        <x:f>IF(E686&lt;&gt;"",1,0)+IF(F686&lt;&gt;"",1,0)+IF(H686&lt;&gt;"",1,0)+IF(J686&lt;&gt;"",1,0)+IF(L686&lt;&gt;"",1,0)</x:f>
        <x:v>1</x:v>
      </x:c>
      <x:c r="O686" s="14" t="str">
        <x:f>IF(E686="","MISSING MAIN",IF(N686=1,"MAIN ONLY","MULTI-PHOTO"))</x:f>
        <x:v>MAIN ONLY</x:v>
      </x:c>
      <x:c r="P686" s="14" t="str">
        <x:v>0778_</x:v>
      </x:c>
      <x:c r="Q686" s="14" t="str">
        <x:v>https://mb1advancedsolutions.github.io/mb1-catalog/index.html?design=0778</x:v>
      </x:c>
      <x:c r="R686" s="14" t="str"/>
    </x:row>
    <x:row r="687">
      <x:c r="A687" s="13" t="str">
        <x:v>MB1-0779</x:v>
      </x:c>
      <x:c r="B687" s="13" t="str">
        <x:v>MB1-0779</x:v>
      </x:c>
      <x:c r="C687" s="14" t="str">
        <x:v>Split Letter Monogram 13</x:v>
      </x:c>
      <x:c r="D687" s="14" t="str">
        <x:v>family &amp; name</x:v>
      </x:c>
      <x:c r="E687" s="14" t="str">
        <x:v>https://res.cloudinary.com/oxygre42/image/upload/f_auto,q_auto,c_pad,b_white,w_1200,h_1200/v1788350056/0779_Split_Letter_Monogram_13.png</x:v>
      </x:c>
      <x:c r="F687" s="14" t="str"/>
      <x:c r="G687" s="14" t="str">
        <x:v>Lifestyle</x:v>
      </x:c>
      <x:c r="H687" s="14" t="str"/>
      <x:c r="I687" s="14" t="str">
        <x:v>Detail</x:v>
      </x:c>
      <x:c r="J687" s="14" t="str"/>
      <x:c r="K687" s="14" t="str">
        <x:v>Scale</x:v>
      </x:c>
      <x:c r="L687" s="14" t="str"/>
      <x:c r="M687" s="14" t="str">
        <x:v>Alternate</x:v>
      </x:c>
      <x:c r="N687" s="14" t="n">
        <x:f>IF(E687&lt;&gt;"",1,0)+IF(F687&lt;&gt;"",1,0)+IF(H687&lt;&gt;"",1,0)+IF(J687&lt;&gt;"",1,0)+IF(L687&lt;&gt;"",1,0)</x:f>
        <x:v>1</x:v>
      </x:c>
      <x:c r="O687" s="14" t="str">
        <x:f>IF(E687="","MISSING MAIN",IF(N687=1,"MAIN ONLY","MULTI-PHOTO"))</x:f>
        <x:v>MAIN ONLY</x:v>
      </x:c>
      <x:c r="P687" s="14" t="str">
        <x:v>0779_</x:v>
      </x:c>
      <x:c r="Q687" s="14" t="str">
        <x:v>https://mb1advancedsolutions.github.io/mb1-catalog/index.html?design=0779</x:v>
      </x:c>
      <x:c r="R687" s="14" t="str"/>
    </x:row>
    <x:row r="688">
      <x:c r="A688" s="13" t="str">
        <x:v>MB1-0780</x:v>
      </x:c>
      <x:c r="B688" s="13" t="str">
        <x:v>MB1-0780</x:v>
      </x:c>
      <x:c r="C688" s="14" t="str">
        <x:v>Split Letter Monogram 14</x:v>
      </x:c>
      <x:c r="D688" s="14" t="str">
        <x:v>family &amp; name</x:v>
      </x:c>
      <x:c r="E688" s="14" t="str">
        <x:v>https://res.cloudinary.com/oxygre42/image/upload/f_auto,q_auto,c_pad,b_white,w_1200,h_1200/v1788350058/0780_Split_Letter_Monogram_14.png</x:v>
      </x:c>
      <x:c r="F688" s="14" t="str"/>
      <x:c r="G688" s="14" t="str">
        <x:v>Lifestyle</x:v>
      </x:c>
      <x:c r="H688" s="14" t="str"/>
      <x:c r="I688" s="14" t="str">
        <x:v>Detail</x:v>
      </x:c>
      <x:c r="J688" s="14" t="str"/>
      <x:c r="K688" s="14" t="str">
        <x:v>Scale</x:v>
      </x:c>
      <x:c r="L688" s="14" t="str"/>
      <x:c r="M688" s="14" t="str">
        <x:v>Alternate</x:v>
      </x:c>
      <x:c r="N688" s="14" t="n">
        <x:f>IF(E688&lt;&gt;"",1,0)+IF(F688&lt;&gt;"",1,0)+IF(H688&lt;&gt;"",1,0)+IF(J688&lt;&gt;"",1,0)+IF(L688&lt;&gt;"",1,0)</x:f>
        <x:v>1</x:v>
      </x:c>
      <x:c r="O688" s="14" t="str">
        <x:f>IF(E688="","MISSING MAIN",IF(N688=1,"MAIN ONLY","MULTI-PHOTO"))</x:f>
        <x:v>MAIN ONLY</x:v>
      </x:c>
      <x:c r="P688" s="14" t="str">
        <x:v>0780_</x:v>
      </x:c>
      <x:c r="Q688" s="14" t="str">
        <x:v>https://mb1advancedsolutions.github.io/mb1-catalog/index.html?design=0780</x:v>
      </x:c>
      <x:c r="R688" s="14" t="str"/>
    </x:row>
    <x:row r="689">
      <x:c r="A689" s="13" t="str">
        <x:v>MB1-0781</x:v>
      </x:c>
      <x:c r="B689" s="13" t="str">
        <x:v>MB1-0781</x:v>
      </x:c>
      <x:c r="C689" s="14" t="str">
        <x:v>Split Letter Monogram 15</x:v>
      </x:c>
      <x:c r="D689" s="14" t="str">
        <x:v>family &amp; name</x:v>
      </x:c>
      <x:c r="E689" s="14" t="str">
        <x:v>https://res.cloudinary.com/oxygre42/image/upload/f_auto,q_auto,c_pad,b_white,w_1200,h_1200/v1788350060/0781_Split_Letter_Monogram_15.png</x:v>
      </x:c>
      <x:c r="F689" s="14" t="str"/>
      <x:c r="G689" s="14" t="str">
        <x:v>Lifestyle</x:v>
      </x:c>
      <x:c r="H689" s="14" t="str"/>
      <x:c r="I689" s="14" t="str">
        <x:v>Detail</x:v>
      </x:c>
      <x:c r="J689" s="14" t="str"/>
      <x:c r="K689" s="14" t="str">
        <x:v>Scale</x:v>
      </x:c>
      <x:c r="L689" s="14" t="str"/>
      <x:c r="M689" s="14" t="str">
        <x:v>Alternate</x:v>
      </x:c>
      <x:c r="N689" s="14" t="n">
        <x:f>IF(E689&lt;&gt;"",1,0)+IF(F689&lt;&gt;"",1,0)+IF(H689&lt;&gt;"",1,0)+IF(J689&lt;&gt;"",1,0)+IF(L689&lt;&gt;"",1,0)</x:f>
        <x:v>1</x:v>
      </x:c>
      <x:c r="O689" s="14" t="str">
        <x:f>IF(E689="","MISSING MAIN",IF(N689=1,"MAIN ONLY","MULTI-PHOTO"))</x:f>
        <x:v>MAIN ONLY</x:v>
      </x:c>
      <x:c r="P689" s="14" t="str">
        <x:v>0781_</x:v>
      </x:c>
      <x:c r="Q689" s="14" t="str">
        <x:v>https://mb1advancedsolutions.github.io/mb1-catalog/index.html?design=0781</x:v>
      </x:c>
      <x:c r="R689" s="14" t="str"/>
    </x:row>
    <x:row r="690">
      <x:c r="A690" s="13" t="str">
        <x:v>MB1-0782</x:v>
      </x:c>
      <x:c r="B690" s="13" t="str">
        <x:v>MB1-0782</x:v>
      </x:c>
      <x:c r="C690" s="14" t="str">
        <x:v>Split Letter Monogram 16</x:v>
      </x:c>
      <x:c r="D690" s="14" t="str">
        <x:v>family &amp; name</x:v>
      </x:c>
      <x:c r="E690" s="14" t="str">
        <x:v>https://res.cloudinary.com/oxygre42/image/upload/f_auto,q_auto,c_pad,b_white,w_1200,h_1200/v1788350061/0782_Split_Letter_Monogram_16.png</x:v>
      </x:c>
      <x:c r="F690" s="14" t="str"/>
      <x:c r="G690" s="14" t="str">
        <x:v>Lifestyle</x:v>
      </x:c>
      <x:c r="H690" s="14" t="str"/>
      <x:c r="I690" s="14" t="str">
        <x:v>Detail</x:v>
      </x:c>
      <x:c r="J690" s="14" t="str"/>
      <x:c r="K690" s="14" t="str">
        <x:v>Scale</x:v>
      </x:c>
      <x:c r="L690" s="14" t="str"/>
      <x:c r="M690" s="14" t="str">
        <x:v>Alternate</x:v>
      </x:c>
      <x:c r="N690" s="14" t="n">
        <x:f>IF(E690&lt;&gt;"",1,0)+IF(F690&lt;&gt;"",1,0)+IF(H690&lt;&gt;"",1,0)+IF(J690&lt;&gt;"",1,0)+IF(L690&lt;&gt;"",1,0)</x:f>
        <x:v>1</x:v>
      </x:c>
      <x:c r="O690" s="14" t="str">
        <x:f>IF(E690="","MISSING MAIN",IF(N690=1,"MAIN ONLY","MULTI-PHOTO"))</x:f>
        <x:v>MAIN ONLY</x:v>
      </x:c>
      <x:c r="P690" s="14" t="str">
        <x:v>0782_</x:v>
      </x:c>
      <x:c r="Q690" s="14" t="str">
        <x:v>https://mb1advancedsolutions.github.io/mb1-catalog/index.html?design=0782</x:v>
      </x:c>
      <x:c r="R690" s="14" t="str"/>
    </x:row>
    <x:row r="691">
      <x:c r="A691" s="13" t="str">
        <x:v>MB1-0783</x:v>
      </x:c>
      <x:c r="B691" s="13" t="str">
        <x:v>MB1-0783</x:v>
      </x:c>
      <x:c r="C691" s="14" t="str">
        <x:v>Split Letter Monogram 17</x:v>
      </x:c>
      <x:c r="D691" s="14" t="str">
        <x:v>family &amp; name</x:v>
      </x:c>
      <x:c r="E691" s="14" t="str">
        <x:v>https://res.cloudinary.com/oxygre42/image/upload/f_auto,q_auto,c_pad,b_white,w_1200,h_1200/v1788350063/0783_Split_Letter_Monogram_17.png</x:v>
      </x:c>
      <x:c r="F691" s="14" t="str"/>
      <x:c r="G691" s="14" t="str">
        <x:v>Lifestyle</x:v>
      </x:c>
      <x:c r="H691" s="14" t="str"/>
      <x:c r="I691" s="14" t="str">
        <x:v>Detail</x:v>
      </x:c>
      <x:c r="J691" s="14" t="str"/>
      <x:c r="K691" s="14" t="str">
        <x:v>Scale</x:v>
      </x:c>
      <x:c r="L691" s="14" t="str"/>
      <x:c r="M691" s="14" t="str">
        <x:v>Alternate</x:v>
      </x:c>
      <x:c r="N691" s="14" t="n">
        <x:f>IF(E691&lt;&gt;"",1,0)+IF(F691&lt;&gt;"",1,0)+IF(H691&lt;&gt;"",1,0)+IF(J691&lt;&gt;"",1,0)+IF(L691&lt;&gt;"",1,0)</x:f>
        <x:v>1</x:v>
      </x:c>
      <x:c r="O691" s="14" t="str">
        <x:f>IF(E691="","MISSING MAIN",IF(N691=1,"MAIN ONLY","MULTI-PHOTO"))</x:f>
        <x:v>MAIN ONLY</x:v>
      </x:c>
      <x:c r="P691" s="14" t="str">
        <x:v>0783_</x:v>
      </x:c>
      <x:c r="Q691" s="14" t="str">
        <x:v>https://mb1advancedsolutions.github.io/mb1-catalog/index.html?design=0783</x:v>
      </x:c>
      <x:c r="R691" s="14" t="str"/>
    </x:row>
    <x:row r="692">
      <x:c r="A692" s="13" t="str">
        <x:v>MB1-0784</x:v>
      </x:c>
      <x:c r="B692" s="13" t="str">
        <x:v>MB1-0784</x:v>
      </x:c>
      <x:c r="C692" s="14" t="str">
        <x:v>Split Letter Monogram 18</x:v>
      </x:c>
      <x:c r="D692" s="14" t="str">
        <x:v>family &amp; name</x:v>
      </x:c>
      <x:c r="E692" s="14" t="str">
        <x:v>https://res.cloudinary.com/oxygre42/image/upload/f_auto,q_auto,c_pad,b_white,w_1200,h_1200/v1788350065/0784_Split_Letter_Monogram_18.png</x:v>
      </x:c>
      <x:c r="F692" s="14" t="str"/>
      <x:c r="G692" s="14" t="str">
        <x:v>Lifestyle</x:v>
      </x:c>
      <x:c r="H692" s="14" t="str"/>
      <x:c r="I692" s="14" t="str">
        <x:v>Detail</x:v>
      </x:c>
      <x:c r="J692" s="14" t="str"/>
      <x:c r="K692" s="14" t="str">
        <x:v>Scale</x:v>
      </x:c>
      <x:c r="L692" s="14" t="str"/>
      <x:c r="M692" s="14" t="str">
        <x:v>Alternate</x:v>
      </x:c>
      <x:c r="N692" s="14" t="n">
        <x:f>IF(E692&lt;&gt;"",1,0)+IF(F692&lt;&gt;"",1,0)+IF(H692&lt;&gt;"",1,0)+IF(J692&lt;&gt;"",1,0)+IF(L692&lt;&gt;"",1,0)</x:f>
        <x:v>1</x:v>
      </x:c>
      <x:c r="O692" s="14" t="str">
        <x:f>IF(E692="","MISSING MAIN",IF(N692=1,"MAIN ONLY","MULTI-PHOTO"))</x:f>
        <x:v>MAIN ONLY</x:v>
      </x:c>
      <x:c r="P692" s="14" t="str">
        <x:v>0784_</x:v>
      </x:c>
      <x:c r="Q692" s="14" t="str">
        <x:v>https://mb1advancedsolutions.github.io/mb1-catalog/index.html?design=0784</x:v>
      </x:c>
      <x:c r="R692" s="14" t="str"/>
    </x:row>
    <x:row r="693">
      <x:c r="A693" s="13" t="str">
        <x:v>MB1-0785</x:v>
      </x:c>
      <x:c r="B693" s="13" t="str">
        <x:v>MB1-0785</x:v>
      </x:c>
      <x:c r="C693" s="14" t="str">
        <x:v>Split Letter Monogram 19</x:v>
      </x:c>
      <x:c r="D693" s="14" t="str">
        <x:v>family &amp; name</x:v>
      </x:c>
      <x:c r="E693" s="14" t="str">
        <x:v>https://res.cloudinary.com/oxygre42/image/upload/f_auto,q_auto,c_pad,b_white,w_1200,h_1200/v1788350067/0785_Split_Letter_Monogram_19.png</x:v>
      </x:c>
      <x:c r="F693" s="14" t="str"/>
      <x:c r="G693" s="14" t="str">
        <x:v>Lifestyle</x:v>
      </x:c>
      <x:c r="H693" s="14" t="str"/>
      <x:c r="I693" s="14" t="str">
        <x:v>Detail</x:v>
      </x:c>
      <x:c r="J693" s="14" t="str"/>
      <x:c r="K693" s="14" t="str">
        <x:v>Scale</x:v>
      </x:c>
      <x:c r="L693" s="14" t="str"/>
      <x:c r="M693" s="14" t="str">
        <x:v>Alternate</x:v>
      </x:c>
      <x:c r="N693" s="14" t="n">
        <x:f>IF(E693&lt;&gt;"",1,0)+IF(F693&lt;&gt;"",1,0)+IF(H693&lt;&gt;"",1,0)+IF(J693&lt;&gt;"",1,0)+IF(L693&lt;&gt;"",1,0)</x:f>
        <x:v>1</x:v>
      </x:c>
      <x:c r="O693" s="14" t="str">
        <x:f>IF(E693="","MISSING MAIN",IF(N693=1,"MAIN ONLY","MULTI-PHOTO"))</x:f>
        <x:v>MAIN ONLY</x:v>
      </x:c>
      <x:c r="P693" s="14" t="str">
        <x:v>0785_</x:v>
      </x:c>
      <x:c r="Q693" s="14" t="str">
        <x:v>https://mb1advancedsolutions.github.io/mb1-catalog/index.html?design=0785</x:v>
      </x:c>
      <x:c r="R693" s="14" t="str"/>
    </x:row>
    <x:row r="694">
      <x:c r="A694" s="13" t="str">
        <x:v>MB1-0786</x:v>
      </x:c>
      <x:c r="B694" s="13" t="str">
        <x:v>MB1-0786</x:v>
      </x:c>
      <x:c r="C694" s="14" t="str">
        <x:v>Split Letter Monogram 2</x:v>
      </x:c>
      <x:c r="D694" s="14" t="str">
        <x:v>family &amp; name</x:v>
      </x:c>
      <x:c r="E694" s="14" t="str">
        <x:v>https://res.cloudinary.com/oxygre42/image/upload/f_auto,q_auto,c_pad,b_white,w_1200,h_1200/v1788350069/0786_Split_Letter_Monogram_2.png</x:v>
      </x:c>
      <x:c r="F694" s="14" t="str"/>
      <x:c r="G694" s="14" t="str">
        <x:v>Lifestyle</x:v>
      </x:c>
      <x:c r="H694" s="14" t="str"/>
      <x:c r="I694" s="14" t="str">
        <x:v>Detail</x:v>
      </x:c>
      <x:c r="J694" s="14" t="str"/>
      <x:c r="K694" s="14" t="str">
        <x:v>Scale</x:v>
      </x:c>
      <x:c r="L694" s="14" t="str"/>
      <x:c r="M694" s="14" t="str">
        <x:v>Alternate</x:v>
      </x:c>
      <x:c r="N694" s="14" t="n">
        <x:f>IF(E694&lt;&gt;"",1,0)+IF(F694&lt;&gt;"",1,0)+IF(H694&lt;&gt;"",1,0)+IF(J694&lt;&gt;"",1,0)+IF(L694&lt;&gt;"",1,0)</x:f>
        <x:v>1</x:v>
      </x:c>
      <x:c r="O694" s="14" t="str">
        <x:f>IF(E694="","MISSING MAIN",IF(N694=1,"MAIN ONLY","MULTI-PHOTO"))</x:f>
        <x:v>MAIN ONLY</x:v>
      </x:c>
      <x:c r="P694" s="14" t="str">
        <x:v>0786_</x:v>
      </x:c>
      <x:c r="Q694" s="14" t="str">
        <x:v>https://mb1advancedsolutions.github.io/mb1-catalog/index.html?design=0786</x:v>
      </x:c>
      <x:c r="R694" s="14" t="str"/>
    </x:row>
    <x:row r="695">
      <x:c r="A695" s="13" t="str">
        <x:v>MB1-0787</x:v>
      </x:c>
      <x:c r="B695" s="13" t="str">
        <x:v>MB1-0787</x:v>
      </x:c>
      <x:c r="C695" s="14" t="str">
        <x:v>Split Letter Monogram 20</x:v>
      </x:c>
      <x:c r="D695" s="14" t="str">
        <x:v>family &amp; name</x:v>
      </x:c>
      <x:c r="E695" s="14" t="str">
        <x:v>https://res.cloudinary.com/oxygre42/image/upload/f_auto,q_auto,c_pad,b_white,w_1200,h_1200/v1788350071/0787_Split_Letter_Monogram_20.png</x:v>
      </x:c>
      <x:c r="F695" s="14" t="str"/>
      <x:c r="G695" s="14" t="str">
        <x:v>Lifestyle</x:v>
      </x:c>
      <x:c r="H695" s="14" t="str"/>
      <x:c r="I695" s="14" t="str">
        <x:v>Detail</x:v>
      </x:c>
      <x:c r="J695" s="14" t="str"/>
      <x:c r="K695" s="14" t="str">
        <x:v>Scale</x:v>
      </x:c>
      <x:c r="L695" s="14" t="str"/>
      <x:c r="M695" s="14" t="str">
        <x:v>Alternate</x:v>
      </x:c>
      <x:c r="N695" s="14" t="n">
        <x:f>IF(E695&lt;&gt;"",1,0)+IF(F695&lt;&gt;"",1,0)+IF(H695&lt;&gt;"",1,0)+IF(J695&lt;&gt;"",1,0)+IF(L695&lt;&gt;"",1,0)</x:f>
        <x:v>1</x:v>
      </x:c>
      <x:c r="O695" s="14" t="str">
        <x:f>IF(E695="","MISSING MAIN",IF(N695=1,"MAIN ONLY","MULTI-PHOTO"))</x:f>
        <x:v>MAIN ONLY</x:v>
      </x:c>
      <x:c r="P695" s="14" t="str">
        <x:v>0787_</x:v>
      </x:c>
      <x:c r="Q695" s="14" t="str">
        <x:v>https://mb1advancedsolutions.github.io/mb1-catalog/index.html?design=0787</x:v>
      </x:c>
      <x:c r="R695" s="14" t="str"/>
    </x:row>
    <x:row r="696">
      <x:c r="A696" s="13" t="str">
        <x:v>MB1-0788</x:v>
      </x:c>
      <x:c r="B696" s="13" t="str">
        <x:v>MB1-0788</x:v>
      </x:c>
      <x:c r="C696" s="14" t="str">
        <x:v>Split Letter Monogram 21</x:v>
      </x:c>
      <x:c r="D696" s="14" t="str">
        <x:v>family &amp; name</x:v>
      </x:c>
      <x:c r="E696" s="14" t="str">
        <x:v>https://res.cloudinary.com/oxygre42/image/upload/f_auto,q_auto,c_pad,b_white,w_1200,h_1200/v1788350073/0788_Split_Letter_Monogram_21.png</x:v>
      </x:c>
      <x:c r="F696" s="14" t="str"/>
      <x:c r="G696" s="14" t="str">
        <x:v>Lifestyle</x:v>
      </x:c>
      <x:c r="H696" s="14" t="str"/>
      <x:c r="I696" s="14" t="str">
        <x:v>Detail</x:v>
      </x:c>
      <x:c r="J696" s="14" t="str"/>
      <x:c r="K696" s="14" t="str">
        <x:v>Scale</x:v>
      </x:c>
      <x:c r="L696" s="14" t="str"/>
      <x:c r="M696" s="14" t="str">
        <x:v>Alternate</x:v>
      </x:c>
      <x:c r="N696" s="14" t="n">
        <x:f>IF(E696&lt;&gt;"",1,0)+IF(F696&lt;&gt;"",1,0)+IF(H696&lt;&gt;"",1,0)+IF(J696&lt;&gt;"",1,0)+IF(L696&lt;&gt;"",1,0)</x:f>
        <x:v>1</x:v>
      </x:c>
      <x:c r="O696" s="14" t="str">
        <x:f>IF(E696="","MISSING MAIN",IF(N696=1,"MAIN ONLY","MULTI-PHOTO"))</x:f>
        <x:v>MAIN ONLY</x:v>
      </x:c>
      <x:c r="P696" s="14" t="str">
        <x:v>0788_</x:v>
      </x:c>
      <x:c r="Q696" s="14" t="str">
        <x:v>https://mb1advancedsolutions.github.io/mb1-catalog/index.html?design=0788</x:v>
      </x:c>
      <x:c r="R696" s="14" t="str"/>
    </x:row>
    <x:row r="697">
      <x:c r="A697" s="13" t="str">
        <x:v>MB1-0789</x:v>
      </x:c>
      <x:c r="B697" s="13" t="str">
        <x:v>MB1-0789</x:v>
      </x:c>
      <x:c r="C697" s="14" t="str">
        <x:v>Split Letter Monogram 22</x:v>
      </x:c>
      <x:c r="D697" s="14" t="str">
        <x:v>family &amp; name</x:v>
      </x:c>
      <x:c r="E697" s="14" t="str">
        <x:v>https://res.cloudinary.com/oxygre42/image/upload/f_auto,q_auto,c_pad,b_white,w_1200,h_1200/v1788350075/0789_Split_Letter_Monogram_22.png</x:v>
      </x:c>
      <x:c r="F697" s="14" t="str"/>
      <x:c r="G697" s="14" t="str">
        <x:v>Lifestyle</x:v>
      </x:c>
      <x:c r="H697" s="14" t="str"/>
      <x:c r="I697" s="14" t="str">
        <x:v>Detail</x:v>
      </x:c>
      <x:c r="J697" s="14" t="str"/>
      <x:c r="K697" s="14" t="str">
        <x:v>Scale</x:v>
      </x:c>
      <x:c r="L697" s="14" t="str"/>
      <x:c r="M697" s="14" t="str">
        <x:v>Alternate</x:v>
      </x:c>
      <x:c r="N697" s="14" t="n">
        <x:f>IF(E697&lt;&gt;"",1,0)+IF(F697&lt;&gt;"",1,0)+IF(H697&lt;&gt;"",1,0)+IF(J697&lt;&gt;"",1,0)+IF(L697&lt;&gt;"",1,0)</x:f>
        <x:v>1</x:v>
      </x:c>
      <x:c r="O697" s="14" t="str">
        <x:f>IF(E697="","MISSING MAIN",IF(N697=1,"MAIN ONLY","MULTI-PHOTO"))</x:f>
        <x:v>MAIN ONLY</x:v>
      </x:c>
      <x:c r="P697" s="14" t="str">
        <x:v>0789_</x:v>
      </x:c>
      <x:c r="Q697" s="14" t="str">
        <x:v>https://mb1advancedsolutions.github.io/mb1-catalog/index.html?design=0789</x:v>
      </x:c>
      <x:c r="R697" s="14" t="str"/>
    </x:row>
    <x:row r="698">
      <x:c r="A698" s="13" t="str">
        <x:v>MB1-0790</x:v>
      </x:c>
      <x:c r="B698" s="13" t="str">
        <x:v>MB1-0790</x:v>
      </x:c>
      <x:c r="C698" s="14" t="str">
        <x:v>Split Letter Monogram 23</x:v>
      </x:c>
      <x:c r="D698" s="14" t="str">
        <x:v>family &amp; name</x:v>
      </x:c>
      <x:c r="E698" s="14" t="str">
        <x:v>https://res.cloudinary.com/oxygre42/image/upload/f_auto,q_auto,c_pad,b_white,w_1200,h_1200/v1788350077/0790_Split_Letter_Monogram_23.png</x:v>
      </x:c>
      <x:c r="F698" s="14" t="str"/>
      <x:c r="G698" s="14" t="str">
        <x:v>Lifestyle</x:v>
      </x:c>
      <x:c r="H698" s="14" t="str"/>
      <x:c r="I698" s="14" t="str">
        <x:v>Detail</x:v>
      </x:c>
      <x:c r="J698" s="14" t="str"/>
      <x:c r="K698" s="14" t="str">
        <x:v>Scale</x:v>
      </x:c>
      <x:c r="L698" s="14" t="str"/>
      <x:c r="M698" s="14" t="str">
        <x:v>Alternate</x:v>
      </x:c>
      <x:c r="N698" s="14" t="n">
        <x:f>IF(E698&lt;&gt;"",1,0)+IF(F698&lt;&gt;"",1,0)+IF(H698&lt;&gt;"",1,0)+IF(J698&lt;&gt;"",1,0)+IF(L698&lt;&gt;"",1,0)</x:f>
        <x:v>1</x:v>
      </x:c>
      <x:c r="O698" s="14" t="str">
        <x:f>IF(E698="","MISSING MAIN",IF(N698=1,"MAIN ONLY","MULTI-PHOTO"))</x:f>
        <x:v>MAIN ONLY</x:v>
      </x:c>
      <x:c r="P698" s="14" t="str">
        <x:v>0790_</x:v>
      </x:c>
      <x:c r="Q698" s="14" t="str">
        <x:v>https://mb1advancedsolutions.github.io/mb1-catalog/index.html?design=0790</x:v>
      </x:c>
      <x:c r="R698" s="14" t="str"/>
    </x:row>
    <x:row r="699">
      <x:c r="A699" s="13" t="str">
        <x:v>MB1-0791</x:v>
      </x:c>
      <x:c r="B699" s="13" t="str">
        <x:v>MB1-0791</x:v>
      </x:c>
      <x:c r="C699" s="14" t="str">
        <x:v>Split Letter Monogram 24</x:v>
      </x:c>
      <x:c r="D699" s="14" t="str">
        <x:v>family &amp; name</x:v>
      </x:c>
      <x:c r="E699" s="14" t="str">
        <x:v>https://res.cloudinary.com/oxygre42/image/upload/f_auto,q_auto,c_pad,b_white,w_1200,h_1200/v1788350078/0791_Split_Letter_Monogram_24.png</x:v>
      </x:c>
      <x:c r="F699" s="14" t="str"/>
      <x:c r="G699" s="14" t="str">
        <x:v>Lifestyle</x:v>
      </x:c>
      <x:c r="H699" s="14" t="str"/>
      <x:c r="I699" s="14" t="str">
        <x:v>Detail</x:v>
      </x:c>
      <x:c r="J699" s="14" t="str"/>
      <x:c r="K699" s="14" t="str">
        <x:v>Scale</x:v>
      </x:c>
      <x:c r="L699" s="14" t="str"/>
      <x:c r="M699" s="14" t="str">
        <x:v>Alternate</x:v>
      </x:c>
      <x:c r="N699" s="14" t="n">
        <x:f>IF(E699&lt;&gt;"",1,0)+IF(F699&lt;&gt;"",1,0)+IF(H699&lt;&gt;"",1,0)+IF(J699&lt;&gt;"",1,0)+IF(L699&lt;&gt;"",1,0)</x:f>
        <x:v>1</x:v>
      </x:c>
      <x:c r="O699" s="14" t="str">
        <x:f>IF(E699="","MISSING MAIN",IF(N699=1,"MAIN ONLY","MULTI-PHOTO"))</x:f>
        <x:v>MAIN ONLY</x:v>
      </x:c>
      <x:c r="P699" s="14" t="str">
        <x:v>0791_</x:v>
      </x:c>
      <x:c r="Q699" s="14" t="str">
        <x:v>https://mb1advancedsolutions.github.io/mb1-catalog/index.html?design=0791</x:v>
      </x:c>
      <x:c r="R699" s="14" t="str"/>
    </x:row>
    <x:row r="700">
      <x:c r="A700" s="13" t="str">
        <x:v>MB1-0792</x:v>
      </x:c>
      <x:c r="B700" s="13" t="str">
        <x:v>MB1-0792</x:v>
      </x:c>
      <x:c r="C700" s="14" t="str">
        <x:v>Split Letter Monogram 25</x:v>
      </x:c>
      <x:c r="D700" s="14" t="str">
        <x:v>family &amp; name</x:v>
      </x:c>
      <x:c r="E700" s="14" t="str">
        <x:v>https://res.cloudinary.com/oxygre42/image/upload/f_auto,q_auto,c_pad,b_white,w_1200,h_1200/v1788350080/0792_Split_Letter_Monogram_25.png</x:v>
      </x:c>
      <x:c r="F700" s="14" t="str"/>
      <x:c r="G700" s="14" t="str">
        <x:v>Lifestyle</x:v>
      </x:c>
      <x:c r="H700" s="14" t="str"/>
      <x:c r="I700" s="14" t="str">
        <x:v>Detail</x:v>
      </x:c>
      <x:c r="J700" s="14" t="str"/>
      <x:c r="K700" s="14" t="str">
        <x:v>Scale</x:v>
      </x:c>
      <x:c r="L700" s="14" t="str"/>
      <x:c r="M700" s="14" t="str">
        <x:v>Alternate</x:v>
      </x:c>
      <x:c r="N700" s="14" t="n">
        <x:f>IF(E700&lt;&gt;"",1,0)+IF(F700&lt;&gt;"",1,0)+IF(H700&lt;&gt;"",1,0)+IF(J700&lt;&gt;"",1,0)+IF(L700&lt;&gt;"",1,0)</x:f>
        <x:v>1</x:v>
      </x:c>
      <x:c r="O700" s="14" t="str">
        <x:f>IF(E700="","MISSING MAIN",IF(N700=1,"MAIN ONLY","MULTI-PHOTO"))</x:f>
        <x:v>MAIN ONLY</x:v>
      </x:c>
      <x:c r="P700" s="14" t="str">
        <x:v>0792_</x:v>
      </x:c>
      <x:c r="Q700" s="14" t="str">
        <x:v>https://mb1advancedsolutions.github.io/mb1-catalog/index.html?design=0792</x:v>
      </x:c>
      <x:c r="R700" s="14" t="str"/>
    </x:row>
    <x:row r="701">
      <x:c r="A701" s="13" t="str">
        <x:v>MB1-0793</x:v>
      </x:c>
      <x:c r="B701" s="13" t="str">
        <x:v>MB1-0793</x:v>
      </x:c>
      <x:c r="C701" s="14" t="str">
        <x:v>Split Letter Monogram 3</x:v>
      </x:c>
      <x:c r="D701" s="14" t="str">
        <x:v>family &amp; name</x:v>
      </x:c>
      <x:c r="E701" s="14" t="str">
        <x:v>https://res.cloudinary.com/oxygre42/image/upload/f_auto,q_auto,c_pad,b_white,w_1200,h_1200/v1788350082/0793_Split_Letter_Monogram_3.png</x:v>
      </x:c>
      <x:c r="F701" s="14" t="str"/>
      <x:c r="G701" s="14" t="str">
        <x:v>Lifestyle</x:v>
      </x:c>
      <x:c r="H701" s="14" t="str"/>
      <x:c r="I701" s="14" t="str">
        <x:v>Detail</x:v>
      </x:c>
      <x:c r="J701" s="14" t="str"/>
      <x:c r="K701" s="14" t="str">
        <x:v>Scale</x:v>
      </x:c>
      <x:c r="L701" s="14" t="str"/>
      <x:c r="M701" s="14" t="str">
        <x:v>Alternate</x:v>
      </x:c>
      <x:c r="N701" s="14" t="n">
        <x:f>IF(E701&lt;&gt;"",1,0)+IF(F701&lt;&gt;"",1,0)+IF(H701&lt;&gt;"",1,0)+IF(J701&lt;&gt;"",1,0)+IF(L701&lt;&gt;"",1,0)</x:f>
        <x:v>1</x:v>
      </x:c>
      <x:c r="O701" s="14" t="str">
        <x:f>IF(E701="","MISSING MAIN",IF(N701=1,"MAIN ONLY","MULTI-PHOTO"))</x:f>
        <x:v>MAIN ONLY</x:v>
      </x:c>
      <x:c r="P701" s="14" t="str">
        <x:v>0793_</x:v>
      </x:c>
      <x:c r="Q701" s="14" t="str">
        <x:v>https://mb1advancedsolutions.github.io/mb1-catalog/index.html?design=0793</x:v>
      </x:c>
      <x:c r="R701" s="14" t="str"/>
    </x:row>
    <x:row r="702">
      <x:c r="A702" s="13" t="str">
        <x:v>MB1-0794</x:v>
      </x:c>
      <x:c r="B702" s="13" t="str">
        <x:v>MB1-0794</x:v>
      </x:c>
      <x:c r="C702" s="14" t="str">
        <x:v>Split Letter Monogram 4</x:v>
      </x:c>
      <x:c r="D702" s="14" t="str">
        <x:v>family &amp; name</x:v>
      </x:c>
      <x:c r="E702" s="14" t="str">
        <x:v>https://res.cloudinary.com/oxygre42/image/upload/f_auto,q_auto,c_pad,b_white,w_1200,h_1200/v1788350084/0794_Split_Letter_Monogram_4.png</x:v>
      </x:c>
      <x:c r="F702" s="14" t="str"/>
      <x:c r="G702" s="14" t="str">
        <x:v>Lifestyle</x:v>
      </x:c>
      <x:c r="H702" s="14" t="str"/>
      <x:c r="I702" s="14" t="str">
        <x:v>Detail</x:v>
      </x:c>
      <x:c r="J702" s="14" t="str"/>
      <x:c r="K702" s="14" t="str">
        <x:v>Scale</x:v>
      </x:c>
      <x:c r="L702" s="14" t="str"/>
      <x:c r="M702" s="14" t="str">
        <x:v>Alternate</x:v>
      </x:c>
      <x:c r="N702" s="14" t="n">
        <x:f>IF(E702&lt;&gt;"",1,0)+IF(F702&lt;&gt;"",1,0)+IF(H702&lt;&gt;"",1,0)+IF(J702&lt;&gt;"",1,0)+IF(L702&lt;&gt;"",1,0)</x:f>
        <x:v>1</x:v>
      </x:c>
      <x:c r="O702" s="14" t="str">
        <x:f>IF(E702="","MISSING MAIN",IF(N702=1,"MAIN ONLY","MULTI-PHOTO"))</x:f>
        <x:v>MAIN ONLY</x:v>
      </x:c>
      <x:c r="P702" s="14" t="str">
        <x:v>0794_</x:v>
      </x:c>
      <x:c r="Q702" s="14" t="str">
        <x:v>https://mb1advancedsolutions.github.io/mb1-catalog/index.html?design=0794</x:v>
      </x:c>
      <x:c r="R702" s="14" t="str"/>
    </x:row>
    <x:row r="703">
      <x:c r="A703" s="13" t="str">
        <x:v>MB1-0795</x:v>
      </x:c>
      <x:c r="B703" s="13" t="str">
        <x:v>MB1-0795</x:v>
      </x:c>
      <x:c r="C703" s="14" t="str">
        <x:v>Split Letter Monogram 5</x:v>
      </x:c>
      <x:c r="D703" s="14" t="str">
        <x:v>family &amp; name</x:v>
      </x:c>
      <x:c r="E703" s="14" t="str">
        <x:v>https://res.cloudinary.com/oxygre42/image/upload/f_auto,q_auto,c_pad,b_white,w_1200,h_1200/v1788350086/0795_Split_Letter_Monogram_5.png</x:v>
      </x:c>
      <x:c r="F703" s="14" t="str"/>
      <x:c r="G703" s="14" t="str">
        <x:v>Lifestyle</x:v>
      </x:c>
      <x:c r="H703" s="14" t="str"/>
      <x:c r="I703" s="14" t="str">
        <x:v>Detail</x:v>
      </x:c>
      <x:c r="J703" s="14" t="str"/>
      <x:c r="K703" s="14" t="str">
        <x:v>Scale</x:v>
      </x:c>
      <x:c r="L703" s="14" t="str"/>
      <x:c r="M703" s="14" t="str">
        <x:v>Alternate</x:v>
      </x:c>
      <x:c r="N703" s="14" t="n">
        <x:f>IF(E703&lt;&gt;"",1,0)+IF(F703&lt;&gt;"",1,0)+IF(H703&lt;&gt;"",1,0)+IF(J703&lt;&gt;"",1,0)+IF(L703&lt;&gt;"",1,0)</x:f>
        <x:v>1</x:v>
      </x:c>
      <x:c r="O703" s="14" t="str">
        <x:f>IF(E703="","MISSING MAIN",IF(N703=1,"MAIN ONLY","MULTI-PHOTO"))</x:f>
        <x:v>MAIN ONLY</x:v>
      </x:c>
      <x:c r="P703" s="14" t="str">
        <x:v>0795_</x:v>
      </x:c>
      <x:c r="Q703" s="14" t="str">
        <x:v>https://mb1advancedsolutions.github.io/mb1-catalog/index.html?design=0795</x:v>
      </x:c>
      <x:c r="R703" s="14" t="str"/>
    </x:row>
    <x:row r="704">
      <x:c r="A704" s="13" t="str">
        <x:v>MB1-0796</x:v>
      </x:c>
      <x:c r="B704" s="13" t="str">
        <x:v>MB1-0796</x:v>
      </x:c>
      <x:c r="C704" s="14" t="str">
        <x:v>Split Letter Monogram 6</x:v>
      </x:c>
      <x:c r="D704" s="14" t="str">
        <x:v>family &amp; name</x:v>
      </x:c>
      <x:c r="E704" s="14" t="str">
        <x:v>https://res.cloudinary.com/oxygre42/image/upload/f_auto,q_auto,c_pad,b_white,w_1200,h_1200/v1788350088/0796_Split_Letter_Monogram_6.png</x:v>
      </x:c>
      <x:c r="F704" s="14" t="str"/>
      <x:c r="G704" s="14" t="str">
        <x:v>Lifestyle</x:v>
      </x:c>
      <x:c r="H704" s="14" t="str"/>
      <x:c r="I704" s="14" t="str">
        <x:v>Detail</x:v>
      </x:c>
      <x:c r="J704" s="14" t="str"/>
      <x:c r="K704" s="14" t="str">
        <x:v>Scale</x:v>
      </x:c>
      <x:c r="L704" s="14" t="str"/>
      <x:c r="M704" s="14" t="str">
        <x:v>Alternate</x:v>
      </x:c>
      <x:c r="N704" s="14" t="n">
        <x:f>IF(E704&lt;&gt;"",1,0)+IF(F704&lt;&gt;"",1,0)+IF(H704&lt;&gt;"",1,0)+IF(J704&lt;&gt;"",1,0)+IF(L704&lt;&gt;"",1,0)</x:f>
        <x:v>1</x:v>
      </x:c>
      <x:c r="O704" s="14" t="str">
        <x:f>IF(E704="","MISSING MAIN",IF(N704=1,"MAIN ONLY","MULTI-PHOTO"))</x:f>
        <x:v>MAIN ONLY</x:v>
      </x:c>
      <x:c r="P704" s="14" t="str">
        <x:v>0796_</x:v>
      </x:c>
      <x:c r="Q704" s="14" t="str">
        <x:v>https://mb1advancedsolutions.github.io/mb1-catalog/index.html?design=0796</x:v>
      </x:c>
      <x:c r="R704" s="14" t="str"/>
    </x:row>
    <x:row r="705">
      <x:c r="A705" s="13" t="str">
        <x:v>MB1-0797</x:v>
      </x:c>
      <x:c r="B705" s="13" t="str">
        <x:v>MB1-0797</x:v>
      </x:c>
      <x:c r="C705" s="14" t="str">
        <x:v>Split Letter Monogram 7</x:v>
      </x:c>
      <x:c r="D705" s="14" t="str">
        <x:v>family &amp; name</x:v>
      </x:c>
      <x:c r="E705" s="14" t="str">
        <x:v>https://res.cloudinary.com/oxygre42/image/upload/f_auto,q_auto,c_pad,b_white,w_1200,h_1200/v1788350090/0797_Split_Letter_Monogram_7.png</x:v>
      </x:c>
      <x:c r="F705" s="14" t="str"/>
      <x:c r="G705" s="14" t="str">
        <x:v>Lifestyle</x:v>
      </x:c>
      <x:c r="H705" s="14" t="str"/>
      <x:c r="I705" s="14" t="str">
        <x:v>Detail</x:v>
      </x:c>
      <x:c r="J705" s="14" t="str"/>
      <x:c r="K705" s="14" t="str">
        <x:v>Scale</x:v>
      </x:c>
      <x:c r="L705" s="14" t="str"/>
      <x:c r="M705" s="14" t="str">
        <x:v>Alternate</x:v>
      </x:c>
      <x:c r="N705" s="14" t="n">
        <x:f>IF(E705&lt;&gt;"",1,0)+IF(F705&lt;&gt;"",1,0)+IF(H705&lt;&gt;"",1,0)+IF(J705&lt;&gt;"",1,0)+IF(L705&lt;&gt;"",1,0)</x:f>
        <x:v>1</x:v>
      </x:c>
      <x:c r="O705" s="14" t="str">
        <x:f>IF(E705="","MISSING MAIN",IF(N705=1,"MAIN ONLY","MULTI-PHOTO"))</x:f>
        <x:v>MAIN ONLY</x:v>
      </x:c>
      <x:c r="P705" s="14" t="str">
        <x:v>0797_</x:v>
      </x:c>
      <x:c r="Q705" s="14" t="str">
        <x:v>https://mb1advancedsolutions.github.io/mb1-catalog/index.html?design=0797</x:v>
      </x:c>
      <x:c r="R705" s="14" t="str"/>
    </x:row>
    <x:row r="706">
      <x:c r="A706" s="13" t="str">
        <x:v>MB1-0798</x:v>
      </x:c>
      <x:c r="B706" s="13" t="str">
        <x:v>MB1-0798</x:v>
      </x:c>
      <x:c r="C706" s="14" t="str">
        <x:v>Split Letter Monogram 8</x:v>
      </x:c>
      <x:c r="D706" s="14" t="str">
        <x:v>family &amp; name</x:v>
      </x:c>
      <x:c r="E706" s="14" t="str">
        <x:v>https://res.cloudinary.com/oxygre42/image/upload/f_auto,q_auto,c_pad,b_white,w_1200,h_1200/v1788350092/0798_Split_Letter_Monogram_8.png</x:v>
      </x:c>
      <x:c r="F706" s="14" t="str"/>
      <x:c r="G706" s="14" t="str">
        <x:v>Lifestyle</x:v>
      </x:c>
      <x:c r="H706" s="14" t="str"/>
      <x:c r="I706" s="14" t="str">
        <x:v>Detail</x:v>
      </x:c>
      <x:c r="J706" s="14" t="str"/>
      <x:c r="K706" s="14" t="str">
        <x:v>Scale</x:v>
      </x:c>
      <x:c r="L706" s="14" t="str"/>
      <x:c r="M706" s="14" t="str">
        <x:v>Alternate</x:v>
      </x:c>
      <x:c r="N706" s="14" t="n">
        <x:f>IF(E706&lt;&gt;"",1,0)+IF(F706&lt;&gt;"",1,0)+IF(H706&lt;&gt;"",1,0)+IF(J706&lt;&gt;"",1,0)+IF(L706&lt;&gt;"",1,0)</x:f>
        <x:v>1</x:v>
      </x:c>
      <x:c r="O706" s="14" t="str">
        <x:f>IF(E706="","MISSING MAIN",IF(N706=1,"MAIN ONLY","MULTI-PHOTO"))</x:f>
        <x:v>MAIN ONLY</x:v>
      </x:c>
      <x:c r="P706" s="14" t="str">
        <x:v>0798_</x:v>
      </x:c>
      <x:c r="Q706" s="14" t="str">
        <x:v>https://mb1advancedsolutions.github.io/mb1-catalog/index.html?design=0798</x:v>
      </x:c>
      <x:c r="R706" s="14" t="str"/>
    </x:row>
    <x:row r="707">
      <x:c r="A707" s="13" t="str">
        <x:v>MB1-0799</x:v>
      </x:c>
      <x:c r="B707" s="13" t="str">
        <x:v>MB1-0799</x:v>
      </x:c>
      <x:c r="C707" s="14" t="str">
        <x:v>Split Letter Monogram 9</x:v>
      </x:c>
      <x:c r="D707" s="14" t="str">
        <x:v>family &amp; name</x:v>
      </x:c>
      <x:c r="E707" s="14" t="str">
        <x:v>https://res.cloudinary.com/oxygre42/image/upload/f_auto,q_auto,c_pad,b_white,w_1200,h_1200/v1788350093/0799_Split_Letter_Monogram_9.png</x:v>
      </x:c>
      <x:c r="F707" s="14" t="str"/>
      <x:c r="G707" s="14" t="str">
        <x:v>Lifestyle</x:v>
      </x:c>
      <x:c r="H707" s="14" t="str"/>
      <x:c r="I707" s="14" t="str">
        <x:v>Detail</x:v>
      </x:c>
      <x:c r="J707" s="14" t="str"/>
      <x:c r="K707" s="14" t="str">
        <x:v>Scale</x:v>
      </x:c>
      <x:c r="L707" s="14" t="str"/>
      <x:c r="M707" s="14" t="str">
        <x:v>Alternate</x:v>
      </x:c>
      <x:c r="N707" s="14" t="n">
        <x:f>IF(E707&lt;&gt;"",1,0)+IF(F707&lt;&gt;"",1,0)+IF(H707&lt;&gt;"",1,0)+IF(J707&lt;&gt;"",1,0)+IF(L707&lt;&gt;"",1,0)</x:f>
        <x:v>1</x:v>
      </x:c>
      <x:c r="O707" s="14" t="str">
        <x:f>IF(E707="","MISSING MAIN",IF(N707=1,"MAIN ONLY","MULTI-PHOTO"))</x:f>
        <x:v>MAIN ONLY</x:v>
      </x:c>
      <x:c r="P707" s="14" t="str">
        <x:v>0799_</x:v>
      </x:c>
      <x:c r="Q707" s="14" t="str">
        <x:v>https://mb1advancedsolutions.github.io/mb1-catalog/index.html?design=0799</x:v>
      </x:c>
      <x:c r="R707" s="14" t="str"/>
    </x:row>
    <x:row r="708">
      <x:c r="A708" s="13" t="str">
        <x:v>MB1-0800</x:v>
      </x:c>
      <x:c r="B708" s="13" t="str">
        <x:v>MB1-0800</x:v>
      </x:c>
      <x:c r="C708" s="14" t="str">
        <x:v>moon and back 1</x:v>
      </x:c>
      <x:c r="D708" s="14" t="str">
        <x:v>home decor and inspirational</x:v>
      </x:c>
      <x:c r="E708" s="14" t="str">
        <x:v>https://res.cloudinary.com/oxygre42/image/upload/f_auto,q_auto,c_pad,b_white,w_1200,h_1200/v1788350095/0800_moon_and_back_1.png</x:v>
      </x:c>
      <x:c r="F708" s="14" t="str"/>
      <x:c r="G708" s="14" t="str">
        <x:v>Lifestyle</x:v>
      </x:c>
      <x:c r="H708" s="14" t="str"/>
      <x:c r="I708" s="14" t="str">
        <x:v>Detail</x:v>
      </x:c>
      <x:c r="J708" s="14" t="str"/>
      <x:c r="K708" s="14" t="str">
        <x:v>Scale</x:v>
      </x:c>
      <x:c r="L708" s="14" t="str"/>
      <x:c r="M708" s="14" t="str">
        <x:v>Alternate</x:v>
      </x:c>
      <x:c r="N708" s="14" t="n">
        <x:f>IF(E708&lt;&gt;"",1,0)+IF(F708&lt;&gt;"",1,0)+IF(H708&lt;&gt;"",1,0)+IF(J708&lt;&gt;"",1,0)+IF(L708&lt;&gt;"",1,0)</x:f>
        <x:v>1</x:v>
      </x:c>
      <x:c r="O708" s="14" t="str">
        <x:f>IF(E708="","MISSING MAIN",IF(N708=1,"MAIN ONLY","MULTI-PHOTO"))</x:f>
        <x:v>MAIN ONLY</x:v>
      </x:c>
      <x:c r="P708" s="14" t="str">
        <x:v>0800_</x:v>
      </x:c>
      <x:c r="Q708" s="14" t="str">
        <x:v>https://mb1advancedsolutions.github.io/mb1-catalog/index.html?design=0800</x:v>
      </x:c>
      <x:c r="R708" s="14" t="str"/>
    </x:row>
    <x:row r="709">
      <x:c r="A709" s="13" t="str">
        <x:v>MB1-0801</x:v>
      </x:c>
      <x:c r="B709" s="13" t="str">
        <x:v>MB1-0801</x:v>
      </x:c>
      <x:c r="C709" s="14" t="str">
        <x:v>moon and back 2</x:v>
      </x:c>
      <x:c r="D709" s="14" t="str">
        <x:v>home decor and inspirational</x:v>
      </x:c>
      <x:c r="E709" s="14" t="str">
        <x:v>https://res.cloudinary.com/oxygre42/image/upload/f_auto,q_auto,c_pad,b_white,w_1200,h_1200/v1788350097/0801_moon_and_back_2.png</x:v>
      </x:c>
      <x:c r="F709" s="14" t="str"/>
      <x:c r="G709" s="14" t="str">
        <x:v>Lifestyle</x:v>
      </x:c>
      <x:c r="H709" s="14" t="str"/>
      <x:c r="I709" s="14" t="str">
        <x:v>Detail</x:v>
      </x:c>
      <x:c r="J709" s="14" t="str"/>
      <x:c r="K709" s="14" t="str">
        <x:v>Scale</x:v>
      </x:c>
      <x:c r="L709" s="14" t="str"/>
      <x:c r="M709" s="14" t="str">
        <x:v>Alternate</x:v>
      </x:c>
      <x:c r="N709" s="14" t="n">
        <x:f>IF(E709&lt;&gt;"",1,0)+IF(F709&lt;&gt;"",1,0)+IF(H709&lt;&gt;"",1,0)+IF(J709&lt;&gt;"",1,0)+IF(L709&lt;&gt;"",1,0)</x:f>
        <x:v>1</x:v>
      </x:c>
      <x:c r="O709" s="14" t="str">
        <x:f>IF(E709="","MISSING MAIN",IF(N709=1,"MAIN ONLY","MULTI-PHOTO"))</x:f>
        <x:v>MAIN ONLY</x:v>
      </x:c>
      <x:c r="P709" s="14" t="str">
        <x:v>0801_</x:v>
      </x:c>
      <x:c r="Q709" s="14" t="str">
        <x:v>https://mb1advancedsolutions.github.io/mb1-catalog/index.html?design=0801</x:v>
      </x:c>
      <x:c r="R709" s="14" t="str"/>
    </x:row>
    <x:row r="710">
      <x:c r="A710" s="13" t="str">
        <x:v>MB1-0802</x:v>
      </x:c>
      <x:c r="B710" s="13" t="str">
        <x:v>MB1-0802</x:v>
      </x:c>
      <x:c r="C710" s="14" t="str">
        <x:v>moon and back 3</x:v>
      </x:c>
      <x:c r="D710" s="14" t="str">
        <x:v>home decor and inspirational</x:v>
      </x:c>
      <x:c r="E710" s="14" t="str">
        <x:v>https://res.cloudinary.com/oxygre42/image/upload/f_auto,q_auto,c_pad,b_white,w_1200,h_1200/v1788350099/0802_moon_and_back_3.png</x:v>
      </x:c>
      <x:c r="F710" s="14" t="str"/>
      <x:c r="G710" s="14" t="str">
        <x:v>Lifestyle</x:v>
      </x:c>
      <x:c r="H710" s="14" t="str"/>
      <x:c r="I710" s="14" t="str">
        <x:v>Detail</x:v>
      </x:c>
      <x:c r="J710" s="14" t="str"/>
      <x:c r="K710" s="14" t="str">
        <x:v>Scale</x:v>
      </x:c>
      <x:c r="L710" s="14" t="str"/>
      <x:c r="M710" s="14" t="str">
        <x:v>Alternate</x:v>
      </x:c>
      <x:c r="N710" s="14" t="n">
        <x:f>IF(E710&lt;&gt;"",1,0)+IF(F710&lt;&gt;"",1,0)+IF(H710&lt;&gt;"",1,0)+IF(J710&lt;&gt;"",1,0)+IF(L710&lt;&gt;"",1,0)</x:f>
        <x:v>1</x:v>
      </x:c>
      <x:c r="O710" s="14" t="str">
        <x:f>IF(E710="","MISSING MAIN",IF(N710=1,"MAIN ONLY","MULTI-PHOTO"))</x:f>
        <x:v>MAIN ONLY</x:v>
      </x:c>
      <x:c r="P710" s="14" t="str">
        <x:v>0802_</x:v>
      </x:c>
      <x:c r="Q710" s="14" t="str">
        <x:v>https://mb1advancedsolutions.github.io/mb1-catalog/index.html?design=0802</x:v>
      </x:c>
      <x:c r="R710" s="14" t="str"/>
    </x:row>
    <x:row r="711">
      <x:c r="A711" s="13" t="str">
        <x:v>MB1-0803</x:v>
      </x:c>
      <x:c r="B711" s="13" t="str">
        <x:v>MB1-0803</x:v>
      </x:c>
      <x:c r="C711" s="14" t="str">
        <x:v>moon and back 4</x:v>
      </x:c>
      <x:c r="D711" s="14" t="str">
        <x:v>home decor and inspirational</x:v>
      </x:c>
      <x:c r="E711" s="14" t="str">
        <x:v>https://res.cloudinary.com/oxygre42/image/upload/f_auto,q_auto,c_pad,b_white,w_1200,h_1200/v1788350101/0803_moon_and_back_4.png</x:v>
      </x:c>
      <x:c r="F711" s="14" t="str"/>
      <x:c r="G711" s="14" t="str">
        <x:v>Lifestyle</x:v>
      </x:c>
      <x:c r="H711" s="14" t="str"/>
      <x:c r="I711" s="14" t="str">
        <x:v>Detail</x:v>
      </x:c>
      <x:c r="J711" s="14" t="str"/>
      <x:c r="K711" s="14" t="str">
        <x:v>Scale</x:v>
      </x:c>
      <x:c r="L711" s="14" t="str"/>
      <x:c r="M711" s="14" t="str">
        <x:v>Alternate</x:v>
      </x:c>
      <x:c r="N711" s="14" t="n">
        <x:f>IF(E711&lt;&gt;"",1,0)+IF(F711&lt;&gt;"",1,0)+IF(H711&lt;&gt;"",1,0)+IF(J711&lt;&gt;"",1,0)+IF(L711&lt;&gt;"",1,0)</x:f>
        <x:v>1</x:v>
      </x:c>
      <x:c r="O711" s="14" t="str">
        <x:f>IF(E711="","MISSING MAIN",IF(N711=1,"MAIN ONLY","MULTI-PHOTO"))</x:f>
        <x:v>MAIN ONLY</x:v>
      </x:c>
      <x:c r="P711" s="14" t="str">
        <x:v>0803_</x:v>
      </x:c>
      <x:c r="Q711" s="14" t="str">
        <x:v>https://mb1advancedsolutions.github.io/mb1-catalog/index.html?design=0803</x:v>
      </x:c>
      <x:c r="R711" s="14" t="str"/>
    </x:row>
    <x:row r="712">
      <x:c r="A712" s="13" t="str">
        <x:v>MB1-0804</x:v>
      </x:c>
      <x:c r="B712" s="13" t="str">
        <x:v>MB1-0804</x:v>
      </x:c>
      <x:c r="C712" s="14" t="str">
        <x:v>moon and back 5</x:v>
      </x:c>
      <x:c r="D712" s="14" t="str">
        <x:v>home decor and inspirational</x:v>
      </x:c>
      <x:c r="E712" s="14" t="str">
        <x:v>https://res.cloudinary.com/oxygre42/image/upload/f_auto,q_auto,c_pad,b_white,w_1200,h_1200/v1788350103/0804_moon_and_back_5.png</x:v>
      </x:c>
      <x:c r="F712" s="14" t="str"/>
      <x:c r="G712" s="14" t="str">
        <x:v>Lifestyle</x:v>
      </x:c>
      <x:c r="H712" s="14" t="str"/>
      <x:c r="I712" s="14" t="str">
        <x:v>Detail</x:v>
      </x:c>
      <x:c r="J712" s="14" t="str"/>
      <x:c r="K712" s="14" t="str">
        <x:v>Scale</x:v>
      </x:c>
      <x:c r="L712" s="14" t="str"/>
      <x:c r="M712" s="14" t="str">
        <x:v>Alternate</x:v>
      </x:c>
      <x:c r="N712" s="14" t="n">
        <x:f>IF(E712&lt;&gt;"",1,0)+IF(F712&lt;&gt;"",1,0)+IF(H712&lt;&gt;"",1,0)+IF(J712&lt;&gt;"",1,0)+IF(L712&lt;&gt;"",1,0)</x:f>
        <x:v>1</x:v>
      </x:c>
      <x:c r="O712" s="14" t="str">
        <x:f>IF(E712="","MISSING MAIN",IF(N712=1,"MAIN ONLY","MULTI-PHOTO"))</x:f>
        <x:v>MAIN ONLY</x:v>
      </x:c>
      <x:c r="P712" s="14" t="str">
        <x:v>0804_</x:v>
      </x:c>
      <x:c r="Q712" s="14" t="str">
        <x:v>https://mb1advancedsolutions.github.io/mb1-catalog/index.html?design=0804</x:v>
      </x:c>
      <x:c r="R712" s="14" t="str"/>
    </x:row>
    <x:row r="713">
      <x:c r="A713" s="13" t="str">
        <x:v>MB1-0805</x:v>
      </x:c>
      <x:c r="B713" s="13" t="str">
        <x:v>MB1-0805</x:v>
      </x:c>
      <x:c r="C713" s="14" t="str">
        <x:v>moon and back 6</x:v>
      </x:c>
      <x:c r="D713" s="14" t="str">
        <x:v>home decor and inspirational</x:v>
      </x:c>
      <x:c r="E713" s="14" t="str">
        <x:v>https://res.cloudinary.com/oxygre42/image/upload/f_auto,q_auto,c_pad,b_white,w_1200,h_1200/v1788350105/0805_moon_and_back_6.png</x:v>
      </x:c>
      <x:c r="F713" s="14" t="str"/>
      <x:c r="G713" s="14" t="str">
        <x:v>Lifestyle</x:v>
      </x:c>
      <x:c r="H713" s="14" t="str"/>
      <x:c r="I713" s="14" t="str">
        <x:v>Detail</x:v>
      </x:c>
      <x:c r="J713" s="14" t="str"/>
      <x:c r="K713" s="14" t="str">
        <x:v>Scale</x:v>
      </x:c>
      <x:c r="L713" s="14" t="str"/>
      <x:c r="M713" s="14" t="str">
        <x:v>Alternate</x:v>
      </x:c>
      <x:c r="N713" s="14" t="n">
        <x:f>IF(E713&lt;&gt;"",1,0)+IF(F713&lt;&gt;"",1,0)+IF(H713&lt;&gt;"",1,0)+IF(J713&lt;&gt;"",1,0)+IF(L713&lt;&gt;"",1,0)</x:f>
        <x:v>1</x:v>
      </x:c>
      <x:c r="O713" s="14" t="str">
        <x:f>IF(E713="","MISSING MAIN",IF(N713=1,"MAIN ONLY","MULTI-PHOTO"))</x:f>
        <x:v>MAIN ONLY</x:v>
      </x:c>
      <x:c r="P713" s="14" t="str">
        <x:v>0805_</x:v>
      </x:c>
      <x:c r="Q713" s="14" t="str">
        <x:v>https://mb1advancedsolutions.github.io/mb1-catalog/index.html?design=0805</x:v>
      </x:c>
      <x:c r="R713" s="14" t="str"/>
    </x:row>
    <x:row r="714">
      <x:c r="A714" s="13" t="str">
        <x:v>MB1-0806</x:v>
      </x:c>
      <x:c r="B714" s="13" t="str">
        <x:v>MB1-0806</x:v>
      </x:c>
      <x:c r="C714" s="14" t="str">
        <x:v>moon and back 7</x:v>
      </x:c>
      <x:c r="D714" s="14" t="str">
        <x:v>home decor and inspirational</x:v>
      </x:c>
      <x:c r="E714" s="14" t="str">
        <x:v>https://res.cloudinary.com/oxygre42/image/upload/f_auto,q_auto,c_pad,b_white,w_1200,h_1200/v1788350107/0806_moon_and_back_7.png</x:v>
      </x:c>
      <x:c r="F714" s="14" t="str"/>
      <x:c r="G714" s="14" t="str">
        <x:v>Lifestyle</x:v>
      </x:c>
      <x:c r="H714" s="14" t="str"/>
      <x:c r="I714" s="14" t="str">
        <x:v>Detail</x:v>
      </x:c>
      <x:c r="J714" s="14" t="str"/>
      <x:c r="K714" s="14" t="str">
        <x:v>Scale</x:v>
      </x:c>
      <x:c r="L714" s="14" t="str"/>
      <x:c r="M714" s="14" t="str">
        <x:v>Alternate</x:v>
      </x:c>
      <x:c r="N714" s="14" t="n">
        <x:f>IF(E714&lt;&gt;"",1,0)+IF(F714&lt;&gt;"",1,0)+IF(H714&lt;&gt;"",1,0)+IF(J714&lt;&gt;"",1,0)+IF(L714&lt;&gt;"",1,0)</x:f>
        <x:v>1</x:v>
      </x:c>
      <x:c r="O714" s="14" t="str">
        <x:f>IF(E714="","MISSING MAIN",IF(N714=1,"MAIN ONLY","MULTI-PHOTO"))</x:f>
        <x:v>MAIN ONLY</x:v>
      </x:c>
      <x:c r="P714" s="14" t="str">
        <x:v>0806_</x:v>
      </x:c>
      <x:c r="Q714" s="14" t="str">
        <x:v>https://mb1advancedsolutions.github.io/mb1-catalog/index.html?design=0806</x:v>
      </x:c>
      <x:c r="R714" s="14" t="str"/>
    </x:row>
    <x:row r="715">
      <x:c r="A715" s="13" t="str">
        <x:v>MB1-0807</x:v>
      </x:c>
      <x:c r="B715" s="13" t="str">
        <x:v>MB1-0807</x:v>
      </x:c>
      <x:c r="C715" s="14" t="str">
        <x:v>moon and back 8</x:v>
      </x:c>
      <x:c r="D715" s="14" t="str">
        <x:v>home decor and inspirational</x:v>
      </x:c>
      <x:c r="E715" s="14" t="str">
        <x:v>https://res.cloudinary.com/oxygre42/image/upload/f_auto,q_auto,c_pad,b_white,w_1200,h_1200/v1788350108/0807_moon_and_back_8.png</x:v>
      </x:c>
      <x:c r="F715" s="14" t="str"/>
      <x:c r="G715" s="14" t="str">
        <x:v>Lifestyle</x:v>
      </x:c>
      <x:c r="H715" s="14" t="str"/>
      <x:c r="I715" s="14" t="str">
        <x:v>Detail</x:v>
      </x:c>
      <x:c r="J715" s="14" t="str"/>
      <x:c r="K715" s="14" t="str">
        <x:v>Scale</x:v>
      </x:c>
      <x:c r="L715" s="14" t="str"/>
      <x:c r="M715" s="14" t="str">
        <x:v>Alternate</x:v>
      </x:c>
      <x:c r="N715" s="14" t="n">
        <x:f>IF(E715&lt;&gt;"",1,0)+IF(F715&lt;&gt;"",1,0)+IF(H715&lt;&gt;"",1,0)+IF(J715&lt;&gt;"",1,0)+IF(L715&lt;&gt;"",1,0)</x:f>
        <x:v>1</x:v>
      </x:c>
      <x:c r="O715" s="14" t="str">
        <x:f>IF(E715="","MISSING MAIN",IF(N715=1,"MAIN ONLY","MULTI-PHOTO"))</x:f>
        <x:v>MAIN ONLY</x:v>
      </x:c>
      <x:c r="P715" s="14" t="str">
        <x:v>0807_</x:v>
      </x:c>
      <x:c r="Q715" s="14" t="str">
        <x:v>https://mb1advancedsolutions.github.io/mb1-catalog/index.html?design=0807</x:v>
      </x:c>
      <x:c r="R715" s="14" t="str"/>
    </x:row>
    <x:row r="716">
      <x:c r="A716" s="13" t="str">
        <x:v>MB1-0808</x:v>
      </x:c>
      <x:c r="B716" s="13" t="str">
        <x:v>MB1-0808</x:v>
      </x:c>
      <x:c r="C716" s="14" t="str">
        <x:v>MOTHER 1</x:v>
      </x:c>
      <x:c r="D716" s="14" t="str">
        <x:v>family &amp; name</x:v>
      </x:c>
      <x:c r="E716" s="14" t="str">
        <x:v>https://res.cloudinary.com/oxygre42/image/upload/f_auto,q_auto,c_pad,b_white,w_1200,h_1200/v1788350110/0808_MOTHER_1.png</x:v>
      </x:c>
      <x:c r="F716" s="14" t="str"/>
      <x:c r="G716" s="14" t="str">
        <x:v>Lifestyle</x:v>
      </x:c>
      <x:c r="H716" s="14" t="str"/>
      <x:c r="I716" s="14" t="str">
        <x:v>Detail</x:v>
      </x:c>
      <x:c r="J716" s="14" t="str"/>
      <x:c r="K716" s="14" t="str">
        <x:v>Scale</x:v>
      </x:c>
      <x:c r="L716" s="14" t="str"/>
      <x:c r="M716" s="14" t="str">
        <x:v>Alternate</x:v>
      </x:c>
      <x:c r="N716" s="14" t="n">
        <x:f>IF(E716&lt;&gt;"",1,0)+IF(F716&lt;&gt;"",1,0)+IF(H716&lt;&gt;"",1,0)+IF(J716&lt;&gt;"",1,0)+IF(L716&lt;&gt;"",1,0)</x:f>
        <x:v>1</x:v>
      </x:c>
      <x:c r="O716" s="14" t="str">
        <x:f>IF(E716="","MISSING MAIN",IF(N716=1,"MAIN ONLY","MULTI-PHOTO"))</x:f>
        <x:v>MAIN ONLY</x:v>
      </x:c>
      <x:c r="P716" s="14" t="str">
        <x:v>0808_</x:v>
      </x:c>
      <x:c r="Q716" s="14" t="str">
        <x:v>https://mb1advancedsolutions.github.io/mb1-catalog/index.html?design=0808</x:v>
      </x:c>
      <x:c r="R716" s="14" t="str"/>
    </x:row>
    <x:row r="717">
      <x:c r="A717" s="13" t="str">
        <x:v>MB1-0809</x:v>
      </x:c>
      <x:c r="B717" s="13" t="str">
        <x:v>MB1-0809</x:v>
      </x:c>
      <x:c r="C717" s="14" t="str">
        <x:v>MOTHER 10</x:v>
      </x:c>
      <x:c r="D717" s="14" t="str">
        <x:v>family &amp; name</x:v>
      </x:c>
      <x:c r="E717" s="14" t="str">
        <x:v>https://res.cloudinary.com/oxygre42/image/upload/f_auto,q_auto,c_pad,b_white,w_1200,h_1200/v1788350112/0809_MOTHER_10.png</x:v>
      </x:c>
      <x:c r="F717" s="14" t="str"/>
      <x:c r="G717" s="14" t="str">
        <x:v>Lifestyle</x:v>
      </x:c>
      <x:c r="H717" s="14" t="str"/>
      <x:c r="I717" s="14" t="str">
        <x:v>Detail</x:v>
      </x:c>
      <x:c r="J717" s="14" t="str"/>
      <x:c r="K717" s="14" t="str">
        <x:v>Scale</x:v>
      </x:c>
      <x:c r="L717" s="14" t="str"/>
      <x:c r="M717" s="14" t="str">
        <x:v>Alternate</x:v>
      </x:c>
      <x:c r="N717" s="14" t="n">
        <x:f>IF(E717&lt;&gt;"",1,0)+IF(F717&lt;&gt;"",1,0)+IF(H717&lt;&gt;"",1,0)+IF(J717&lt;&gt;"",1,0)+IF(L717&lt;&gt;"",1,0)</x:f>
        <x:v>1</x:v>
      </x:c>
      <x:c r="O717" s="14" t="str">
        <x:f>IF(E717="","MISSING MAIN",IF(N717=1,"MAIN ONLY","MULTI-PHOTO"))</x:f>
        <x:v>MAIN ONLY</x:v>
      </x:c>
      <x:c r="P717" s="14" t="str">
        <x:v>0809_</x:v>
      </x:c>
      <x:c r="Q717" s="14" t="str">
        <x:v>https://mb1advancedsolutions.github.io/mb1-catalog/index.html?design=0809</x:v>
      </x:c>
      <x:c r="R717" s="14" t="str"/>
    </x:row>
    <x:row r="718">
      <x:c r="A718" s="13" t="str">
        <x:v>MB1-0810</x:v>
      </x:c>
      <x:c r="B718" s="13" t="str">
        <x:v>MB1-0810</x:v>
      </x:c>
      <x:c r="C718" s="14" t="str">
        <x:v>MOTHER 11</x:v>
      </x:c>
      <x:c r="D718" s="14" t="str">
        <x:v>family &amp; name</x:v>
      </x:c>
      <x:c r="E718" s="14" t="str">
        <x:v>https://res.cloudinary.com/oxygre42/image/upload/f_auto,q_auto,c_pad,b_white,w_1200,h_1200/v1788350114/0810_MOTHER_11.png</x:v>
      </x:c>
      <x:c r="F718" s="14" t="str"/>
      <x:c r="G718" s="14" t="str">
        <x:v>Lifestyle</x:v>
      </x:c>
      <x:c r="H718" s="14" t="str"/>
      <x:c r="I718" s="14" t="str">
        <x:v>Detail</x:v>
      </x:c>
      <x:c r="J718" s="14" t="str"/>
      <x:c r="K718" s="14" t="str">
        <x:v>Scale</x:v>
      </x:c>
      <x:c r="L718" s="14" t="str"/>
      <x:c r="M718" s="14" t="str">
        <x:v>Alternate</x:v>
      </x:c>
      <x:c r="N718" s="14" t="n">
        <x:f>IF(E718&lt;&gt;"",1,0)+IF(F718&lt;&gt;"",1,0)+IF(H718&lt;&gt;"",1,0)+IF(J718&lt;&gt;"",1,0)+IF(L718&lt;&gt;"",1,0)</x:f>
        <x:v>1</x:v>
      </x:c>
      <x:c r="O718" s="14" t="str">
        <x:f>IF(E718="","MISSING MAIN",IF(N718=1,"MAIN ONLY","MULTI-PHOTO"))</x:f>
        <x:v>MAIN ONLY</x:v>
      </x:c>
      <x:c r="P718" s="14" t="str">
        <x:v>0810_</x:v>
      </x:c>
      <x:c r="Q718" s="14" t="str">
        <x:v>https://mb1advancedsolutions.github.io/mb1-catalog/index.html?design=0810</x:v>
      </x:c>
      <x:c r="R718" s="14" t="str"/>
    </x:row>
    <x:row r="719">
      <x:c r="A719" s="13" t="str">
        <x:v>MB1-0811</x:v>
      </x:c>
      <x:c r="B719" s="13" t="str">
        <x:v>MB1-0811</x:v>
      </x:c>
      <x:c r="C719" s="14" t="str">
        <x:v>MOTHER 12</x:v>
      </x:c>
      <x:c r="D719" s="14" t="str">
        <x:v>family &amp; name</x:v>
      </x:c>
      <x:c r="E719" s="14" t="str">
        <x:v>https://res.cloudinary.com/oxygre42/image/upload/f_auto,q_auto,c_pad,b_white,w_1200,h_1200/v1788350116/0811_MOTHER_12.png</x:v>
      </x:c>
      <x:c r="F719" s="14" t="str"/>
      <x:c r="G719" s="14" t="str">
        <x:v>Lifestyle</x:v>
      </x:c>
      <x:c r="H719" s="14" t="str"/>
      <x:c r="I719" s="14" t="str">
        <x:v>Detail</x:v>
      </x:c>
      <x:c r="J719" s="14" t="str"/>
      <x:c r="K719" s="14" t="str">
        <x:v>Scale</x:v>
      </x:c>
      <x:c r="L719" s="14" t="str"/>
      <x:c r="M719" s="14" t="str">
        <x:v>Alternate</x:v>
      </x:c>
      <x:c r="N719" s="14" t="n">
        <x:f>IF(E719&lt;&gt;"",1,0)+IF(F719&lt;&gt;"",1,0)+IF(H719&lt;&gt;"",1,0)+IF(J719&lt;&gt;"",1,0)+IF(L719&lt;&gt;"",1,0)</x:f>
        <x:v>1</x:v>
      </x:c>
      <x:c r="O719" s="14" t="str">
        <x:f>IF(E719="","MISSING MAIN",IF(N719=1,"MAIN ONLY","MULTI-PHOTO"))</x:f>
        <x:v>MAIN ONLY</x:v>
      </x:c>
      <x:c r="P719" s="14" t="str">
        <x:v>0811_</x:v>
      </x:c>
      <x:c r="Q719" s="14" t="str">
        <x:v>https://mb1advancedsolutions.github.io/mb1-catalog/index.html?design=0811</x:v>
      </x:c>
      <x:c r="R719" s="14" t="str"/>
    </x:row>
    <x:row r="720">
      <x:c r="A720" s="13" t="str">
        <x:v>MB1-0812</x:v>
      </x:c>
      <x:c r="B720" s="13" t="str">
        <x:v>MB1-0812</x:v>
      </x:c>
      <x:c r="C720" s="14" t="str">
        <x:v>MOTHER 13</x:v>
      </x:c>
      <x:c r="D720" s="14" t="str">
        <x:v>family &amp; name</x:v>
      </x:c>
      <x:c r="E720" s="14" t="str">
        <x:v>https://res.cloudinary.com/oxygre42/image/upload/f_auto,q_auto,c_pad,b_white,w_1200,h_1200/v1788350118/0812_MOTHER_13.png</x:v>
      </x:c>
      <x:c r="F720" s="14" t="str"/>
      <x:c r="G720" s="14" t="str">
        <x:v>Lifestyle</x:v>
      </x:c>
      <x:c r="H720" s="14" t="str"/>
      <x:c r="I720" s="14" t="str">
        <x:v>Detail</x:v>
      </x:c>
      <x:c r="J720" s="14" t="str"/>
      <x:c r="K720" s="14" t="str">
        <x:v>Scale</x:v>
      </x:c>
      <x:c r="L720" s="14" t="str"/>
      <x:c r="M720" s="14" t="str">
        <x:v>Alternate</x:v>
      </x:c>
      <x:c r="N720" s="14" t="n">
        <x:f>IF(E720&lt;&gt;"",1,0)+IF(F720&lt;&gt;"",1,0)+IF(H720&lt;&gt;"",1,0)+IF(J720&lt;&gt;"",1,0)+IF(L720&lt;&gt;"",1,0)</x:f>
        <x:v>1</x:v>
      </x:c>
      <x:c r="O720" s="14" t="str">
        <x:f>IF(E720="","MISSING MAIN",IF(N720=1,"MAIN ONLY","MULTI-PHOTO"))</x:f>
        <x:v>MAIN ONLY</x:v>
      </x:c>
      <x:c r="P720" s="14" t="str">
        <x:v>0812_</x:v>
      </x:c>
      <x:c r="Q720" s="14" t="str">
        <x:v>https://mb1advancedsolutions.github.io/mb1-catalog/index.html?design=0812</x:v>
      </x:c>
      <x:c r="R720" s="14" t="str"/>
    </x:row>
    <x:row r="721">
      <x:c r="A721" s="13" t="str">
        <x:v>MB1-0813</x:v>
      </x:c>
      <x:c r="B721" s="13" t="str">
        <x:v>MB1-0813</x:v>
      </x:c>
      <x:c r="C721" s="14" t="str">
        <x:v>MOTHER 14</x:v>
      </x:c>
      <x:c r="D721" s="14" t="str">
        <x:v>family &amp; name</x:v>
      </x:c>
      <x:c r="E721" s="14" t="str">
        <x:v>https://res.cloudinary.com/oxygre42/image/upload/f_auto,q_auto,c_pad,b_white,w_1200,h_1200/v1788350120/0813_MOTHER_14.png</x:v>
      </x:c>
      <x:c r="F721" s="14" t="str"/>
      <x:c r="G721" s="14" t="str">
        <x:v>Lifestyle</x:v>
      </x:c>
      <x:c r="H721" s="14" t="str"/>
      <x:c r="I721" s="14" t="str">
        <x:v>Detail</x:v>
      </x:c>
      <x:c r="J721" s="14" t="str"/>
      <x:c r="K721" s="14" t="str">
        <x:v>Scale</x:v>
      </x:c>
      <x:c r="L721" s="14" t="str"/>
      <x:c r="M721" s="14" t="str">
        <x:v>Alternate</x:v>
      </x:c>
      <x:c r="N721" s="14" t="n">
        <x:f>IF(E721&lt;&gt;"",1,0)+IF(F721&lt;&gt;"",1,0)+IF(H721&lt;&gt;"",1,0)+IF(J721&lt;&gt;"",1,0)+IF(L721&lt;&gt;"",1,0)</x:f>
        <x:v>1</x:v>
      </x:c>
      <x:c r="O721" s="14" t="str">
        <x:f>IF(E721="","MISSING MAIN",IF(N721=1,"MAIN ONLY","MULTI-PHOTO"))</x:f>
        <x:v>MAIN ONLY</x:v>
      </x:c>
      <x:c r="P721" s="14" t="str">
        <x:v>0813_</x:v>
      </x:c>
      <x:c r="Q721" s="14" t="str">
        <x:v>https://mb1advancedsolutions.github.io/mb1-catalog/index.html?design=0813</x:v>
      </x:c>
      <x:c r="R721" s="14" t="str"/>
    </x:row>
    <x:row r="722">
      <x:c r="A722" s="13" t="str">
        <x:v>MB1-0814</x:v>
      </x:c>
      <x:c r="B722" s="13" t="str">
        <x:v>MB1-0814</x:v>
      </x:c>
      <x:c r="C722" s="14" t="str">
        <x:v>MOTHER 15</x:v>
      </x:c>
      <x:c r="D722" s="14" t="str">
        <x:v>family &amp; name</x:v>
      </x:c>
      <x:c r="E722" s="14" t="str">
        <x:v>https://res.cloudinary.com/oxygre42/image/upload/f_auto,q_auto,c_pad,b_white,w_1200,h_1200/v1788350122/0814_MOTHER_15.png</x:v>
      </x:c>
      <x:c r="F722" s="14" t="str"/>
      <x:c r="G722" s="14" t="str">
        <x:v>Lifestyle</x:v>
      </x:c>
      <x:c r="H722" s="14" t="str"/>
      <x:c r="I722" s="14" t="str">
        <x:v>Detail</x:v>
      </x:c>
      <x:c r="J722" s="14" t="str"/>
      <x:c r="K722" s="14" t="str">
        <x:v>Scale</x:v>
      </x:c>
      <x:c r="L722" s="14" t="str"/>
      <x:c r="M722" s="14" t="str">
        <x:v>Alternate</x:v>
      </x:c>
      <x:c r="N722" s="14" t="n">
        <x:f>IF(E722&lt;&gt;"",1,0)+IF(F722&lt;&gt;"",1,0)+IF(H722&lt;&gt;"",1,0)+IF(J722&lt;&gt;"",1,0)+IF(L722&lt;&gt;"",1,0)</x:f>
        <x:v>1</x:v>
      </x:c>
      <x:c r="O722" s="14" t="str">
        <x:f>IF(E722="","MISSING MAIN",IF(N722=1,"MAIN ONLY","MULTI-PHOTO"))</x:f>
        <x:v>MAIN ONLY</x:v>
      </x:c>
      <x:c r="P722" s="14" t="str">
        <x:v>0814_</x:v>
      </x:c>
      <x:c r="Q722" s="14" t="str">
        <x:v>https://mb1advancedsolutions.github.io/mb1-catalog/index.html?design=0814</x:v>
      </x:c>
      <x:c r="R722" s="14" t="str"/>
    </x:row>
    <x:row r="723">
      <x:c r="A723" s="13" t="str">
        <x:v>MB1-0815</x:v>
      </x:c>
      <x:c r="B723" s="13" t="str">
        <x:v>MB1-0815</x:v>
      </x:c>
      <x:c r="C723" s="14" t="str">
        <x:v>MOTHER 16</x:v>
      </x:c>
      <x:c r="D723" s="14" t="str">
        <x:v>family &amp; name</x:v>
      </x:c>
      <x:c r="E723" s="14" t="str">
        <x:v>https://res.cloudinary.com/oxygre42/image/upload/f_auto,q_auto,c_pad,b_white,w_1200,h_1200/v1788350124/0815_MOTHER_16.png</x:v>
      </x:c>
      <x:c r="F723" s="14" t="str"/>
      <x:c r="G723" s="14" t="str">
        <x:v>Lifestyle</x:v>
      </x:c>
      <x:c r="H723" s="14" t="str"/>
      <x:c r="I723" s="14" t="str">
        <x:v>Detail</x:v>
      </x:c>
      <x:c r="J723" s="14" t="str"/>
      <x:c r="K723" s="14" t="str">
        <x:v>Scale</x:v>
      </x:c>
      <x:c r="L723" s="14" t="str"/>
      <x:c r="M723" s="14" t="str">
        <x:v>Alternate</x:v>
      </x:c>
      <x:c r="N723" s="14" t="n">
        <x:f>IF(E723&lt;&gt;"",1,0)+IF(F723&lt;&gt;"",1,0)+IF(H723&lt;&gt;"",1,0)+IF(J723&lt;&gt;"",1,0)+IF(L723&lt;&gt;"",1,0)</x:f>
        <x:v>1</x:v>
      </x:c>
      <x:c r="O723" s="14" t="str">
        <x:f>IF(E723="","MISSING MAIN",IF(N723=1,"MAIN ONLY","MULTI-PHOTO"))</x:f>
        <x:v>MAIN ONLY</x:v>
      </x:c>
      <x:c r="P723" s="14" t="str">
        <x:v>0815_</x:v>
      </x:c>
      <x:c r="Q723" s="14" t="str">
        <x:v>https://mb1advancedsolutions.github.io/mb1-catalog/index.html?design=0815</x:v>
      </x:c>
      <x:c r="R723" s="14" t="str"/>
    </x:row>
    <x:row r="724">
      <x:c r="A724" s="13" t="str">
        <x:v>MB1-0816</x:v>
      </x:c>
      <x:c r="B724" s="13" t="str">
        <x:v>MB1-0816</x:v>
      </x:c>
      <x:c r="C724" s="14" t="str">
        <x:v>MOTHER 17</x:v>
      </x:c>
      <x:c r="D724" s="14" t="str">
        <x:v>family &amp; name</x:v>
      </x:c>
      <x:c r="E724" s="14" t="str">
        <x:v>https://res.cloudinary.com/oxygre42/image/upload/f_auto,q_auto,c_pad,b_white,w_1200,h_1200/v1788350125/0816_MOTHER_17.png</x:v>
      </x:c>
      <x:c r="F724" s="14" t="str"/>
      <x:c r="G724" s="14" t="str">
        <x:v>Lifestyle</x:v>
      </x:c>
      <x:c r="H724" s="14" t="str"/>
      <x:c r="I724" s="14" t="str">
        <x:v>Detail</x:v>
      </x:c>
      <x:c r="J724" s="14" t="str"/>
      <x:c r="K724" s="14" t="str">
        <x:v>Scale</x:v>
      </x:c>
      <x:c r="L724" s="14" t="str"/>
      <x:c r="M724" s="14" t="str">
        <x:v>Alternate</x:v>
      </x:c>
      <x:c r="N724" s="14" t="n">
        <x:f>IF(E724&lt;&gt;"",1,0)+IF(F724&lt;&gt;"",1,0)+IF(H724&lt;&gt;"",1,0)+IF(J724&lt;&gt;"",1,0)+IF(L724&lt;&gt;"",1,0)</x:f>
        <x:v>1</x:v>
      </x:c>
      <x:c r="O724" s="14" t="str">
        <x:f>IF(E724="","MISSING MAIN",IF(N724=1,"MAIN ONLY","MULTI-PHOTO"))</x:f>
        <x:v>MAIN ONLY</x:v>
      </x:c>
      <x:c r="P724" s="14" t="str">
        <x:v>0816_</x:v>
      </x:c>
      <x:c r="Q724" s="14" t="str">
        <x:v>https://mb1advancedsolutions.github.io/mb1-catalog/index.html?design=0816</x:v>
      </x:c>
      <x:c r="R724" s="14" t="str"/>
    </x:row>
    <x:row r="725">
      <x:c r="A725" s="13" t="str">
        <x:v>MB1-0817</x:v>
      </x:c>
      <x:c r="B725" s="13" t="str">
        <x:v>MB1-0817</x:v>
      </x:c>
      <x:c r="C725" s="14" t="str">
        <x:v>MOTHER 18</x:v>
      </x:c>
      <x:c r="D725" s="14" t="str">
        <x:v>family &amp; name</x:v>
      </x:c>
      <x:c r="E725" s="14" t="str">
        <x:v>https://res.cloudinary.com/oxygre42/image/upload/f_auto,q_auto,c_pad,b_white,w_1200,h_1200/v1788350127/0817_MOTHER_18.png</x:v>
      </x:c>
      <x:c r="F725" s="14" t="str"/>
      <x:c r="G725" s="14" t="str">
        <x:v>Lifestyle</x:v>
      </x:c>
      <x:c r="H725" s="14" t="str"/>
      <x:c r="I725" s="14" t="str">
        <x:v>Detail</x:v>
      </x:c>
      <x:c r="J725" s="14" t="str"/>
      <x:c r="K725" s="14" t="str">
        <x:v>Scale</x:v>
      </x:c>
      <x:c r="L725" s="14" t="str"/>
      <x:c r="M725" s="14" t="str">
        <x:v>Alternate</x:v>
      </x:c>
      <x:c r="N725" s="14" t="n">
        <x:f>IF(E725&lt;&gt;"",1,0)+IF(F725&lt;&gt;"",1,0)+IF(H725&lt;&gt;"",1,0)+IF(J725&lt;&gt;"",1,0)+IF(L725&lt;&gt;"",1,0)</x:f>
        <x:v>1</x:v>
      </x:c>
      <x:c r="O725" s="14" t="str">
        <x:f>IF(E725="","MISSING MAIN",IF(N725=1,"MAIN ONLY","MULTI-PHOTO"))</x:f>
        <x:v>MAIN ONLY</x:v>
      </x:c>
      <x:c r="P725" s="14" t="str">
        <x:v>0817_</x:v>
      </x:c>
      <x:c r="Q725" s="14" t="str">
        <x:v>https://mb1advancedsolutions.github.io/mb1-catalog/index.html?design=0817</x:v>
      </x:c>
      <x:c r="R725" s="14" t="str"/>
    </x:row>
    <x:row r="726">
      <x:c r="A726" s="13" t="str">
        <x:v>MB1-0818</x:v>
      </x:c>
      <x:c r="B726" s="13" t="str">
        <x:v>MB1-0818</x:v>
      </x:c>
      <x:c r="C726" s="14" t="str">
        <x:v>MOTHER 2</x:v>
      </x:c>
      <x:c r="D726" s="14" t="str">
        <x:v>family &amp; name</x:v>
      </x:c>
      <x:c r="E726" s="14" t="str">
        <x:v>https://res.cloudinary.com/oxygre42/image/upload/f_auto,q_auto,c_pad,b_white,w_1200,h_1200/v1788350129/0818_MOTHER_2.png</x:v>
      </x:c>
      <x:c r="F726" s="14" t="str"/>
      <x:c r="G726" s="14" t="str">
        <x:v>Lifestyle</x:v>
      </x:c>
      <x:c r="H726" s="14" t="str"/>
      <x:c r="I726" s="14" t="str">
        <x:v>Detail</x:v>
      </x:c>
      <x:c r="J726" s="14" t="str"/>
      <x:c r="K726" s="14" t="str">
        <x:v>Scale</x:v>
      </x:c>
      <x:c r="L726" s="14" t="str"/>
      <x:c r="M726" s="14" t="str">
        <x:v>Alternate</x:v>
      </x:c>
      <x:c r="N726" s="14" t="n">
        <x:f>IF(E726&lt;&gt;"",1,0)+IF(F726&lt;&gt;"",1,0)+IF(H726&lt;&gt;"",1,0)+IF(J726&lt;&gt;"",1,0)+IF(L726&lt;&gt;"",1,0)</x:f>
        <x:v>1</x:v>
      </x:c>
      <x:c r="O726" s="14" t="str">
        <x:f>IF(E726="","MISSING MAIN",IF(N726=1,"MAIN ONLY","MULTI-PHOTO"))</x:f>
        <x:v>MAIN ONLY</x:v>
      </x:c>
      <x:c r="P726" s="14" t="str">
        <x:v>0818_</x:v>
      </x:c>
      <x:c r="Q726" s="14" t="str">
        <x:v>https://mb1advancedsolutions.github.io/mb1-catalog/index.html?design=0818</x:v>
      </x:c>
      <x:c r="R726" s="14" t="str"/>
    </x:row>
    <x:row r="727">
      <x:c r="A727" s="13" t="str">
        <x:v>MB1-0819</x:v>
      </x:c>
      <x:c r="B727" s="13" t="str">
        <x:v>MB1-0819</x:v>
      </x:c>
      <x:c r="C727" s="14" t="str">
        <x:v>MOTHER 3</x:v>
      </x:c>
      <x:c r="D727" s="14" t="str">
        <x:v>family &amp; name</x:v>
      </x:c>
      <x:c r="E727" s="14" t="str">
        <x:v>https://res.cloudinary.com/oxygre42/image/upload/f_auto,q_auto,c_pad,b_white,w_1200,h_1200/v1788350131/0819_MOTHER_3.png</x:v>
      </x:c>
      <x:c r="F727" s="14" t="str"/>
      <x:c r="G727" s="14" t="str">
        <x:v>Lifestyle</x:v>
      </x:c>
      <x:c r="H727" s="14" t="str"/>
      <x:c r="I727" s="14" t="str">
        <x:v>Detail</x:v>
      </x:c>
      <x:c r="J727" s="14" t="str"/>
      <x:c r="K727" s="14" t="str">
        <x:v>Scale</x:v>
      </x:c>
      <x:c r="L727" s="14" t="str"/>
      <x:c r="M727" s="14" t="str">
        <x:v>Alternate</x:v>
      </x:c>
      <x:c r="N727" s="14" t="n">
        <x:f>IF(E727&lt;&gt;"",1,0)+IF(F727&lt;&gt;"",1,0)+IF(H727&lt;&gt;"",1,0)+IF(J727&lt;&gt;"",1,0)+IF(L727&lt;&gt;"",1,0)</x:f>
        <x:v>1</x:v>
      </x:c>
      <x:c r="O727" s="14" t="str">
        <x:f>IF(E727="","MISSING MAIN",IF(N727=1,"MAIN ONLY","MULTI-PHOTO"))</x:f>
        <x:v>MAIN ONLY</x:v>
      </x:c>
      <x:c r="P727" s="14" t="str">
        <x:v>0819_</x:v>
      </x:c>
      <x:c r="Q727" s="14" t="str">
        <x:v>https://mb1advancedsolutions.github.io/mb1-catalog/index.html?design=0819</x:v>
      </x:c>
      <x:c r="R727" s="14" t="str"/>
    </x:row>
    <x:row r="728">
      <x:c r="A728" s="13" t="str">
        <x:v>MB1-0820</x:v>
      </x:c>
      <x:c r="B728" s="13" t="str">
        <x:v>MB1-0820</x:v>
      </x:c>
      <x:c r="C728" s="14" t="str">
        <x:v>MOTHER 4</x:v>
      </x:c>
      <x:c r="D728" s="14" t="str">
        <x:v>family &amp; name</x:v>
      </x:c>
      <x:c r="E728" s="14" t="str">
        <x:v>https://res.cloudinary.com/oxygre42/image/upload/f_auto,q_auto,c_pad,b_white,w_1200,h_1200/v1788350133/0820_MOTHER_4.png</x:v>
      </x:c>
      <x:c r="F728" s="14" t="str"/>
      <x:c r="G728" s="14" t="str">
        <x:v>Lifestyle</x:v>
      </x:c>
      <x:c r="H728" s="14" t="str"/>
      <x:c r="I728" s="14" t="str">
        <x:v>Detail</x:v>
      </x:c>
      <x:c r="J728" s="14" t="str"/>
      <x:c r="K728" s="14" t="str">
        <x:v>Scale</x:v>
      </x:c>
      <x:c r="L728" s="14" t="str"/>
      <x:c r="M728" s="14" t="str">
        <x:v>Alternate</x:v>
      </x:c>
      <x:c r="N728" s="14" t="n">
        <x:f>IF(E728&lt;&gt;"",1,0)+IF(F728&lt;&gt;"",1,0)+IF(H728&lt;&gt;"",1,0)+IF(J728&lt;&gt;"",1,0)+IF(L728&lt;&gt;"",1,0)</x:f>
        <x:v>1</x:v>
      </x:c>
      <x:c r="O728" s="14" t="str">
        <x:f>IF(E728="","MISSING MAIN",IF(N728=1,"MAIN ONLY","MULTI-PHOTO"))</x:f>
        <x:v>MAIN ONLY</x:v>
      </x:c>
      <x:c r="P728" s="14" t="str">
        <x:v>0820_</x:v>
      </x:c>
      <x:c r="Q728" s="14" t="str">
        <x:v>https://mb1advancedsolutions.github.io/mb1-catalog/index.html?design=0820</x:v>
      </x:c>
      <x:c r="R728" s="14" t="str"/>
    </x:row>
    <x:row r="729">
      <x:c r="A729" s="13" t="str">
        <x:v>MB1-0821</x:v>
      </x:c>
      <x:c r="B729" s="13" t="str">
        <x:v>MB1-0821</x:v>
      </x:c>
      <x:c r="C729" s="14" t="str">
        <x:v>MOTHER 5</x:v>
      </x:c>
      <x:c r="D729" s="14" t="str">
        <x:v>family &amp; name</x:v>
      </x:c>
      <x:c r="E729" s="14" t="str">
        <x:v>https://res.cloudinary.com/oxygre42/image/upload/f_auto,q_auto,c_pad,b_white,w_1200,h_1200/v1788350135/0821_MOTHER_5.png</x:v>
      </x:c>
      <x:c r="F729" s="14" t="str"/>
      <x:c r="G729" s="14" t="str">
        <x:v>Lifestyle</x:v>
      </x:c>
      <x:c r="H729" s="14" t="str"/>
      <x:c r="I729" s="14" t="str">
        <x:v>Detail</x:v>
      </x:c>
      <x:c r="J729" s="14" t="str"/>
      <x:c r="K729" s="14" t="str">
        <x:v>Scale</x:v>
      </x:c>
      <x:c r="L729" s="14" t="str"/>
      <x:c r="M729" s="14" t="str">
        <x:v>Alternate</x:v>
      </x:c>
      <x:c r="N729" s="14" t="n">
        <x:f>IF(E729&lt;&gt;"",1,0)+IF(F729&lt;&gt;"",1,0)+IF(H729&lt;&gt;"",1,0)+IF(J729&lt;&gt;"",1,0)+IF(L729&lt;&gt;"",1,0)</x:f>
        <x:v>1</x:v>
      </x:c>
      <x:c r="O729" s="14" t="str">
        <x:f>IF(E729="","MISSING MAIN",IF(N729=1,"MAIN ONLY","MULTI-PHOTO"))</x:f>
        <x:v>MAIN ONLY</x:v>
      </x:c>
      <x:c r="P729" s="14" t="str">
        <x:v>0821_</x:v>
      </x:c>
      <x:c r="Q729" s="14" t="str">
        <x:v>https://mb1advancedsolutions.github.io/mb1-catalog/index.html?design=0821</x:v>
      </x:c>
      <x:c r="R729" s="14" t="str"/>
    </x:row>
    <x:row r="730">
      <x:c r="A730" s="13" t="str">
        <x:v>MB1-0822</x:v>
      </x:c>
      <x:c r="B730" s="13" t="str">
        <x:v>MB1-0822</x:v>
      </x:c>
      <x:c r="C730" s="14" t="str">
        <x:v>MOTHER 6</x:v>
      </x:c>
      <x:c r="D730" s="14" t="str">
        <x:v>family &amp; name</x:v>
      </x:c>
      <x:c r="E730" s="14" t="str">
        <x:v>https://res.cloudinary.com/oxygre42/image/upload/f_auto,q_auto,c_pad,b_white,w_1200,h_1200/v1788350137/0822_MOTHER_6.png</x:v>
      </x:c>
      <x:c r="F730" s="14" t="str"/>
      <x:c r="G730" s="14" t="str">
        <x:v>Lifestyle</x:v>
      </x:c>
      <x:c r="H730" s="14" t="str"/>
      <x:c r="I730" s="14" t="str">
        <x:v>Detail</x:v>
      </x:c>
      <x:c r="J730" s="14" t="str"/>
      <x:c r="K730" s="14" t="str">
        <x:v>Scale</x:v>
      </x:c>
      <x:c r="L730" s="14" t="str"/>
      <x:c r="M730" s="14" t="str">
        <x:v>Alternate</x:v>
      </x:c>
      <x:c r="N730" s="14" t="n">
        <x:f>IF(E730&lt;&gt;"",1,0)+IF(F730&lt;&gt;"",1,0)+IF(H730&lt;&gt;"",1,0)+IF(J730&lt;&gt;"",1,0)+IF(L730&lt;&gt;"",1,0)</x:f>
        <x:v>1</x:v>
      </x:c>
      <x:c r="O730" s="14" t="str">
        <x:f>IF(E730="","MISSING MAIN",IF(N730=1,"MAIN ONLY","MULTI-PHOTO"))</x:f>
        <x:v>MAIN ONLY</x:v>
      </x:c>
      <x:c r="P730" s="14" t="str">
        <x:v>0822_</x:v>
      </x:c>
      <x:c r="Q730" s="14" t="str">
        <x:v>https://mb1advancedsolutions.github.io/mb1-catalog/index.html?design=0822</x:v>
      </x:c>
      <x:c r="R730" s="14" t="str"/>
    </x:row>
    <x:row r="731">
      <x:c r="A731" s="13" t="str">
        <x:v>MB1-0823</x:v>
      </x:c>
      <x:c r="B731" s="13" t="str">
        <x:v>MB1-0823</x:v>
      </x:c>
      <x:c r="C731" s="14" t="str">
        <x:v>MOTHER 7</x:v>
      </x:c>
      <x:c r="D731" s="14" t="str">
        <x:v>family &amp; name</x:v>
      </x:c>
      <x:c r="E731" s="14" t="str">
        <x:v>https://res.cloudinary.com/oxygre42/image/upload/f_auto,q_auto,c_pad,b_white,w_1200,h_1200/v1788350138/0823_MOTHER_7.png</x:v>
      </x:c>
      <x:c r="F731" s="14" t="str"/>
      <x:c r="G731" s="14" t="str">
        <x:v>Lifestyle</x:v>
      </x:c>
      <x:c r="H731" s="14" t="str"/>
      <x:c r="I731" s="14" t="str">
        <x:v>Detail</x:v>
      </x:c>
      <x:c r="J731" s="14" t="str"/>
      <x:c r="K731" s="14" t="str">
        <x:v>Scale</x:v>
      </x:c>
      <x:c r="L731" s="14" t="str"/>
      <x:c r="M731" s="14" t="str">
        <x:v>Alternate</x:v>
      </x:c>
      <x:c r="N731" s="14" t="n">
        <x:f>IF(E731&lt;&gt;"",1,0)+IF(F731&lt;&gt;"",1,0)+IF(H731&lt;&gt;"",1,0)+IF(J731&lt;&gt;"",1,0)+IF(L731&lt;&gt;"",1,0)</x:f>
        <x:v>1</x:v>
      </x:c>
      <x:c r="O731" s="14" t="str">
        <x:f>IF(E731="","MISSING MAIN",IF(N731=1,"MAIN ONLY","MULTI-PHOTO"))</x:f>
        <x:v>MAIN ONLY</x:v>
      </x:c>
      <x:c r="P731" s="14" t="str">
        <x:v>0823_</x:v>
      </x:c>
      <x:c r="Q731" s="14" t="str">
        <x:v>https://mb1advancedsolutions.github.io/mb1-catalog/index.html?design=0823</x:v>
      </x:c>
      <x:c r="R731" s="14" t="str"/>
    </x:row>
    <x:row r="732">
      <x:c r="A732" s="13" t="str">
        <x:v>MB1-0824</x:v>
      </x:c>
      <x:c r="B732" s="13" t="str">
        <x:v>MB1-0824</x:v>
      </x:c>
      <x:c r="C732" s="14" t="str">
        <x:v>MOTHER 8</x:v>
      </x:c>
      <x:c r="D732" s="14" t="str">
        <x:v>family &amp; name</x:v>
      </x:c>
      <x:c r="E732" s="14" t="str">
        <x:v>https://res.cloudinary.com/oxygre42/image/upload/f_auto,q_auto,c_pad,b_white,w_1200,h_1200/v1788350140/0824_MOTHER_8.png</x:v>
      </x:c>
      <x:c r="F732" s="14" t="str"/>
      <x:c r="G732" s="14" t="str">
        <x:v>Lifestyle</x:v>
      </x:c>
      <x:c r="H732" s="14" t="str"/>
      <x:c r="I732" s="14" t="str">
        <x:v>Detail</x:v>
      </x:c>
      <x:c r="J732" s="14" t="str"/>
      <x:c r="K732" s="14" t="str">
        <x:v>Scale</x:v>
      </x:c>
      <x:c r="L732" s="14" t="str"/>
      <x:c r="M732" s="14" t="str">
        <x:v>Alternate</x:v>
      </x:c>
      <x:c r="N732" s="14" t="n">
        <x:f>IF(E732&lt;&gt;"",1,0)+IF(F732&lt;&gt;"",1,0)+IF(H732&lt;&gt;"",1,0)+IF(J732&lt;&gt;"",1,0)+IF(L732&lt;&gt;"",1,0)</x:f>
        <x:v>1</x:v>
      </x:c>
      <x:c r="O732" s="14" t="str">
        <x:f>IF(E732="","MISSING MAIN",IF(N732=1,"MAIN ONLY","MULTI-PHOTO"))</x:f>
        <x:v>MAIN ONLY</x:v>
      </x:c>
      <x:c r="P732" s="14" t="str">
        <x:v>0824_</x:v>
      </x:c>
      <x:c r="Q732" s="14" t="str">
        <x:v>https://mb1advancedsolutions.github.io/mb1-catalog/index.html?design=0824</x:v>
      </x:c>
      <x:c r="R732" s="14" t="str"/>
    </x:row>
    <x:row r="733">
      <x:c r="A733" s="13" t="str">
        <x:v>MB1-0825</x:v>
      </x:c>
      <x:c r="B733" s="13" t="str">
        <x:v>MB1-0825</x:v>
      </x:c>
      <x:c r="C733" s="14" t="str">
        <x:v>MOTHER 9</x:v>
      </x:c>
      <x:c r="D733" s="14" t="str">
        <x:v>family &amp; name</x:v>
      </x:c>
      <x:c r="E733" s="14" t="str">
        <x:v>https://res.cloudinary.com/oxygre42/image/upload/f_auto,q_auto,c_pad,b_white,w_1200,h_1200/v1788350142/0825_MOTHER_9.png</x:v>
      </x:c>
      <x:c r="F733" s="14" t="str"/>
      <x:c r="G733" s="14" t="str">
        <x:v>Lifestyle</x:v>
      </x:c>
      <x:c r="H733" s="14" t="str"/>
      <x:c r="I733" s="14" t="str">
        <x:v>Detail</x:v>
      </x:c>
      <x:c r="J733" s="14" t="str"/>
      <x:c r="K733" s="14" t="str">
        <x:v>Scale</x:v>
      </x:c>
      <x:c r="L733" s="14" t="str"/>
      <x:c r="M733" s="14" t="str">
        <x:v>Alternate</x:v>
      </x:c>
      <x:c r="N733" s="14" t="n">
        <x:f>IF(E733&lt;&gt;"",1,0)+IF(F733&lt;&gt;"",1,0)+IF(H733&lt;&gt;"",1,0)+IF(J733&lt;&gt;"",1,0)+IF(L733&lt;&gt;"",1,0)</x:f>
        <x:v>1</x:v>
      </x:c>
      <x:c r="O733" s="14" t="str">
        <x:f>IF(E733="","MISSING MAIN",IF(N733=1,"MAIN ONLY","MULTI-PHOTO"))</x:f>
        <x:v>MAIN ONLY</x:v>
      </x:c>
      <x:c r="P733" s="14" t="str">
        <x:v>0825_</x:v>
      </x:c>
      <x:c r="Q733" s="14" t="str">
        <x:v>https://mb1advancedsolutions.github.io/mb1-catalog/index.html?design=0825</x:v>
      </x:c>
      <x:c r="R733" s="14" t="str"/>
    </x:row>
    <x:row r="734">
      <x:c r="A734" s="13" t="str">
        <x:v>MB1-0827</x:v>
      </x:c>
      <x:c r="B734" s="13" t="str">
        <x:v>MB1-0827</x:v>
      </x:c>
      <x:c r="C734" s="14" t="str">
        <x:v>10 mm socket memorial</x:v>
      </x:c>
      <x:c r="D734" s="14" t="str">
        <x:v>memorial and tribute</x:v>
      </x:c>
      <x:c r="E734" s="14" t="str">
        <x:v>https://res.cloudinary.com/oxygre42/image/upload/f_auto,q_auto,c_pad,b_white,w_1200,h_1200/v1788350146/0827_10_mm_socket_memorial.jpg</x:v>
      </x:c>
      <x:c r="F734" s="14" t="str"/>
      <x:c r="G734" s="14" t="str">
        <x:v>Lifestyle</x:v>
      </x:c>
      <x:c r="H734" s="14" t="str"/>
      <x:c r="I734" s="14" t="str">
        <x:v>Detail</x:v>
      </x:c>
      <x:c r="J734" s="14" t="str"/>
      <x:c r="K734" s="14" t="str">
        <x:v>Scale</x:v>
      </x:c>
      <x:c r="L734" s="14" t="str"/>
      <x:c r="M734" s="14" t="str">
        <x:v>Alternate</x:v>
      </x:c>
      <x:c r="N734" s="14" t="n">
        <x:f>IF(E734&lt;&gt;"",1,0)+IF(F734&lt;&gt;"",1,0)+IF(H734&lt;&gt;"",1,0)+IF(J734&lt;&gt;"",1,0)+IF(L734&lt;&gt;"",1,0)</x:f>
        <x:v>1</x:v>
      </x:c>
      <x:c r="O734" s="14" t="str">
        <x:f>IF(E734="","MISSING MAIN",IF(N734=1,"MAIN ONLY","MULTI-PHOTO"))</x:f>
        <x:v>MAIN ONLY</x:v>
      </x:c>
      <x:c r="P734" s="14" t="str">
        <x:v>0827_</x:v>
      </x:c>
      <x:c r="Q734" s="14" t="str">
        <x:v>https://mb1advancedsolutions.github.io/mb1-catalog/index.html?design=0827</x:v>
      </x:c>
      <x:c r="R734" s="14" t="str"/>
    </x:row>
    <x:row r="735">
      <x:c r="A735" s="13" t="str">
        <x:v>MB1-0828</x:v>
      </x:c>
      <x:c r="B735" s="13" t="str">
        <x:v>MB1-0828</x:v>
      </x:c>
      <x:c r="C735" s="14" t="str">
        <x:v>2 Koi 2 Lotus soft eyes</x:v>
      </x:c>
      <x:c r="D735" s="14" t="str">
        <x:v>wildlife and outdoors</x:v>
      </x:c>
      <x:c r="E735" s="14" t="str">
        <x:v>https://res.cloudinary.com/oxygre42/image/upload/f_auto,q_auto,c_pad,b_white,w_1200,h_1200/v1788350148/0828_2_Koi_2_Lotus_soft_eyes.png</x:v>
      </x:c>
      <x:c r="F735" s="14" t="str"/>
      <x:c r="G735" s="14" t="str">
        <x:v>Lifestyle</x:v>
      </x:c>
      <x:c r="H735" s="14" t="str"/>
      <x:c r="I735" s="14" t="str">
        <x:v>Detail</x:v>
      </x:c>
      <x:c r="J735" s="14" t="str"/>
      <x:c r="K735" s="14" t="str">
        <x:v>Scale</x:v>
      </x:c>
      <x:c r="L735" s="14" t="str"/>
      <x:c r="M735" s="14" t="str">
        <x:v>Alternate</x:v>
      </x:c>
      <x:c r="N735" s="14" t="n">
        <x:f>IF(E735&lt;&gt;"",1,0)+IF(F735&lt;&gt;"",1,0)+IF(H735&lt;&gt;"",1,0)+IF(J735&lt;&gt;"",1,0)+IF(L735&lt;&gt;"",1,0)</x:f>
        <x:v>1</x:v>
      </x:c>
      <x:c r="O735" s="14" t="str">
        <x:f>IF(E735="","MISSING MAIN",IF(N735=1,"MAIN ONLY","MULTI-PHOTO"))</x:f>
        <x:v>MAIN ONLY</x:v>
      </x:c>
      <x:c r="P735" s="14" t="str">
        <x:v>0828_</x:v>
      </x:c>
      <x:c r="Q735" s="14" t="str">
        <x:v>https://mb1advancedsolutions.github.io/mb1-catalog/index.html?design=0828</x:v>
      </x:c>
      <x:c r="R735" s="14" t="str"/>
    </x:row>
    <x:row r="736">
      <x:c r="A736" s="13" t="str">
        <x:v>MB1-0829</x:v>
      </x:c>
      <x:c r="B736" s="13" t="str">
        <x:v>MB1-0829</x:v>
      </x:c>
      <x:c r="C736" s="14" t="str">
        <x:v>2 owls in tree</x:v>
      </x:c>
      <x:c r="D736" s="14" t="str">
        <x:v>home decor and inspirational</x:v>
      </x:c>
      <x:c r="E736" s="14" t="str">
        <x:v>https://res.cloudinary.com/oxygre42/image/upload/f_auto,q_auto,c_pad,b_white,w_1200,h_1200/v1788350150/0829_2_owls_in_tree.png</x:v>
      </x:c>
      <x:c r="F736" s="14" t="str"/>
      <x:c r="G736" s="14" t="str">
        <x:v>Lifestyle</x:v>
      </x:c>
      <x:c r="H736" s="14" t="str"/>
      <x:c r="I736" s="14" t="str">
        <x:v>Detail</x:v>
      </x:c>
      <x:c r="J736" s="14" t="str"/>
      <x:c r="K736" s="14" t="str">
        <x:v>Scale</x:v>
      </x:c>
      <x:c r="L736" s="14" t="str"/>
      <x:c r="M736" s="14" t="str">
        <x:v>Alternate</x:v>
      </x:c>
      <x:c r="N736" s="14" t="n">
        <x:f>IF(E736&lt;&gt;"",1,0)+IF(F736&lt;&gt;"",1,0)+IF(H736&lt;&gt;"",1,0)+IF(J736&lt;&gt;"",1,0)+IF(L736&lt;&gt;"",1,0)</x:f>
        <x:v>1</x:v>
      </x:c>
      <x:c r="O736" s="14" t="str">
        <x:f>IF(E736="","MISSING MAIN",IF(N736=1,"MAIN ONLY","MULTI-PHOTO"))</x:f>
        <x:v>MAIN ONLY</x:v>
      </x:c>
      <x:c r="P736" s="14" t="str">
        <x:v>0829_</x:v>
      </x:c>
      <x:c r="Q736" s="14" t="str">
        <x:v>https://mb1advancedsolutions.github.io/mb1-catalog/index.html?design=0829</x:v>
      </x:c>
      <x:c r="R736" s="14" t="str"/>
    </x:row>
    <x:row r="737">
      <x:c r="A737" s="13" t="str">
        <x:v>MB1-0830</x:v>
      </x:c>
      <x:c r="B737" s="13" t="str">
        <x:v>MB1-0830</x:v>
      </x:c>
      <x:c r="C737" s="14" t="str">
        <x:v>2 tattoo guns sign cut</x:v>
      </x:c>
      <x:c r="D737" s="14" t="str">
        <x:v>sports and hobbies</x:v>
      </x:c>
      <x:c r="E737" s="14" t="str">
        <x:v>https://res.cloudinary.com/oxygre42/image/upload/f_auto,q_auto,c_pad,b_white,w_1200,h_1200/v1788350152/0830_2_tattoo_guns_sign_cut.png</x:v>
      </x:c>
      <x:c r="F737" s="14" t="str"/>
      <x:c r="G737" s="14" t="str">
        <x:v>Lifestyle</x:v>
      </x:c>
      <x:c r="H737" s="14" t="str"/>
      <x:c r="I737" s="14" t="str">
        <x:v>Detail</x:v>
      </x:c>
      <x:c r="J737" s="14" t="str"/>
      <x:c r="K737" s="14" t="str">
        <x:v>Scale</x:v>
      </x:c>
      <x:c r="L737" s="14" t="str"/>
      <x:c r="M737" s="14" t="str">
        <x:v>Alternate</x:v>
      </x:c>
      <x:c r="N737" s="14" t="n">
        <x:f>IF(E737&lt;&gt;"",1,0)+IF(F737&lt;&gt;"",1,0)+IF(H737&lt;&gt;"",1,0)+IF(J737&lt;&gt;"",1,0)+IF(L737&lt;&gt;"",1,0)</x:f>
        <x:v>1</x:v>
      </x:c>
      <x:c r="O737" s="14" t="str">
        <x:f>IF(E737="","MISSING MAIN",IF(N737=1,"MAIN ONLY","MULTI-PHOTO"))</x:f>
        <x:v>MAIN ONLY</x:v>
      </x:c>
      <x:c r="P737" s="14" t="str">
        <x:v>0830_</x:v>
      </x:c>
      <x:c r="Q737" s="14" t="str">
        <x:v>https://mb1advancedsolutions.github.io/mb1-catalog/index.html?design=0830</x:v>
      </x:c>
      <x:c r="R737" s="14" t="str"/>
    </x:row>
    <x:row r="738">
      <x:c r="A738" s="13" t="str">
        <x:v>MB1-0831</x:v>
      </x:c>
      <x:c r="B738" s="13" t="str">
        <x:v>MB1-0831</x:v>
      </x:c>
      <x:c r="C738" s="14" t="str">
        <x:v>2A Eagle</x:v>
      </x:c>
      <x:c r="D738" s="14" t="str">
        <x:v>wildlife and outdoors</x:v>
      </x:c>
      <x:c r="E738" s="14" t="str">
        <x:v>https://res.cloudinary.com/oxygre42/image/upload/f_auto,q_auto,c_pad,b_white,w_1200,h_1200/v1788350154/0831_2A_Eagle.png</x:v>
      </x:c>
      <x:c r="F738" s="14" t="str"/>
      <x:c r="G738" s="14" t="str">
        <x:v>Lifestyle</x:v>
      </x:c>
      <x:c r="H738" s="14" t="str"/>
      <x:c r="I738" s="14" t="str">
        <x:v>Detail</x:v>
      </x:c>
      <x:c r="J738" s="14" t="str"/>
      <x:c r="K738" s="14" t="str">
        <x:v>Scale</x:v>
      </x:c>
      <x:c r="L738" s="14" t="str"/>
      <x:c r="M738" s="14" t="str">
        <x:v>Alternate</x:v>
      </x:c>
      <x:c r="N738" s="14" t="n">
        <x:f>IF(E738&lt;&gt;"",1,0)+IF(F738&lt;&gt;"",1,0)+IF(H738&lt;&gt;"",1,0)+IF(J738&lt;&gt;"",1,0)+IF(L738&lt;&gt;"",1,0)</x:f>
        <x:v>1</x:v>
      </x:c>
      <x:c r="O738" s="14" t="str">
        <x:f>IF(E738="","MISSING MAIN",IF(N738=1,"MAIN ONLY","MULTI-PHOTO"))</x:f>
        <x:v>MAIN ONLY</x:v>
      </x:c>
      <x:c r="P738" s="14" t="str">
        <x:v>0831_</x:v>
      </x:c>
      <x:c r="Q738" s="14" t="str">
        <x:v>https://mb1advancedsolutions.github.io/mb1-catalog/index.html?design=0831</x:v>
      </x:c>
      <x:c r="R738" s="14" t="str"/>
    </x:row>
    <x:row r="739">
      <x:c r="A739" s="13" t="str">
        <x:v>MB1-0832</x:v>
      </x:c>
      <x:c r="B739" s="13" t="str">
        <x:v>MB1-0832</x:v>
      </x:c>
      <x:c r="C739" s="14" t="str">
        <x:v>2A Shall Not Be Infringed</x:v>
      </x:c>
      <x:c r="D739" s="14" t="str">
        <x:v>home decor and inspirational</x:v>
      </x:c>
      <x:c r="E739" s="14" t="str">
        <x:v>https://res.cloudinary.com/oxygre42/image/upload/f_auto,q_auto,c_pad,b_white,w_1200,h_1200/v1788350155/0832_2A_Shall_Not_Be_Infringed.png</x:v>
      </x:c>
      <x:c r="F739" s="14" t="str"/>
      <x:c r="G739" s="14" t="str">
        <x:v>Lifestyle</x:v>
      </x:c>
      <x:c r="H739" s="14" t="str"/>
      <x:c r="I739" s="14" t="str">
        <x:v>Detail</x:v>
      </x:c>
      <x:c r="J739" s="14" t="str"/>
      <x:c r="K739" s="14" t="str">
        <x:v>Scale</x:v>
      </x:c>
      <x:c r="L739" s="14" t="str"/>
      <x:c r="M739" s="14" t="str">
        <x:v>Alternate</x:v>
      </x:c>
      <x:c r="N739" s="14" t="n">
        <x:f>IF(E739&lt;&gt;"",1,0)+IF(F739&lt;&gt;"",1,0)+IF(H739&lt;&gt;"",1,0)+IF(J739&lt;&gt;"",1,0)+IF(L739&lt;&gt;"",1,0)</x:f>
        <x:v>1</x:v>
      </x:c>
      <x:c r="O739" s="14" t="str">
        <x:f>IF(E739="","MISSING MAIN",IF(N739=1,"MAIN ONLY","MULTI-PHOTO"))</x:f>
        <x:v>MAIN ONLY</x:v>
      </x:c>
      <x:c r="P739" s="14" t="str">
        <x:v>0832_</x:v>
      </x:c>
      <x:c r="Q739" s="14" t="str">
        <x:v>https://mb1advancedsolutions.github.io/mb1-catalog/index.html?design=0832</x:v>
      </x:c>
      <x:c r="R739" s="14" t="str"/>
    </x:row>
    <x:row r="740">
      <x:c r="A740" s="13" t="str">
        <x:v>MB1-0833</x:v>
      </x:c>
      <x:c r="B740" s="13" t="str">
        <x:v>MB1-0833</x:v>
      </x:c>
      <x:c r="C740" s="14" t="str">
        <x:v>2AShallNotBeInfringed</x:v>
      </x:c>
      <x:c r="D740" s="14" t="str">
        <x:v>home decor and inspirational</x:v>
      </x:c>
      <x:c r="E740" s="14" t="str">
        <x:v>https://res.cloudinary.com/oxygre42/image/upload/f_auto,q_auto,c_pad,b_white,w_1200,h_1200/v1788350157/0833_2AShallNotBeInfringed.png</x:v>
      </x:c>
      <x:c r="F740" s="14" t="str"/>
      <x:c r="G740" s="14" t="str">
        <x:v>Lifestyle</x:v>
      </x:c>
      <x:c r="H740" s="14" t="str"/>
      <x:c r="I740" s="14" t="str">
        <x:v>Detail</x:v>
      </x:c>
      <x:c r="J740" s="14" t="str"/>
      <x:c r="K740" s="14" t="str">
        <x:v>Scale</x:v>
      </x:c>
      <x:c r="L740" s="14" t="str"/>
      <x:c r="M740" s="14" t="str">
        <x:v>Alternate</x:v>
      </x:c>
      <x:c r="N740" s="14" t="n">
        <x:f>IF(E740&lt;&gt;"",1,0)+IF(F740&lt;&gt;"",1,0)+IF(H740&lt;&gt;"",1,0)+IF(J740&lt;&gt;"",1,0)+IF(L740&lt;&gt;"",1,0)</x:f>
        <x:v>1</x:v>
      </x:c>
      <x:c r="O740" s="14" t="str">
        <x:f>IF(E740="","MISSING MAIN",IF(N740=1,"MAIN ONLY","MULTI-PHOTO"))</x:f>
        <x:v>MAIN ONLY</x:v>
      </x:c>
      <x:c r="P740" s="14" t="str">
        <x:v>0833_</x:v>
      </x:c>
      <x:c r="Q740" s="14" t="str">
        <x:v>https://mb1advancedsolutions.github.io/mb1-catalog/index.html?design=0833</x:v>
      </x:c>
      <x:c r="R740" s="14" t="str"/>
    </x:row>
    <x:row r="741">
      <x:c r="A741" s="13" t="str">
        <x:v>MB1-0834</x:v>
      </x:c>
      <x:c r="B741" s="13" t="str">
        <x:v>MB1-0834</x:v>
      </x:c>
      <x:c r="C741" s="14" t="str">
        <x:v>3 Hearts</x:v>
      </x:c>
      <x:c r="D741" s="14" t="str">
        <x:v>home decor and inspirational</x:v>
      </x:c>
      <x:c r="E741" s="14" t="str">
        <x:v>https://res.cloudinary.com/oxygre42/image/upload/f_auto,q_auto,c_pad,b_white,w_1200,h_1200/v1788350159/0834_3_Hearts.png</x:v>
      </x:c>
      <x:c r="F741" s="14" t="str"/>
      <x:c r="G741" s="14" t="str">
        <x:v>Lifestyle</x:v>
      </x:c>
      <x:c r="H741" s="14" t="str"/>
      <x:c r="I741" s="14" t="str">
        <x:v>Detail</x:v>
      </x:c>
      <x:c r="J741" s="14" t="str"/>
      <x:c r="K741" s="14" t="str">
        <x:v>Scale</x:v>
      </x:c>
      <x:c r="L741" s="14" t="str"/>
      <x:c r="M741" s="14" t="str">
        <x:v>Alternate</x:v>
      </x:c>
      <x:c r="N741" s="14" t="n">
        <x:f>IF(E741&lt;&gt;"",1,0)+IF(F741&lt;&gt;"",1,0)+IF(H741&lt;&gt;"",1,0)+IF(J741&lt;&gt;"",1,0)+IF(L741&lt;&gt;"",1,0)</x:f>
        <x:v>1</x:v>
      </x:c>
      <x:c r="O741" s="14" t="str">
        <x:f>IF(E741="","MISSING MAIN",IF(N741=1,"MAIN ONLY","MULTI-PHOTO"))</x:f>
        <x:v>MAIN ONLY</x:v>
      </x:c>
      <x:c r="P741" s="14" t="str">
        <x:v>0834_</x:v>
      </x:c>
      <x:c r="Q741" s="14" t="str">
        <x:v>https://mb1advancedsolutions.github.io/mb1-catalog/index.html?design=0834</x:v>
      </x:c>
      <x:c r="R741" s="14" t="str"/>
    </x:row>
    <x:row r="742">
      <x:c r="A742" s="13" t="str">
        <x:v>MB1-0835</x:v>
      </x:c>
      <x:c r="B742" s="13" t="str">
        <x:v>MB1-0835</x:v>
      </x:c>
      <x:c r="C742" s="14" t="str">
        <x:v>3 pumpkins large</x:v>
      </x:c>
      <x:c r="D742" s="14" t="str">
        <x:v>seasonal and holiday</x:v>
      </x:c>
      <x:c r="E742" s="14" t="str">
        <x:v>https://res.cloudinary.com/oxygre42/image/upload/f_auto,q_auto,c_pad,b_white,w_1200,h_1200/v1788350161/0835_3_pumpkins_large.png</x:v>
      </x:c>
      <x:c r="F742" s="14" t="str"/>
      <x:c r="G742" s="14" t="str">
        <x:v>Lifestyle</x:v>
      </x:c>
      <x:c r="H742" s="14" t="str"/>
      <x:c r="I742" s="14" t="str">
        <x:v>Detail</x:v>
      </x:c>
      <x:c r="J742" s="14" t="str"/>
      <x:c r="K742" s="14" t="str">
        <x:v>Scale</x:v>
      </x:c>
      <x:c r="L742" s="14" t="str"/>
      <x:c r="M742" s="14" t="str">
        <x:v>Alternate</x:v>
      </x:c>
      <x:c r="N742" s="14" t="n">
        <x:f>IF(E742&lt;&gt;"",1,0)+IF(F742&lt;&gt;"",1,0)+IF(H742&lt;&gt;"",1,0)+IF(J742&lt;&gt;"",1,0)+IF(L742&lt;&gt;"",1,0)</x:f>
        <x:v>1</x:v>
      </x:c>
      <x:c r="O742" s="14" t="str">
        <x:f>IF(E742="","MISSING MAIN",IF(N742=1,"MAIN ONLY","MULTI-PHOTO"))</x:f>
        <x:v>MAIN ONLY</x:v>
      </x:c>
      <x:c r="P742" s="14" t="str">
        <x:v>0835_</x:v>
      </x:c>
      <x:c r="Q742" s="14" t="str">
        <x:v>https://mb1advancedsolutions.github.io/mb1-catalog/index.html?design=0835</x:v>
      </x:c>
      <x:c r="R742" s="14" t="str"/>
    </x:row>
    <x:row r="743">
      <x:c r="A743" s="13" t="str">
        <x:v>MB1-0836</x:v>
      </x:c>
      <x:c r="B743" s="13" t="str">
        <x:v>MB1-0836</x:v>
      </x:c>
      <x:c r="C743" s="14" t="str">
        <x:v>4 Arrows</x:v>
      </x:c>
      <x:c r="D743" s="14" t="str">
        <x:v>home decor and inspirational</x:v>
      </x:c>
      <x:c r="E743" s="14" t="str">
        <x:v>https://res.cloudinary.com/oxygre42/image/upload/f_auto,q_auto,c_pad,b_white,w_1200,h_1200/v1788350163/0836_4_Arrows.png</x:v>
      </x:c>
      <x:c r="F743" s="14" t="str"/>
      <x:c r="G743" s="14" t="str">
        <x:v>Lifestyle</x:v>
      </x:c>
      <x:c r="H743" s="14" t="str"/>
      <x:c r="I743" s="14" t="str">
        <x:v>Detail</x:v>
      </x:c>
      <x:c r="J743" s="14" t="str"/>
      <x:c r="K743" s="14" t="str">
        <x:v>Scale</x:v>
      </x:c>
      <x:c r="L743" s="14" t="str"/>
      <x:c r="M743" s="14" t="str">
        <x:v>Alternate</x:v>
      </x:c>
      <x:c r="N743" s="14" t="n">
        <x:f>IF(E743&lt;&gt;"",1,0)+IF(F743&lt;&gt;"",1,0)+IF(H743&lt;&gt;"",1,0)+IF(J743&lt;&gt;"",1,0)+IF(L743&lt;&gt;"",1,0)</x:f>
        <x:v>1</x:v>
      </x:c>
      <x:c r="O743" s="14" t="str">
        <x:f>IF(E743="","MISSING MAIN",IF(N743=1,"MAIN ONLY","MULTI-PHOTO"))</x:f>
        <x:v>MAIN ONLY</x:v>
      </x:c>
      <x:c r="P743" s="14" t="str">
        <x:v>0836_</x:v>
      </x:c>
      <x:c r="Q743" s="14" t="str">
        <x:v>https://mb1advancedsolutions.github.io/mb1-catalog/index.html?design=0836</x:v>
      </x:c>
      <x:c r="R743" s="14" t="str"/>
    </x:row>
    <x:row r="744">
      <x:c r="A744" s="13" t="str">
        <x:v>MB1-0842</x:v>
      </x:c>
      <x:c r="B744" s="13" t="str">
        <x:v>MB1-0842</x:v>
      </x:c>
      <x:c r="C744" s="14" t="str">
        <x:v>AR 15 rifle</x:v>
      </x:c>
      <x:c r="D744" s="14" t="str">
        <x:v>sports and hobbies</x:v>
      </x:c>
      <x:c r="E744" s="14" t="str">
        <x:v>https://res.cloudinary.com/oxygre42/image/upload/f_auto,q_auto,c_pad,b_white,w_1200,h_1200/v1788350174/0842_AR_15_rifle.png</x:v>
      </x:c>
      <x:c r="F744" s="14" t="str"/>
      <x:c r="G744" s="14" t="str">
        <x:v>Lifestyle</x:v>
      </x:c>
      <x:c r="H744" s="14" t="str"/>
      <x:c r="I744" s="14" t="str">
        <x:v>Detail</x:v>
      </x:c>
      <x:c r="J744" s="14" t="str"/>
      <x:c r="K744" s="14" t="str">
        <x:v>Scale</x:v>
      </x:c>
      <x:c r="L744" s="14" t="str"/>
      <x:c r="M744" s="14" t="str">
        <x:v>Alternate</x:v>
      </x:c>
      <x:c r="N744" s="14" t="n">
        <x:f>IF(E744&lt;&gt;"",1,0)+IF(F744&lt;&gt;"",1,0)+IF(H744&lt;&gt;"",1,0)+IF(J744&lt;&gt;"",1,0)+IF(L744&lt;&gt;"",1,0)</x:f>
        <x:v>1</x:v>
      </x:c>
      <x:c r="O744" s="14" t="str">
        <x:f>IF(E744="","MISSING MAIN",IF(N744=1,"MAIN ONLY","MULTI-PHOTO"))</x:f>
        <x:v>MAIN ONLY</x:v>
      </x:c>
      <x:c r="P744" s="14" t="str">
        <x:v>0842_</x:v>
      </x:c>
      <x:c r="Q744" s="14" t="str">
        <x:v>https://mb1advancedsolutions.github.io/mb1-catalog/index.html?design=0842</x:v>
      </x:c>
      <x:c r="R744" s="14" t="str"/>
    </x:row>
    <x:row r="745">
      <x:c r="A745" s="13" t="str">
        <x:v>MB1-0843</x:v>
      </x:c>
      <x:c r="B745" s="13" t="str">
        <x:v>MB1-0843</x:v>
      </x:c>
      <x:c r="C745" s="14" t="str">
        <x:v>Address Welcome Plaque</x:v>
      </x:c>
      <x:c r="D745" s="14" t="str">
        <x:v>address and property</x:v>
      </x:c>
      <x:c r="E745" s="14" t="str">
        <x:v>https://res.cloudinary.com/oxygre42/image/upload/f_auto,q_auto,c_pad,b_white,w_1200,h_1200/v1788350180/0843_Address_Welcome_Plaque.png</x:v>
      </x:c>
      <x:c r="F745" s="14" t="str"/>
      <x:c r="G745" s="14" t="str">
        <x:v>Lifestyle</x:v>
      </x:c>
      <x:c r="H745" s="14" t="str"/>
      <x:c r="I745" s="14" t="str">
        <x:v>Detail</x:v>
      </x:c>
      <x:c r="J745" s="14" t="str"/>
      <x:c r="K745" s="14" t="str">
        <x:v>Scale</x:v>
      </x:c>
      <x:c r="L745" s="14" t="str"/>
      <x:c r="M745" s="14" t="str">
        <x:v>Alternate</x:v>
      </x:c>
      <x:c r="N745" s="14" t="n">
        <x:f>IF(E745&lt;&gt;"",1,0)+IF(F745&lt;&gt;"",1,0)+IF(H745&lt;&gt;"",1,0)+IF(J745&lt;&gt;"",1,0)+IF(L745&lt;&gt;"",1,0)</x:f>
        <x:v>1</x:v>
      </x:c>
      <x:c r="O745" s="14" t="str">
        <x:f>IF(E745="","MISSING MAIN",IF(N745=1,"MAIN ONLY","MULTI-PHOTO"))</x:f>
        <x:v>MAIN ONLY</x:v>
      </x:c>
      <x:c r="P745" s="14" t="str">
        <x:v>0843_</x:v>
      </x:c>
      <x:c r="Q745" s="14" t="str">
        <x:v>https://mb1advancedsolutions.github.io/mb1-catalog/index.html?design=0843</x:v>
      </x:c>
      <x:c r="R745" s="14" t="str"/>
    </x:row>
    <x:row r="746">
      <x:c r="A746" s="13" t="str">
        <x:v>MB1-0846</x:v>
      </x:c>
      <x:c r="B746" s="13" t="str">
        <x:v>MB1-0846</x:v>
      </x:c>
      <x:c r="C746" s="14" t="str">
        <x:v>Always Do What You Love</x:v>
      </x:c>
      <x:c r="D746" s="14" t="str">
        <x:v>home decor and inspirational</x:v>
      </x:c>
      <x:c r="E746" s="14" t="str">
        <x:v>https://res.cloudinary.com/oxygre42/image/upload/f_auto,q_auto,c_pad,b_white,w_1200,h_1200/v1788350185/0846_Always_Do_What_You_Love.png</x:v>
      </x:c>
      <x:c r="F746" s="14" t="str"/>
      <x:c r="G746" s="14" t="str">
        <x:v>Lifestyle</x:v>
      </x:c>
      <x:c r="H746" s="14" t="str"/>
      <x:c r="I746" s="14" t="str">
        <x:v>Detail</x:v>
      </x:c>
      <x:c r="J746" s="14" t="str"/>
      <x:c r="K746" s="14" t="str">
        <x:v>Scale</x:v>
      </x:c>
      <x:c r="L746" s="14" t="str"/>
      <x:c r="M746" s="14" t="str">
        <x:v>Alternate</x:v>
      </x:c>
      <x:c r="N746" s="14" t="n">
        <x:f>IF(E746&lt;&gt;"",1,0)+IF(F746&lt;&gt;"",1,0)+IF(H746&lt;&gt;"",1,0)+IF(J746&lt;&gt;"",1,0)+IF(L746&lt;&gt;"",1,0)</x:f>
        <x:v>1</x:v>
      </x:c>
      <x:c r="O746" s="14" t="str">
        <x:f>IF(E746="","MISSING MAIN",IF(N746=1,"MAIN ONLY","MULTI-PHOTO"))</x:f>
        <x:v>MAIN ONLY</x:v>
      </x:c>
      <x:c r="P746" s="14" t="str">
        <x:v>0846_</x:v>
      </x:c>
      <x:c r="Q746" s="14" t="str">
        <x:v>https://mb1advancedsolutions.github.io/mb1-catalog/index.html?design=0846</x:v>
      </x:c>
      <x:c r="R746" s="14" t="str"/>
    </x:row>
    <x:row r="747">
      <x:c r="A747" s="13" t="str">
        <x:v>MB1-0847</x:v>
      </x:c>
      <x:c r="B747" s="13" t="str">
        <x:v>MB1-0847</x:v>
      </x:c>
      <x:c r="C747" s="14" t="str">
        <x:v>Always and forever infinity</x:v>
      </x:c>
      <x:c r="D747" s="14" t="str">
        <x:v>home decor and inspirational</x:v>
      </x:c>
      <x:c r="E747" s="14" t="str">
        <x:v>https://res.cloudinary.com/oxygre42/image/upload/f_auto,q_auto,c_pad,b_white,w_1200,h_1200/v1788350187/0847_Always_and_forever_infinity.png</x:v>
      </x:c>
      <x:c r="F747" s="14" t="str"/>
      <x:c r="G747" s="14" t="str">
        <x:v>Lifestyle</x:v>
      </x:c>
      <x:c r="H747" s="14" t="str"/>
      <x:c r="I747" s="14" t="str">
        <x:v>Detail</x:v>
      </x:c>
      <x:c r="J747" s="14" t="str"/>
      <x:c r="K747" s="14" t="str">
        <x:v>Scale</x:v>
      </x:c>
      <x:c r="L747" s="14" t="str"/>
      <x:c r="M747" s="14" t="str">
        <x:v>Alternate</x:v>
      </x:c>
      <x:c r="N747" s="14" t="n">
        <x:f>IF(E747&lt;&gt;"",1,0)+IF(F747&lt;&gt;"",1,0)+IF(H747&lt;&gt;"",1,0)+IF(J747&lt;&gt;"",1,0)+IF(L747&lt;&gt;"",1,0)</x:f>
        <x:v>1</x:v>
      </x:c>
      <x:c r="O747" s="14" t="str">
        <x:f>IF(E747="","MISSING MAIN",IF(N747=1,"MAIN ONLY","MULTI-PHOTO"))</x:f>
        <x:v>MAIN ONLY</x:v>
      </x:c>
      <x:c r="P747" s="14" t="str">
        <x:v>0847_</x:v>
      </x:c>
      <x:c r="Q747" s="14" t="str">
        <x:v>https://mb1advancedsolutions.github.io/mb1-catalog/index.html?design=0847</x:v>
      </x:c>
      <x:c r="R747" s="14" t="str"/>
    </x:row>
    <x:row r="748">
      <x:c r="A748" s="13" t="str">
        <x:v>MB1-0848</x:v>
      </x:c>
      <x:c r="B748" s="13" t="str">
        <x:v>MB1-0848</x:v>
      </x:c>
      <x:c r="C748" s="14" t="str">
        <x:v>American Flag Saw</x:v>
      </x:c>
      <x:c r="D748" s="14" t="str">
        <x:v>seasonal and holiday</x:v>
      </x:c>
      <x:c r="E748" s="14" t="str">
        <x:v>https://res.cloudinary.com/oxygre42/image/upload/f_auto,q_auto,c_pad,b_white,w_1200,h_1200/v1788350189/0848_American_Flag_Saw.png</x:v>
      </x:c>
      <x:c r="F748" s="14" t="str"/>
      <x:c r="G748" s="14" t="str">
        <x:v>Lifestyle</x:v>
      </x:c>
      <x:c r="H748" s="14" t="str"/>
      <x:c r="I748" s="14" t="str">
        <x:v>Detail</x:v>
      </x:c>
      <x:c r="J748" s="14" t="str"/>
      <x:c r="K748" s="14" t="str">
        <x:v>Scale</x:v>
      </x:c>
      <x:c r="L748" s="14" t="str"/>
      <x:c r="M748" s="14" t="str">
        <x:v>Alternate</x:v>
      </x:c>
      <x:c r="N748" s="14" t="n">
        <x:f>IF(E748&lt;&gt;"",1,0)+IF(F748&lt;&gt;"",1,0)+IF(H748&lt;&gt;"",1,0)+IF(J748&lt;&gt;"",1,0)+IF(L748&lt;&gt;"",1,0)</x:f>
        <x:v>1</x:v>
      </x:c>
      <x:c r="O748" s="14" t="str">
        <x:f>IF(E748="","MISSING MAIN",IF(N748=1,"MAIN ONLY","MULTI-PHOTO"))</x:f>
        <x:v>MAIN ONLY</x:v>
      </x:c>
      <x:c r="P748" s="14" t="str">
        <x:v>0848_</x:v>
      </x:c>
      <x:c r="Q748" s="14" t="str">
        <x:v>https://mb1advancedsolutions.github.io/mb1-catalog/index.html?design=0848</x:v>
      </x:c>
      <x:c r="R748" s="14" t="str"/>
    </x:row>
    <x:row r="749">
      <x:c r="A749" s="13" t="str">
        <x:v>MB1-0852</x:v>
      </x:c>
      <x:c r="B749" s="13" t="str">
        <x:v>MB1-0852</x:v>
      </x:c>
      <x:c r="C749" s="14" t="str">
        <x:v>Angel</x:v>
      </x:c>
      <x:c r="D749" s="14" t="str">
        <x:v>home decor and inspirational</x:v>
      </x:c>
      <x:c r="E749" s="14" t="str">
        <x:v>https://res.cloudinary.com/oxygre42/image/upload/f_auto,q_auto,c_pad,b_white,w_1200,h_1200/v1788350191/0852_Angel.png</x:v>
      </x:c>
      <x:c r="F749" s="14" t="str"/>
      <x:c r="G749" s="14" t="str">
        <x:v>Lifestyle</x:v>
      </x:c>
      <x:c r="H749" s="14" t="str"/>
      <x:c r="I749" s="14" t="str">
        <x:v>Detail</x:v>
      </x:c>
      <x:c r="J749" s="14" t="str"/>
      <x:c r="K749" s="14" t="str">
        <x:v>Scale</x:v>
      </x:c>
      <x:c r="L749" s="14" t="str"/>
      <x:c r="M749" s="14" t="str">
        <x:v>Alternate</x:v>
      </x:c>
      <x:c r="N749" s="14" t="n">
        <x:f>IF(E749&lt;&gt;"",1,0)+IF(F749&lt;&gt;"",1,0)+IF(H749&lt;&gt;"",1,0)+IF(J749&lt;&gt;"",1,0)+IF(L749&lt;&gt;"",1,0)</x:f>
        <x:v>1</x:v>
      </x:c>
      <x:c r="O749" s="14" t="str">
        <x:f>IF(E749="","MISSING MAIN",IF(N749=1,"MAIN ONLY","MULTI-PHOTO"))</x:f>
        <x:v>MAIN ONLY</x:v>
      </x:c>
      <x:c r="P749" s="14" t="str">
        <x:v>0852_</x:v>
      </x:c>
      <x:c r="Q749" s="14" t="str">
        <x:v>https://mb1advancedsolutions.github.io/mb1-catalog/index.html?design=0852</x:v>
      </x:c>
      <x:c r="R749" s="14" t="str"/>
    </x:row>
    <x:row r="750">
      <x:c r="A750" s="13" t="str">
        <x:v>MB1-0853</x:v>
      </x:c>
      <x:c r="B750" s="13" t="str">
        <x:v>MB1-0853</x:v>
      </x:c>
      <x:c r="C750" s="14" t="str">
        <x:v>Arcade</x:v>
      </x:c>
      <x:c r="D750" s="14" t="str">
        <x:v>sports and hobbies</x:v>
      </x:c>
      <x:c r="E750" s="14" t="str">
        <x:v>https://res.cloudinary.com/oxygre42/image/upload/f_auto,q_auto,c_pad,b_white,w_1200,h_1200/v1788350193/0853_Arcade.png</x:v>
      </x:c>
      <x:c r="F750" s="14" t="str"/>
      <x:c r="G750" s="14" t="str">
        <x:v>Lifestyle</x:v>
      </x:c>
      <x:c r="H750" s="14" t="str"/>
      <x:c r="I750" s="14" t="str">
        <x:v>Detail</x:v>
      </x:c>
      <x:c r="J750" s="14" t="str"/>
      <x:c r="K750" s="14" t="str">
        <x:v>Scale</x:v>
      </x:c>
      <x:c r="L750" s="14" t="str"/>
      <x:c r="M750" s="14" t="str">
        <x:v>Alternate</x:v>
      </x:c>
      <x:c r="N750" s="14" t="n">
        <x:f>IF(E750&lt;&gt;"",1,0)+IF(F750&lt;&gt;"",1,0)+IF(H750&lt;&gt;"",1,0)+IF(J750&lt;&gt;"",1,0)+IF(L750&lt;&gt;"",1,0)</x:f>
        <x:v>1</x:v>
      </x:c>
      <x:c r="O750" s="14" t="str">
        <x:f>IF(E750="","MISSING MAIN",IF(N750=1,"MAIN ONLY","MULTI-PHOTO"))</x:f>
        <x:v>MAIN ONLY</x:v>
      </x:c>
      <x:c r="P750" s="14" t="str">
        <x:v>0853_</x:v>
      </x:c>
      <x:c r="Q750" s="14" t="str">
        <x:v>https://mb1advancedsolutions.github.io/mb1-catalog/index.html?design=0853</x:v>
      </x:c>
      <x:c r="R750" s="14" t="str"/>
    </x:row>
    <x:row r="751">
      <x:c r="A751" s="13" t="str">
        <x:v>MB1-0854</x:v>
      </x:c>
      <x:c r="B751" s="13" t="str">
        <x:v>MB1-0854</x:v>
      </x:c>
      <x:c r="C751" s="14" t="str">
        <x:v>Arrow Dream catcher</x:v>
      </x:c>
      <x:c r="D751" s="14" t="str">
        <x:v>home decor and inspirational</x:v>
      </x:c>
      <x:c r="E751" s="14" t="str">
        <x:v>https://res.cloudinary.com/oxygre42/image/upload/f_auto,q_auto,c_pad,b_white,w_1200,h_1200/v1788350194/0854_Arrow_Dream_catcher.png</x:v>
      </x:c>
      <x:c r="F751" s="14" t="str"/>
      <x:c r="G751" s="14" t="str">
        <x:v>Lifestyle</x:v>
      </x:c>
      <x:c r="H751" s="14" t="str"/>
      <x:c r="I751" s="14" t="str">
        <x:v>Detail</x:v>
      </x:c>
      <x:c r="J751" s="14" t="str"/>
      <x:c r="K751" s="14" t="str">
        <x:v>Scale</x:v>
      </x:c>
      <x:c r="L751" s="14" t="str"/>
      <x:c r="M751" s="14" t="str">
        <x:v>Alternate</x:v>
      </x:c>
      <x:c r="N751" s="14" t="n">
        <x:f>IF(E751&lt;&gt;"",1,0)+IF(F751&lt;&gt;"",1,0)+IF(H751&lt;&gt;"",1,0)+IF(J751&lt;&gt;"",1,0)+IF(L751&lt;&gt;"",1,0)</x:f>
        <x:v>1</x:v>
      </x:c>
      <x:c r="O751" s="14" t="str">
        <x:f>IF(E751="","MISSING MAIN",IF(N751=1,"MAIN ONLY","MULTI-PHOTO"))</x:f>
        <x:v>MAIN ONLY</x:v>
      </x:c>
      <x:c r="P751" s="14" t="str">
        <x:v>0854_</x:v>
      </x:c>
      <x:c r="Q751" s="14" t="str">
        <x:v>https://mb1advancedsolutions.github.io/mb1-catalog/index.html?design=0854</x:v>
      </x:c>
      <x:c r="R751" s="14" t="str"/>
    </x:row>
    <x:row r="752">
      <x:c r="A752" s="13" t="str">
        <x:v>MB1-0855</x:v>
      </x:c>
      <x:c r="B752" s="13" t="str">
        <x:v>MB1-0855</x:v>
      </x:c>
      <x:c r="C752" s="14" t="str">
        <x:v>Atlas</x:v>
      </x:c>
      <x:c r="D752" s="14" t="str">
        <x:v>home decor and inspirational</x:v>
      </x:c>
      <x:c r="E752" s="14" t="str">
        <x:v>https://res.cloudinary.com/oxygre42/image/upload/f_auto,q_auto,c_pad,b_white,w_1200,h_1200/v1788350196/0855_Atlas.png</x:v>
      </x:c>
      <x:c r="F752" s="14" t="str"/>
      <x:c r="G752" s="14" t="str">
        <x:v>Lifestyle</x:v>
      </x:c>
      <x:c r="H752" s="14" t="str"/>
      <x:c r="I752" s="14" t="str">
        <x:v>Detail</x:v>
      </x:c>
      <x:c r="J752" s="14" t="str"/>
      <x:c r="K752" s="14" t="str">
        <x:v>Scale</x:v>
      </x:c>
      <x:c r="L752" s="14" t="str"/>
      <x:c r="M752" s="14" t="str">
        <x:v>Alternate</x:v>
      </x:c>
      <x:c r="N752" s="14" t="n">
        <x:f>IF(E752&lt;&gt;"",1,0)+IF(F752&lt;&gt;"",1,0)+IF(H752&lt;&gt;"",1,0)+IF(J752&lt;&gt;"",1,0)+IF(L752&lt;&gt;"",1,0)</x:f>
        <x:v>1</x:v>
      </x:c>
      <x:c r="O752" s="14" t="str">
        <x:f>IF(E752="","MISSING MAIN",IF(N752=1,"MAIN ONLY","MULTI-PHOTO"))</x:f>
        <x:v>MAIN ONLY</x:v>
      </x:c>
      <x:c r="P752" s="14" t="str">
        <x:v>0855_</x:v>
      </x:c>
      <x:c r="Q752" s="14" t="str">
        <x:v>https://mb1advancedsolutions.github.io/mb1-catalog/index.html?design=0855</x:v>
      </x:c>
      <x:c r="R752" s="14" t="str"/>
    </x:row>
    <x:row r="753">
      <x:c r="A753" s="13" t="str">
        <x:v>MB1-0856</x:v>
      </x:c>
      <x:c r="B753" s="13" t="str">
        <x:v>MB1-0856</x:v>
      </x:c>
      <x:c r="C753" s="14" t="str">
        <x:v>BBQ Pig 2</x:v>
      </x:c>
      <x:c r="D753" s="14" t="str">
        <x:v>sports and hobbies</x:v>
      </x:c>
      <x:c r="E753" s="14" t="str">
        <x:v>https://res.cloudinary.com/oxygre42/image/upload/f_auto,q_auto,c_pad,b_white,w_1200,h_1200/v1788350198/0856_BBQ_Pig_2.png</x:v>
      </x:c>
      <x:c r="F753" s="14" t="str"/>
      <x:c r="G753" s="14" t="str">
        <x:v>Lifestyle</x:v>
      </x:c>
      <x:c r="H753" s="14" t="str"/>
      <x:c r="I753" s="14" t="str">
        <x:v>Detail</x:v>
      </x:c>
      <x:c r="J753" s="14" t="str"/>
      <x:c r="K753" s="14" t="str">
        <x:v>Scale</x:v>
      </x:c>
      <x:c r="L753" s="14" t="str"/>
      <x:c r="M753" s="14" t="str">
        <x:v>Alternate</x:v>
      </x:c>
      <x:c r="N753" s="14" t="n">
        <x:f>IF(E753&lt;&gt;"",1,0)+IF(F753&lt;&gt;"",1,0)+IF(H753&lt;&gt;"",1,0)+IF(J753&lt;&gt;"",1,0)+IF(L753&lt;&gt;"",1,0)</x:f>
        <x:v>1</x:v>
      </x:c>
      <x:c r="O753" s="14" t="str">
        <x:f>IF(E753="","MISSING MAIN",IF(N753=1,"MAIN ONLY","MULTI-PHOTO"))</x:f>
        <x:v>MAIN ONLY</x:v>
      </x:c>
      <x:c r="P753" s="14" t="str">
        <x:v>0856_</x:v>
      </x:c>
      <x:c r="Q753" s="14" t="str">
        <x:v>https://mb1advancedsolutions.github.io/mb1-catalog/index.html?design=0856</x:v>
      </x:c>
      <x:c r="R753" s="14" t="str"/>
    </x:row>
    <x:row r="754">
      <x:c r="A754" s="13" t="str">
        <x:v>MB1-0857</x:v>
      </x:c>
      <x:c r="B754" s="13" t="str">
        <x:v>MB1-0857</x:v>
      </x:c>
      <x:c r="C754" s="14" t="str">
        <x:v>BBQ Pig and utensils</x:v>
      </x:c>
      <x:c r="D754" s="14" t="str">
        <x:v>sports and hobbies</x:v>
      </x:c>
      <x:c r="E754" s="14" t="str">
        <x:v>https://res.cloudinary.com/oxygre42/image/upload/f_auto,q_auto,c_pad,b_white,w_1200,h_1200/v1788350200/0857_BBQ_Pig_and_utensils.png</x:v>
      </x:c>
      <x:c r="F754" s="14" t="str"/>
      <x:c r="G754" s="14" t="str">
        <x:v>Lifestyle</x:v>
      </x:c>
      <x:c r="H754" s="14" t="str"/>
      <x:c r="I754" s="14" t="str">
        <x:v>Detail</x:v>
      </x:c>
      <x:c r="J754" s="14" t="str"/>
      <x:c r="K754" s="14" t="str">
        <x:v>Scale</x:v>
      </x:c>
      <x:c r="L754" s="14" t="str"/>
      <x:c r="M754" s="14" t="str">
        <x:v>Alternate</x:v>
      </x:c>
      <x:c r="N754" s="14" t="n">
        <x:f>IF(E754&lt;&gt;"",1,0)+IF(F754&lt;&gt;"",1,0)+IF(H754&lt;&gt;"",1,0)+IF(J754&lt;&gt;"",1,0)+IF(L754&lt;&gt;"",1,0)</x:f>
        <x:v>1</x:v>
      </x:c>
      <x:c r="O754" s="14" t="str">
        <x:f>IF(E754="","MISSING MAIN",IF(N754=1,"MAIN ONLY","MULTI-PHOTO"))</x:f>
        <x:v>MAIN ONLY</x:v>
      </x:c>
      <x:c r="P754" s="14" t="str">
        <x:v>0857_</x:v>
      </x:c>
      <x:c r="Q754" s="14" t="str">
        <x:v>https://mb1advancedsolutions.github.io/mb1-catalog/index.html?design=0857</x:v>
      </x:c>
      <x:c r="R754" s="14" t="str"/>
    </x:row>
    <x:row r="755">
      <x:c r="A755" s="13" t="str">
        <x:v>MB1-0858</x:v>
      </x:c>
      <x:c r="B755" s="13" t="str">
        <x:v>MB1-0858</x:v>
      </x:c>
      <x:c r="C755" s="14" t="str">
        <x:v>BBQ Pig</x:v>
      </x:c>
      <x:c r="D755" s="14" t="str">
        <x:v>sports and hobbies</x:v>
      </x:c>
      <x:c r="E755" s="14" t="str">
        <x:v>https://res.cloudinary.com/oxygre42/image/upload/f_auto,q_auto,c_pad,b_white,w_1200,h_1200/v1788350202/0858_BBQ_Pig.png</x:v>
      </x:c>
      <x:c r="F755" s="14" t="str"/>
      <x:c r="G755" s="14" t="str">
        <x:v>Lifestyle</x:v>
      </x:c>
      <x:c r="H755" s="14" t="str"/>
      <x:c r="I755" s="14" t="str">
        <x:v>Detail</x:v>
      </x:c>
      <x:c r="J755" s="14" t="str"/>
      <x:c r="K755" s="14" t="str">
        <x:v>Scale</x:v>
      </x:c>
      <x:c r="L755" s="14" t="str"/>
      <x:c r="M755" s="14" t="str">
        <x:v>Alternate</x:v>
      </x:c>
      <x:c r="N755" s="14" t="n">
        <x:f>IF(E755&lt;&gt;"",1,0)+IF(F755&lt;&gt;"",1,0)+IF(H755&lt;&gt;"",1,0)+IF(J755&lt;&gt;"",1,0)+IF(L755&lt;&gt;"",1,0)</x:f>
        <x:v>1</x:v>
      </x:c>
      <x:c r="O755" s="14" t="str">
        <x:f>IF(E755="","MISSING MAIN",IF(N755=1,"MAIN ONLY","MULTI-PHOTO"))</x:f>
        <x:v>MAIN ONLY</x:v>
      </x:c>
      <x:c r="P755" s="14" t="str">
        <x:v>0858_</x:v>
      </x:c>
      <x:c r="Q755" s="14" t="str">
        <x:v>https://mb1advancedsolutions.github.io/mb1-catalog/index.html?design=0858</x:v>
      </x:c>
      <x:c r="R755" s="14" t="str"/>
    </x:row>
    <x:row r="756">
      <x:c r="A756" s="13" t="str">
        <x:v>MB1-0860</x:v>
      </x:c>
      <x:c r="B756" s="13" t="str">
        <x:v>MB1-0860</x:v>
      </x:c>
      <x:c r="C756" s="14" t="str">
        <x:v>Bar</x:v>
      </x:c>
      <x:c r="D756" s="14" t="str">
        <x:v>sports and hobbies</x:v>
      </x:c>
      <x:c r="E756" s="14" t="str">
        <x:v>https://res.cloudinary.com/oxygre42/image/upload/f_auto,q_auto,c_pad,b_white,w_1200,h_1200/v1788350206/0860_Bar.png</x:v>
      </x:c>
      <x:c r="F756" s="14" t="str"/>
      <x:c r="G756" s="14" t="str">
        <x:v>Lifestyle</x:v>
      </x:c>
      <x:c r="H756" s="14" t="str"/>
      <x:c r="I756" s="14" t="str">
        <x:v>Detail</x:v>
      </x:c>
      <x:c r="J756" s="14" t="str"/>
      <x:c r="K756" s="14" t="str">
        <x:v>Scale</x:v>
      </x:c>
      <x:c r="L756" s="14" t="str"/>
      <x:c r="M756" s="14" t="str">
        <x:v>Alternate</x:v>
      </x:c>
      <x:c r="N756" s="14" t="n">
        <x:f>IF(E756&lt;&gt;"",1,0)+IF(F756&lt;&gt;"",1,0)+IF(H756&lt;&gt;"",1,0)+IF(J756&lt;&gt;"",1,0)+IF(L756&lt;&gt;"",1,0)</x:f>
        <x:v>1</x:v>
      </x:c>
      <x:c r="O756" s="14" t="str">
        <x:f>IF(E756="","MISSING MAIN",IF(N756=1,"MAIN ONLY","MULTI-PHOTO"))</x:f>
        <x:v>MAIN ONLY</x:v>
      </x:c>
      <x:c r="P756" s="14" t="str">
        <x:v>0860_</x:v>
      </x:c>
      <x:c r="Q756" s="14" t="str">
        <x:v>https://mb1advancedsolutions.github.io/mb1-catalog/index.html?design=0860</x:v>
      </x:c>
      <x:c r="R756" s="14" t="str"/>
    </x:row>
    <x:row r="757">
      <x:c r="A757" s="13" t="str">
        <x:v>MB1-0861</x:v>
      </x:c>
      <x:c r="B757" s="13" t="str">
        <x:v>MB1-0861</x:v>
      </x:c>
      <x:c r="C757" s="14" t="str">
        <x:v>Barb wire framed cross</x:v>
      </x:c>
      <x:c r="D757" s="14" t="str">
        <x:v>home decor and inspirational</x:v>
      </x:c>
      <x:c r="E757" s="14" t="str">
        <x:v>https://res.cloudinary.com/oxygre42/image/upload/f_auto,q_auto,c_pad,b_white,w_1200,h_1200/v1788350208/0861_Barb_wire_framed_cross.png</x:v>
      </x:c>
      <x:c r="F757" s="14" t="str"/>
      <x:c r="G757" s="14" t="str">
        <x:v>Lifestyle</x:v>
      </x:c>
      <x:c r="H757" s="14" t="str"/>
      <x:c r="I757" s="14" t="str">
        <x:v>Detail</x:v>
      </x:c>
      <x:c r="J757" s="14" t="str"/>
      <x:c r="K757" s="14" t="str">
        <x:v>Scale</x:v>
      </x:c>
      <x:c r="L757" s="14" t="str"/>
      <x:c r="M757" s="14" t="str">
        <x:v>Alternate</x:v>
      </x:c>
      <x:c r="N757" s="14" t="n">
        <x:f>IF(E757&lt;&gt;"",1,0)+IF(F757&lt;&gt;"",1,0)+IF(H757&lt;&gt;"",1,0)+IF(J757&lt;&gt;"",1,0)+IF(L757&lt;&gt;"",1,0)</x:f>
        <x:v>1</x:v>
      </x:c>
      <x:c r="O757" s="14" t="str">
        <x:f>IF(E757="","MISSING MAIN",IF(N757=1,"MAIN ONLY","MULTI-PHOTO"))</x:f>
        <x:v>MAIN ONLY</x:v>
      </x:c>
      <x:c r="P757" s="14" t="str">
        <x:v>0861_</x:v>
      </x:c>
      <x:c r="Q757" s="14" t="str">
        <x:v>https://mb1advancedsolutions.github.io/mb1-catalog/index.html?design=0861</x:v>
      </x:c>
      <x:c r="R757" s="14" t="str"/>
    </x:row>
    <x:row r="758">
      <x:c r="A758" s="13" t="str">
        <x:v>MB1-0862</x:v>
      </x:c>
      <x:c r="B758" s="13" t="str">
        <x:v>MB1-0862</x:v>
      </x:c>
      <x:c r="C758" s="14" t="str">
        <x:v>Bed and Breakfast</x:v>
      </x:c>
      <x:c r="D758" s="14" t="str">
        <x:v>home decor and inspirational</x:v>
      </x:c>
      <x:c r="E758" s="14" t="str">
        <x:v>https://res.cloudinary.com/oxygre42/image/upload/f_auto,q_auto,c_pad,b_white,w_1200,h_1200/v1788350209/0862_Bed_and_Breakfast.png</x:v>
      </x:c>
      <x:c r="F758" s="14" t="str"/>
      <x:c r="G758" s="14" t="str">
        <x:v>Lifestyle</x:v>
      </x:c>
      <x:c r="H758" s="14" t="str"/>
      <x:c r="I758" s="14" t="str">
        <x:v>Detail</x:v>
      </x:c>
      <x:c r="J758" s="14" t="str"/>
      <x:c r="K758" s="14" t="str">
        <x:v>Scale</x:v>
      </x:c>
      <x:c r="L758" s="14" t="str"/>
      <x:c r="M758" s="14" t="str">
        <x:v>Alternate</x:v>
      </x:c>
      <x:c r="N758" s="14" t="n">
        <x:f>IF(E758&lt;&gt;"",1,0)+IF(F758&lt;&gt;"",1,0)+IF(H758&lt;&gt;"",1,0)+IF(J758&lt;&gt;"",1,0)+IF(L758&lt;&gt;"",1,0)</x:f>
        <x:v>1</x:v>
      </x:c>
      <x:c r="O758" s="14" t="str">
        <x:f>IF(E758="","MISSING MAIN",IF(N758=1,"MAIN ONLY","MULTI-PHOTO"))</x:f>
        <x:v>MAIN ONLY</x:v>
      </x:c>
      <x:c r="P758" s="14" t="str">
        <x:v>0862_</x:v>
      </x:c>
      <x:c r="Q758" s="14" t="str">
        <x:v>https://mb1advancedsolutions.github.io/mb1-catalog/index.html?design=0862</x:v>
      </x:c>
      <x:c r="R758" s="14" t="str"/>
    </x:row>
    <x:row r="759">
      <x:c r="A759" s="13" t="str">
        <x:v>MB1-0863</x:v>
      </x:c>
      <x:c r="B759" s="13" t="str">
        <x:v>MB1-0863</x:v>
      </x:c>
      <x:c r="C759" s="14" t="str">
        <x:v>Beef cuts</x:v>
      </x:c>
      <x:c r="D759" s="14" t="str">
        <x:v>farm and western</x:v>
      </x:c>
      <x:c r="E759" s="14" t="str">
        <x:v>https://res.cloudinary.com/oxygre42/image/upload/f_auto,q_auto,c_pad,b_white,w_1200,h_1200/v1788350211/0863_Beef_cuts.png</x:v>
      </x:c>
      <x:c r="F759" s="14" t="str"/>
      <x:c r="G759" s="14" t="str">
        <x:v>Lifestyle</x:v>
      </x:c>
      <x:c r="H759" s="14" t="str"/>
      <x:c r="I759" s="14" t="str">
        <x:v>Detail</x:v>
      </x:c>
      <x:c r="J759" s="14" t="str"/>
      <x:c r="K759" s="14" t="str">
        <x:v>Scale</x:v>
      </x:c>
      <x:c r="L759" s="14" t="str"/>
      <x:c r="M759" s="14" t="str">
        <x:v>Alternate</x:v>
      </x:c>
      <x:c r="N759" s="14" t="n">
        <x:f>IF(E759&lt;&gt;"",1,0)+IF(F759&lt;&gt;"",1,0)+IF(H759&lt;&gt;"",1,0)+IF(J759&lt;&gt;"",1,0)+IF(L759&lt;&gt;"",1,0)</x:f>
        <x:v>1</x:v>
      </x:c>
      <x:c r="O759" s="14" t="str">
        <x:f>IF(E759="","MISSING MAIN",IF(N759=1,"MAIN ONLY","MULTI-PHOTO"))</x:f>
        <x:v>MAIN ONLY</x:v>
      </x:c>
      <x:c r="P759" s="14" t="str">
        <x:v>0863_</x:v>
      </x:c>
      <x:c r="Q759" s="14" t="str">
        <x:v>https://mb1advancedsolutions.github.io/mb1-catalog/index.html?design=0863</x:v>
      </x:c>
      <x:c r="R759" s="14" t="str"/>
    </x:row>
    <x:row r="760">
      <x:c r="A760" s="13" t="str">
        <x:v>MB1-0864</x:v>
      </x:c>
      <x:c r="B760" s="13" t="str">
        <x:v>MB1-0864</x:v>
      </x:c>
      <x:c r="C760" s="14" t="str">
        <x:v>Beer Barrel</x:v>
      </x:c>
      <x:c r="D760" s="14" t="str">
        <x:v>sports and hobbies</x:v>
      </x:c>
      <x:c r="E760" s="14" t="str">
        <x:v>https://res.cloudinary.com/oxygre42/image/upload/f_auto,q_auto,c_pad,b_white,w_1200,h_1200/v1788350213/0864_Beer_Barrel.png</x:v>
      </x:c>
      <x:c r="F760" s="14" t="str"/>
      <x:c r="G760" s="14" t="str">
        <x:v>Lifestyle</x:v>
      </x:c>
      <x:c r="H760" s="14" t="str"/>
      <x:c r="I760" s="14" t="str">
        <x:v>Detail</x:v>
      </x:c>
      <x:c r="J760" s="14" t="str"/>
      <x:c r="K760" s="14" t="str">
        <x:v>Scale</x:v>
      </x:c>
      <x:c r="L760" s="14" t="str"/>
      <x:c r="M760" s="14" t="str">
        <x:v>Alternate</x:v>
      </x:c>
      <x:c r="N760" s="14" t="n">
        <x:f>IF(E760&lt;&gt;"",1,0)+IF(F760&lt;&gt;"",1,0)+IF(H760&lt;&gt;"",1,0)+IF(J760&lt;&gt;"",1,0)+IF(L760&lt;&gt;"",1,0)</x:f>
        <x:v>1</x:v>
      </x:c>
      <x:c r="O760" s="14" t="str">
        <x:f>IF(E760="","MISSING MAIN",IF(N760=1,"MAIN ONLY","MULTI-PHOTO"))</x:f>
        <x:v>MAIN ONLY</x:v>
      </x:c>
      <x:c r="P760" s="14" t="str">
        <x:v>0864_</x:v>
      </x:c>
      <x:c r="Q760" s="14" t="str">
        <x:v>https://mb1advancedsolutions.github.io/mb1-catalog/index.html?design=0864</x:v>
      </x:c>
      <x:c r="R760" s="14" t="str"/>
    </x:row>
    <x:row r="761">
      <x:c r="A761" s="13" t="str">
        <x:v>MB1-0865</x:v>
      </x:c>
      <x:c r="B761" s="13" t="str">
        <x:v>MB1-0865</x:v>
      </x:c>
      <x:c r="C761" s="14" t="str">
        <x:v>Beer Stein Shakespeare</x:v>
      </x:c>
      <x:c r="D761" s="14" t="str">
        <x:v>sports and hobbies</x:v>
      </x:c>
      <x:c r="E761" s="14" t="str">
        <x:v>https://res.cloudinary.com/oxygre42/image/upload/f_auto,q_auto,c_pad,b_white,w_1200,h_1200/v1788350215/0865_Beer_Stein_Shakespeare.png</x:v>
      </x:c>
      <x:c r="F761" s="14" t="str"/>
      <x:c r="G761" s="14" t="str">
        <x:v>Lifestyle</x:v>
      </x:c>
      <x:c r="H761" s="14" t="str"/>
      <x:c r="I761" s="14" t="str">
        <x:v>Detail</x:v>
      </x:c>
      <x:c r="J761" s="14" t="str"/>
      <x:c r="K761" s="14" t="str">
        <x:v>Scale</x:v>
      </x:c>
      <x:c r="L761" s="14" t="str"/>
      <x:c r="M761" s="14" t="str">
        <x:v>Alternate</x:v>
      </x:c>
      <x:c r="N761" s="14" t="n">
        <x:f>IF(E761&lt;&gt;"",1,0)+IF(F761&lt;&gt;"",1,0)+IF(H761&lt;&gt;"",1,0)+IF(J761&lt;&gt;"",1,0)+IF(L761&lt;&gt;"",1,0)</x:f>
        <x:v>1</x:v>
      </x:c>
      <x:c r="O761" s="14" t="str">
        <x:f>IF(E761="","MISSING MAIN",IF(N761=1,"MAIN ONLY","MULTI-PHOTO"))</x:f>
        <x:v>MAIN ONLY</x:v>
      </x:c>
      <x:c r="P761" s="14" t="str">
        <x:v>0865_</x:v>
      </x:c>
      <x:c r="Q761" s="14" t="str">
        <x:v>https://mb1advancedsolutions.github.io/mb1-catalog/index.html?design=0865</x:v>
      </x:c>
      <x:c r="R761" s="14" t="str"/>
    </x:row>
    <x:row r="762">
      <x:c r="A762" s="13" t="str">
        <x:v>MB1-0866</x:v>
      </x:c>
      <x:c r="B762" s="13" t="str">
        <x:v>MB1-0866</x:v>
      </x:c>
      <x:c r="C762" s="14" t="str">
        <x:v>Beer Tap Handle</x:v>
      </x:c>
      <x:c r="D762" s="14" t="str">
        <x:v>sports and hobbies</x:v>
      </x:c>
      <x:c r="E762" s="14" t="str">
        <x:v>https://res.cloudinary.com/oxygre42/image/upload/f_auto,q_auto,c_pad,b_white,w_1200,h_1200/v1788350217/0866_Beer_Tap_Handle.png</x:v>
      </x:c>
      <x:c r="F762" s="14" t="str"/>
      <x:c r="G762" s="14" t="str">
        <x:v>Lifestyle</x:v>
      </x:c>
      <x:c r="H762" s="14" t="str"/>
      <x:c r="I762" s="14" t="str">
        <x:v>Detail</x:v>
      </x:c>
      <x:c r="J762" s="14" t="str"/>
      <x:c r="K762" s="14" t="str">
        <x:v>Scale</x:v>
      </x:c>
      <x:c r="L762" s="14" t="str"/>
      <x:c r="M762" s="14" t="str">
        <x:v>Alternate</x:v>
      </x:c>
      <x:c r="N762" s="14" t="n">
        <x:f>IF(E762&lt;&gt;"",1,0)+IF(F762&lt;&gt;"",1,0)+IF(H762&lt;&gt;"",1,0)+IF(J762&lt;&gt;"",1,0)+IF(L762&lt;&gt;"",1,0)</x:f>
        <x:v>1</x:v>
      </x:c>
      <x:c r="O762" s="14" t="str">
        <x:f>IF(E762="","MISSING MAIN",IF(N762=1,"MAIN ONLY","MULTI-PHOTO"))</x:f>
        <x:v>MAIN ONLY</x:v>
      </x:c>
      <x:c r="P762" s="14" t="str">
        <x:v>0866_</x:v>
      </x:c>
      <x:c r="Q762" s="14" t="str">
        <x:v>https://mb1advancedsolutions.github.io/mb1-catalog/index.html?design=0866</x:v>
      </x:c>
      <x:c r="R762" s="14" t="str"/>
    </x:row>
    <x:row r="763">
      <x:c r="A763" s="13" t="str">
        <x:v>MB1-0867</x:v>
      </x:c>
      <x:c r="B763" s="13" t="str">
        <x:v>MB1-0867</x:v>
      </x:c>
      <x:c r="C763" s="14" t="str">
        <x:v>Believe</x:v>
      </x:c>
      <x:c r="D763" s="14" t="str">
        <x:v>home decor and inspirational</x:v>
      </x:c>
      <x:c r="E763" s="14" t="str">
        <x:v>https://res.cloudinary.com/oxygre42/image/upload/f_auto,q_auto,c_pad,b_white,w_1200,h_1200/v1788350223/0867_Believe.png</x:v>
      </x:c>
      <x:c r="F763" s="14" t="str"/>
      <x:c r="G763" s="14" t="str">
        <x:v>Lifestyle</x:v>
      </x:c>
      <x:c r="H763" s="14" t="str"/>
      <x:c r="I763" s="14" t="str">
        <x:v>Detail</x:v>
      </x:c>
      <x:c r="J763" s="14" t="str"/>
      <x:c r="K763" s="14" t="str">
        <x:v>Scale</x:v>
      </x:c>
      <x:c r="L763" s="14" t="str"/>
      <x:c r="M763" s="14" t="str">
        <x:v>Alternate</x:v>
      </x:c>
      <x:c r="N763" s="14" t="n">
        <x:f>IF(E763&lt;&gt;"",1,0)+IF(F763&lt;&gt;"",1,0)+IF(H763&lt;&gt;"",1,0)+IF(J763&lt;&gt;"",1,0)+IF(L763&lt;&gt;"",1,0)</x:f>
        <x:v>1</x:v>
      </x:c>
      <x:c r="O763" s="14" t="str">
        <x:f>IF(E763="","MISSING MAIN",IF(N763=1,"MAIN ONLY","MULTI-PHOTO"))</x:f>
        <x:v>MAIN ONLY</x:v>
      </x:c>
      <x:c r="P763" s="14" t="str">
        <x:v>0867_</x:v>
      </x:c>
      <x:c r="Q763" s="14" t="str">
        <x:v>https://mb1advancedsolutions.github.io/mb1-catalog/index.html?design=0867</x:v>
      </x:c>
      <x:c r="R763" s="14" t="str"/>
    </x:row>
    <x:row r="764">
      <x:c r="A764" s="13" t="str">
        <x:v>MB1-0868</x:v>
      </x:c>
      <x:c r="B764" s="13" t="str">
        <x:v>MB1-0868</x:v>
      </x:c>
      <x:c r="C764" s="14" t="str">
        <x:v>Beware of dog</x:v>
      </x:c>
      <x:c r="D764" s="14" t="str">
        <x:v>address and property</x:v>
      </x:c>
      <x:c r="E764" s="14" t="str">
        <x:v>https://res.cloudinary.com/oxygre42/image/upload/f_auto,q_auto,c_pad,b_white,w_1200,h_1200/v1788350224/0868_Beware_of_dog.png</x:v>
      </x:c>
      <x:c r="F764" s="14" t="str"/>
      <x:c r="G764" s="14" t="str">
        <x:v>Lifestyle</x:v>
      </x:c>
      <x:c r="H764" s="14" t="str"/>
      <x:c r="I764" s="14" t="str">
        <x:v>Detail</x:v>
      </x:c>
      <x:c r="J764" s="14" t="str"/>
      <x:c r="K764" s="14" t="str">
        <x:v>Scale</x:v>
      </x:c>
      <x:c r="L764" s="14" t="str"/>
      <x:c r="M764" s="14" t="str">
        <x:v>Alternate</x:v>
      </x:c>
      <x:c r="N764" s="14" t="n">
        <x:f>IF(E764&lt;&gt;"",1,0)+IF(F764&lt;&gt;"",1,0)+IF(H764&lt;&gt;"",1,0)+IF(J764&lt;&gt;"",1,0)+IF(L764&lt;&gt;"",1,0)</x:f>
        <x:v>1</x:v>
      </x:c>
      <x:c r="O764" s="14" t="str">
        <x:f>IF(E764="","MISSING MAIN",IF(N764=1,"MAIN ONLY","MULTI-PHOTO"))</x:f>
        <x:v>MAIN ONLY</x:v>
      </x:c>
      <x:c r="P764" s="14" t="str">
        <x:v>0868_</x:v>
      </x:c>
      <x:c r="Q764" s="14" t="str">
        <x:v>https://mb1advancedsolutions.github.io/mb1-catalog/index.html?design=0868</x:v>
      </x:c>
      <x:c r="R764" s="14" t="str"/>
    </x:row>
    <x:row r="765">
      <x:c r="A765" s="13" t="str">
        <x:v>MB1-0869</x:v>
      </x:c>
      <x:c r="B765" s="13" t="str">
        <x:v>MB1-0869</x:v>
      </x:c>
      <x:c r="C765" s="14" t="str">
        <x:v>Biohazard skull</x:v>
      </x:c>
      <x:c r="D765" s="14" t="str">
        <x:v>home decor and inspirational</x:v>
      </x:c>
      <x:c r="E765" s="14" t="str">
        <x:v>https://res.cloudinary.com/oxygre42/image/upload/f_auto,q_auto,c_pad,b_white,w_1200,h_1200/v1788350223/0869_Biohazard_skull.png</x:v>
      </x:c>
      <x:c r="F765" s="14" t="str"/>
      <x:c r="G765" s="14" t="str">
        <x:v>Lifestyle</x:v>
      </x:c>
      <x:c r="H765" s="14" t="str"/>
      <x:c r="I765" s="14" t="str">
        <x:v>Detail</x:v>
      </x:c>
      <x:c r="J765" s="14" t="str"/>
      <x:c r="K765" s="14" t="str">
        <x:v>Scale</x:v>
      </x:c>
      <x:c r="L765" s="14" t="str"/>
      <x:c r="M765" s="14" t="str">
        <x:v>Alternate</x:v>
      </x:c>
      <x:c r="N765" s="14" t="n">
        <x:f>IF(E765&lt;&gt;"",1,0)+IF(F765&lt;&gt;"",1,0)+IF(H765&lt;&gt;"",1,0)+IF(J765&lt;&gt;"",1,0)+IF(L765&lt;&gt;"",1,0)</x:f>
        <x:v>1</x:v>
      </x:c>
      <x:c r="O765" s="14" t="str">
        <x:f>IF(E765="","MISSING MAIN",IF(N765=1,"MAIN ONLY","MULTI-PHOTO"))</x:f>
        <x:v>MAIN ONLY</x:v>
      </x:c>
      <x:c r="P765" s="14" t="str">
        <x:v>0869_</x:v>
      </x:c>
      <x:c r="Q765" s="14" t="str">
        <x:v>https://mb1advancedsolutions.github.io/mb1-catalog/index.html?design=0869</x:v>
      </x:c>
      <x:c r="R765" s="14" t="str"/>
    </x:row>
    <x:row r="766">
      <x:c r="A766" s="13" t="str">
        <x:v>MB1-0870</x:v>
      </x:c>
      <x:c r="B766" s="13" t="str">
        <x:v>MB1-0870</x:v>
      </x:c>
      <x:c r="C766" s="14" t="str">
        <x:v>Blessed</x:v>
      </x:c>
      <x:c r="D766" s="14" t="str">
        <x:v>home decor and inspirational</x:v>
      </x:c>
      <x:c r="E766" s="14" t="str">
        <x:v>https://res.cloudinary.com/oxygre42/image/upload/f_auto,q_auto,c_pad,b_white,w_1200,h_1200/v1788350224/0870_Blessed.png</x:v>
      </x:c>
      <x:c r="F766" s="14" t="str"/>
      <x:c r="G766" s="14" t="str">
        <x:v>Lifestyle</x:v>
      </x:c>
      <x:c r="H766" s="14" t="str"/>
      <x:c r="I766" s="14" t="str">
        <x:v>Detail</x:v>
      </x:c>
      <x:c r="J766" s="14" t="str"/>
      <x:c r="K766" s="14" t="str">
        <x:v>Scale</x:v>
      </x:c>
      <x:c r="L766" s="14" t="str"/>
      <x:c r="M766" s="14" t="str">
        <x:v>Alternate</x:v>
      </x:c>
      <x:c r="N766" s="14" t="n">
        <x:f>IF(E766&lt;&gt;"",1,0)+IF(F766&lt;&gt;"",1,0)+IF(H766&lt;&gt;"",1,0)+IF(J766&lt;&gt;"",1,0)+IF(L766&lt;&gt;"",1,0)</x:f>
        <x:v>1</x:v>
      </x:c>
      <x:c r="O766" s="14" t="str">
        <x:f>IF(E766="","MISSING MAIN",IF(N766=1,"MAIN ONLY","MULTI-PHOTO"))</x:f>
        <x:v>MAIN ONLY</x:v>
      </x:c>
      <x:c r="P766" s="14" t="str">
        <x:v>0870_</x:v>
      </x:c>
      <x:c r="Q766" s="14" t="str">
        <x:v>https://mb1advancedsolutions.github.io/mb1-catalog/index.html?design=0870</x:v>
      </x:c>
      <x:c r="R766" s="14" t="str"/>
    </x:row>
    <x:row r="767">
      <x:c r="A767" s="13" t="str">
        <x:v>MB1-0871</x:v>
      </x:c>
      <x:c r="B767" s="13" t="str">
        <x:v>MB1-0871</x:v>
      </x:c>
      <x:c r="C767" s="14" t="str">
        <x:v>Bought Not Built</x:v>
      </x:c>
      <x:c r="D767" s="14" t="str">
        <x:v>home decor and inspirational</x:v>
      </x:c>
      <x:c r="E767" s="14" t="str">
        <x:v>https://res.cloudinary.com/oxygre42/image/upload/f_auto,q_auto,c_pad,b_white,w_1200,h_1200/v1788350227/0871_Bought_Not_Built.png</x:v>
      </x:c>
      <x:c r="F767" s="14" t="str"/>
      <x:c r="G767" s="14" t="str">
        <x:v>Lifestyle</x:v>
      </x:c>
      <x:c r="H767" s="14" t="str"/>
      <x:c r="I767" s="14" t="str">
        <x:v>Detail</x:v>
      </x:c>
      <x:c r="J767" s="14" t="str"/>
      <x:c r="K767" s="14" t="str">
        <x:v>Scale</x:v>
      </x:c>
      <x:c r="L767" s="14" t="str"/>
      <x:c r="M767" s="14" t="str">
        <x:v>Alternate</x:v>
      </x:c>
      <x:c r="N767" s="14" t="n">
        <x:f>IF(E767&lt;&gt;"",1,0)+IF(F767&lt;&gt;"",1,0)+IF(H767&lt;&gt;"",1,0)+IF(J767&lt;&gt;"",1,0)+IF(L767&lt;&gt;"",1,0)</x:f>
        <x:v>1</x:v>
      </x:c>
      <x:c r="O767" s="14" t="str">
        <x:f>IF(E767="","MISSING MAIN",IF(N767=1,"MAIN ONLY","MULTI-PHOTO"))</x:f>
        <x:v>MAIN ONLY</x:v>
      </x:c>
      <x:c r="P767" s="14" t="str">
        <x:v>0871_</x:v>
      </x:c>
      <x:c r="Q767" s="14" t="str">
        <x:v>https://mb1advancedsolutions.github.io/mb1-catalog/index.html?design=0871</x:v>
      </x:c>
      <x:c r="R767" s="14" t="str"/>
    </x:row>
    <x:row r="768">
      <x:c r="A768" s="13" t="str">
        <x:v>MB1-0872</x:v>
      </x:c>
      <x:c r="B768" s="13" t="str">
        <x:v>MB1-0872</x:v>
      </x:c>
      <x:c r="C768" s="14" t="str">
        <x:v>Bride and Groom 2</x:v>
      </x:c>
      <x:c r="D768" s="14" t="str">
        <x:v>wedding and events</x:v>
      </x:c>
      <x:c r="E768" s="14" t="str">
        <x:v>https://res.cloudinary.com/oxygre42/image/upload/f_auto,q_auto,c_pad,b_white,w_1200,h_1200/v1788350229/0872_Bride_and_Groom_2.png</x:v>
      </x:c>
      <x:c r="F768" s="14" t="str"/>
      <x:c r="G768" s="14" t="str">
        <x:v>Lifestyle</x:v>
      </x:c>
      <x:c r="H768" s="14" t="str"/>
      <x:c r="I768" s="14" t="str">
        <x:v>Detail</x:v>
      </x:c>
      <x:c r="J768" s="14" t="str"/>
      <x:c r="K768" s="14" t="str">
        <x:v>Scale</x:v>
      </x:c>
      <x:c r="L768" s="14" t="str"/>
      <x:c r="M768" s="14" t="str">
        <x:v>Alternate</x:v>
      </x:c>
      <x:c r="N768" s="14" t="n">
        <x:f>IF(E768&lt;&gt;"",1,0)+IF(F768&lt;&gt;"",1,0)+IF(H768&lt;&gt;"",1,0)+IF(J768&lt;&gt;"",1,0)+IF(L768&lt;&gt;"",1,0)</x:f>
        <x:v>1</x:v>
      </x:c>
      <x:c r="O768" s="14" t="str">
        <x:f>IF(E768="","MISSING MAIN",IF(N768=1,"MAIN ONLY","MULTI-PHOTO"))</x:f>
        <x:v>MAIN ONLY</x:v>
      </x:c>
      <x:c r="P768" s="14" t="str">
        <x:v>0872_</x:v>
      </x:c>
      <x:c r="Q768" s="14" t="str">
        <x:v>https://mb1advancedsolutions.github.io/mb1-catalog/index.html?design=0872</x:v>
      </x:c>
      <x:c r="R768" s="14" t="str"/>
    </x:row>
    <x:row r="769">
      <x:c r="A769" s="13" t="str">
        <x:v>MB1-0873</x:v>
      </x:c>
      <x:c r="B769" s="13" t="str">
        <x:v>MB1-0873</x:v>
      </x:c>
      <x:c r="C769" s="14" t="str">
        <x:v>Built Not Bought 2</x:v>
      </x:c>
      <x:c r="D769" s="14" t="str">
        <x:v>home decor and inspirational</x:v>
      </x:c>
      <x:c r="E769" s="14" t="str">
        <x:v>https://res.cloudinary.com/oxygre42/image/upload/f_auto,q_auto,c_pad,b_white,w_1200,h_1200/v1788350231/0873_Built_Not_Bought_2.png</x:v>
      </x:c>
      <x:c r="F769" s="14" t="str"/>
      <x:c r="G769" s="14" t="str">
        <x:v>Lifestyle</x:v>
      </x:c>
      <x:c r="H769" s="14" t="str"/>
      <x:c r="I769" s="14" t="str">
        <x:v>Detail</x:v>
      </x:c>
      <x:c r="J769" s="14" t="str"/>
      <x:c r="K769" s="14" t="str">
        <x:v>Scale</x:v>
      </x:c>
      <x:c r="L769" s="14" t="str"/>
      <x:c r="M769" s="14" t="str">
        <x:v>Alternate</x:v>
      </x:c>
      <x:c r="N769" s="14" t="n">
        <x:f>IF(E769&lt;&gt;"",1,0)+IF(F769&lt;&gt;"",1,0)+IF(H769&lt;&gt;"",1,0)+IF(J769&lt;&gt;"",1,0)+IF(L769&lt;&gt;"",1,0)</x:f>
        <x:v>1</x:v>
      </x:c>
      <x:c r="O769" s="14" t="str">
        <x:f>IF(E769="","MISSING MAIN",IF(N769=1,"MAIN ONLY","MULTI-PHOTO"))</x:f>
        <x:v>MAIN ONLY</x:v>
      </x:c>
      <x:c r="P769" s="14" t="str">
        <x:v>0873_</x:v>
      </x:c>
      <x:c r="Q769" s="14" t="str">
        <x:v>https://mb1advancedsolutions.github.io/mb1-catalog/index.html?design=0873</x:v>
      </x:c>
      <x:c r="R769" s="14" t="str"/>
    </x:row>
    <x:row r="770">
      <x:c r="A770" s="13" t="str">
        <x:v>MB1-0874</x:v>
      </x:c>
      <x:c r="B770" s="13" t="str">
        <x:v>MB1-0874</x:v>
      </x:c>
      <x:c r="C770" s="14" t="str">
        <x:v>Built Not Bought</x:v>
      </x:c>
      <x:c r="D770" s="14" t="str">
        <x:v>home decor and inspirational</x:v>
      </x:c>
      <x:c r="E770" s="14" t="str">
        <x:v>https://res.cloudinary.com/oxygre42/image/upload/f_auto,q_auto,c_pad,b_white,w_1200,h_1200/v1788350232/0874_Built_Not_Bought.png</x:v>
      </x:c>
      <x:c r="F770" s="14" t="str"/>
      <x:c r="G770" s="14" t="str">
        <x:v>Lifestyle</x:v>
      </x:c>
      <x:c r="H770" s="14" t="str"/>
      <x:c r="I770" s="14" t="str">
        <x:v>Detail</x:v>
      </x:c>
      <x:c r="J770" s="14" t="str"/>
      <x:c r="K770" s="14" t="str">
        <x:v>Scale</x:v>
      </x:c>
      <x:c r="L770" s="14" t="str"/>
      <x:c r="M770" s="14" t="str">
        <x:v>Alternate</x:v>
      </x:c>
      <x:c r="N770" s="14" t="n">
        <x:f>IF(E770&lt;&gt;"",1,0)+IF(F770&lt;&gt;"",1,0)+IF(H770&lt;&gt;"",1,0)+IF(J770&lt;&gt;"",1,0)+IF(L770&lt;&gt;"",1,0)</x:f>
        <x:v>1</x:v>
      </x:c>
      <x:c r="O770" s="14" t="str">
        <x:f>IF(E770="","MISSING MAIN",IF(N770=1,"MAIN ONLY","MULTI-PHOTO"))</x:f>
        <x:v>MAIN ONLY</x:v>
      </x:c>
      <x:c r="P770" s="14" t="str">
        <x:v>0874_</x:v>
      </x:c>
      <x:c r="Q770" s="14" t="str">
        <x:v>https://mb1advancedsolutions.github.io/mb1-catalog/index.html?design=0874</x:v>
      </x:c>
      <x:c r="R770" s="14" t="str"/>
    </x:row>
    <x:row r="771">
      <x:c r="A771" s="13" t="str">
        <x:v>MB1-0875</x:v>
      </x:c>
      <x:c r="B771" s="13" t="str">
        <x:v>MB1-0875</x:v>
      </x:c>
      <x:c r="C771" s="14" t="str">
        <x:v>Butterflies and heart</x:v>
      </x:c>
      <x:c r="D771" s="14" t="str">
        <x:v>wildlife and outdoors</x:v>
      </x:c>
      <x:c r="E771" s="14" t="str">
        <x:v>https://res.cloudinary.com/oxygre42/image/upload/f_auto,q_auto,c_pad,b_white,w_1200,h_1200/v1788350234/0875_Butterflies_and_heart.png</x:v>
      </x:c>
      <x:c r="F771" s="14" t="str"/>
      <x:c r="G771" s="14" t="str">
        <x:v>Lifestyle</x:v>
      </x:c>
      <x:c r="H771" s="14" t="str"/>
      <x:c r="I771" s="14" t="str">
        <x:v>Detail</x:v>
      </x:c>
      <x:c r="J771" s="14" t="str"/>
      <x:c r="K771" s="14" t="str">
        <x:v>Scale</x:v>
      </x:c>
      <x:c r="L771" s="14" t="str"/>
      <x:c r="M771" s="14" t="str">
        <x:v>Alternate</x:v>
      </x:c>
      <x:c r="N771" s="14" t="n">
        <x:f>IF(E771&lt;&gt;"",1,0)+IF(F771&lt;&gt;"",1,0)+IF(H771&lt;&gt;"",1,0)+IF(J771&lt;&gt;"",1,0)+IF(L771&lt;&gt;"",1,0)</x:f>
        <x:v>1</x:v>
      </x:c>
      <x:c r="O771" s="14" t="str">
        <x:f>IF(E771="","MISSING MAIN",IF(N771=1,"MAIN ONLY","MULTI-PHOTO"))</x:f>
        <x:v>MAIN ONLY</x:v>
      </x:c>
      <x:c r="P771" s="14" t="str">
        <x:v>0875_</x:v>
      </x:c>
      <x:c r="Q771" s="14" t="str">
        <x:v>https://mb1advancedsolutions.github.io/mb1-catalog/index.html?design=0875</x:v>
      </x:c>
      <x:c r="R771" s="14" t="str"/>
    </x:row>
    <x:row r="772">
      <x:c r="A772" s="13" t="str">
        <x:v>MB1-0878</x:v>
      </x:c>
      <x:c r="B772" s="13" t="str">
        <x:v>MB1-0878</x:v>
      </x:c>
      <x:c r="C772" s="14" t="str">
        <x:v>Camp oval</x:v>
      </x:c>
      <x:c r="D772" s="14" t="str">
        <x:v>wildlife and outdoors</x:v>
      </x:c>
      <x:c r="E772" s="14" t="str">
        <x:v>https://res.cloudinary.com/oxygre42/image/upload/f_auto,q_auto,c_pad,b_white,w_1200,h_1200/v1788350239/0878_Camp_oval.png</x:v>
      </x:c>
      <x:c r="F772" s="14" t="str"/>
      <x:c r="G772" s="14" t="str">
        <x:v>Lifestyle</x:v>
      </x:c>
      <x:c r="H772" s="14" t="str"/>
      <x:c r="I772" s="14" t="str">
        <x:v>Detail</x:v>
      </x:c>
      <x:c r="J772" s="14" t="str"/>
      <x:c r="K772" s="14" t="str">
        <x:v>Scale</x:v>
      </x:c>
      <x:c r="L772" s="14" t="str"/>
      <x:c r="M772" s="14" t="str">
        <x:v>Alternate</x:v>
      </x:c>
      <x:c r="N772" s="14" t="n">
        <x:f>IF(E772&lt;&gt;"",1,0)+IF(F772&lt;&gt;"",1,0)+IF(H772&lt;&gt;"",1,0)+IF(J772&lt;&gt;"",1,0)+IF(L772&lt;&gt;"",1,0)</x:f>
        <x:v>1</x:v>
      </x:c>
      <x:c r="O772" s="14" t="str">
        <x:f>IF(E772="","MISSING MAIN",IF(N772=1,"MAIN ONLY","MULTI-PHOTO"))</x:f>
        <x:v>MAIN ONLY</x:v>
      </x:c>
      <x:c r="P772" s="14" t="str">
        <x:v>0878_</x:v>
      </x:c>
      <x:c r="Q772" s="14" t="str">
        <x:v>https://mb1advancedsolutions.github.io/mb1-catalog/index.html?design=0878</x:v>
      </x:c>
      <x:c r="R772" s="14" t="str"/>
    </x:row>
    <x:row r="773">
      <x:c r="A773" s="13" t="str">
        <x:v>MB1-0879</x:v>
      </x:c>
      <x:c r="B773" s="13" t="str">
        <x:v>MB1-0879</x:v>
      </x:c>
      <x:c r="C773" s="14" t="str">
        <x:v>Camper name plate</x:v>
      </x:c>
      <x:c r="D773" s="14" t="str">
        <x:v>wildlife and outdoors</x:v>
      </x:c>
      <x:c r="E773" s="14" t="str">
        <x:v>https://res.cloudinary.com/oxygre42/image/upload/f_auto,q_auto,c_pad,b_white,w_1200,h_1200/v1788350241/0879_Camper_name_plate.png</x:v>
      </x:c>
      <x:c r="F773" s="14" t="str"/>
      <x:c r="G773" s="14" t="str">
        <x:v>Lifestyle</x:v>
      </x:c>
      <x:c r="H773" s="14" t="str"/>
      <x:c r="I773" s="14" t="str">
        <x:v>Detail</x:v>
      </x:c>
      <x:c r="J773" s="14" t="str"/>
      <x:c r="K773" s="14" t="str">
        <x:v>Scale</x:v>
      </x:c>
      <x:c r="L773" s="14" t="str"/>
      <x:c r="M773" s="14" t="str">
        <x:v>Alternate</x:v>
      </x:c>
      <x:c r="N773" s="14" t="n">
        <x:f>IF(E773&lt;&gt;"",1,0)+IF(F773&lt;&gt;"",1,0)+IF(H773&lt;&gt;"",1,0)+IF(J773&lt;&gt;"",1,0)+IF(L773&lt;&gt;"",1,0)</x:f>
        <x:v>1</x:v>
      </x:c>
      <x:c r="O773" s="14" t="str">
        <x:f>IF(E773="","MISSING MAIN",IF(N773=1,"MAIN ONLY","MULTI-PHOTO"))</x:f>
        <x:v>MAIN ONLY</x:v>
      </x:c>
      <x:c r="P773" s="14" t="str">
        <x:v>0879_</x:v>
      </x:c>
      <x:c r="Q773" s="14" t="str">
        <x:v>https://mb1advancedsolutions.github.io/mb1-catalog/index.html?design=0879</x:v>
      </x:c>
      <x:c r="R773" s="14" t="str"/>
    </x:row>
    <x:row r="774">
      <x:c r="A774" s="13" t="str">
        <x:v>MB1-0880</x:v>
      </x:c>
      <x:c r="B774" s="13" t="str">
        <x:v>MB1-0880</x:v>
      </x:c>
      <x:c r="C774" s="14" t="str">
        <x:v>Celtic heart Cross</x:v>
      </x:c>
      <x:c r="D774" s="14" t="str">
        <x:v>home decor and inspirational</x:v>
      </x:c>
      <x:c r="E774" s="14" t="str">
        <x:v>https://res.cloudinary.com/oxygre42/image/upload/f_auto,q_auto,c_pad,b_white,w_1200,h_1200/v1788350243/0880_Celtic_heart_Cross.jpg</x:v>
      </x:c>
      <x:c r="F774" s="14" t="str"/>
      <x:c r="G774" s="14" t="str">
        <x:v>Lifestyle</x:v>
      </x:c>
      <x:c r="H774" s="14" t="str"/>
      <x:c r="I774" s="14" t="str">
        <x:v>Detail</x:v>
      </x:c>
      <x:c r="J774" s="14" t="str"/>
      <x:c r="K774" s="14" t="str">
        <x:v>Scale</x:v>
      </x:c>
      <x:c r="L774" s="14" t="str"/>
      <x:c r="M774" s="14" t="str">
        <x:v>Alternate</x:v>
      </x:c>
      <x:c r="N774" s="14" t="n">
        <x:f>IF(E774&lt;&gt;"",1,0)+IF(F774&lt;&gt;"",1,0)+IF(H774&lt;&gt;"",1,0)+IF(J774&lt;&gt;"",1,0)+IF(L774&lt;&gt;"",1,0)</x:f>
        <x:v>1</x:v>
      </x:c>
      <x:c r="O774" s="14" t="str">
        <x:f>IF(E774="","MISSING MAIN",IF(N774=1,"MAIN ONLY","MULTI-PHOTO"))</x:f>
        <x:v>MAIN ONLY</x:v>
      </x:c>
      <x:c r="P774" s="14" t="str">
        <x:v>0880_</x:v>
      </x:c>
      <x:c r="Q774" s="14" t="str">
        <x:v>https://mb1advancedsolutions.github.io/mb1-catalog/index.html?design=0880</x:v>
      </x:c>
      <x:c r="R774" s="14" t="str"/>
    </x:row>
    <x:row r="775">
      <x:c r="A775" s="13" t="str">
        <x:v>MB1-0881</x:v>
      </x:c>
      <x:c r="B775" s="13" t="str">
        <x:v>MB1-0881</x:v>
      </x:c>
      <x:c r="C775" s="14" t="str">
        <x:v>Celtic tree of life</x:v>
      </x:c>
      <x:c r="D775" s="14" t="str">
        <x:v>home decor and inspirational</x:v>
      </x:c>
      <x:c r="E775" s="14" t="str">
        <x:v>https://res.cloudinary.com/oxygre42/image/upload/f_auto,q_auto,c_pad,b_white,w_1200,h_1200/v1788350245/0881_Celtic_tree_of_life.png</x:v>
      </x:c>
      <x:c r="F775" s="14" t="str"/>
      <x:c r="G775" s="14" t="str">
        <x:v>Lifestyle</x:v>
      </x:c>
      <x:c r="H775" s="14" t="str"/>
      <x:c r="I775" s="14" t="str">
        <x:v>Detail</x:v>
      </x:c>
      <x:c r="J775" s="14" t="str"/>
      <x:c r="K775" s="14" t="str">
        <x:v>Scale</x:v>
      </x:c>
      <x:c r="L775" s="14" t="str"/>
      <x:c r="M775" s="14" t="str">
        <x:v>Alternate</x:v>
      </x:c>
      <x:c r="N775" s="14" t="n">
        <x:f>IF(E775&lt;&gt;"",1,0)+IF(F775&lt;&gt;"",1,0)+IF(H775&lt;&gt;"",1,0)+IF(J775&lt;&gt;"",1,0)+IF(L775&lt;&gt;"",1,0)</x:f>
        <x:v>1</x:v>
      </x:c>
      <x:c r="O775" s="14" t="str">
        <x:f>IF(E775="","MISSING MAIN",IF(N775=1,"MAIN ONLY","MULTI-PHOTO"))</x:f>
        <x:v>MAIN ONLY</x:v>
      </x:c>
      <x:c r="P775" s="14" t="str">
        <x:v>0881_</x:v>
      </x:c>
      <x:c r="Q775" s="14" t="str">
        <x:v>https://mb1advancedsolutions.github.io/mb1-catalog/index.html?design=0881</x:v>
      </x:c>
      <x:c r="R775" s="14" t="str"/>
    </x:row>
    <x:row r="776">
      <x:c r="A776" s="13" t="str">
        <x:v>MB1-0883</x:v>
      </x:c>
      <x:c r="B776" s="13" t="str">
        <x:v>MB1-0883</x:v>
      </x:c>
      <x:c r="C776" s="14" t="str">
        <x:v>Chicken cuts</x:v>
      </x:c>
      <x:c r="D776" s="14" t="str">
        <x:v>farm and western</x:v>
      </x:c>
      <x:c r="E776" s="14" t="str">
        <x:v>https://res.cloudinary.com/oxygre42/image/upload/f_auto,q_auto,c_pad,b_white,w_1200,h_1200/v1788350249/0883_Chicken_cuts.png</x:v>
      </x:c>
      <x:c r="F776" s="14" t="str"/>
      <x:c r="G776" s="14" t="str">
        <x:v>Lifestyle</x:v>
      </x:c>
      <x:c r="H776" s="14" t="str"/>
      <x:c r="I776" s="14" t="str">
        <x:v>Detail</x:v>
      </x:c>
      <x:c r="J776" s="14" t="str"/>
      <x:c r="K776" s="14" t="str">
        <x:v>Scale</x:v>
      </x:c>
      <x:c r="L776" s="14" t="str"/>
      <x:c r="M776" s="14" t="str">
        <x:v>Alternate</x:v>
      </x:c>
      <x:c r="N776" s="14" t="n">
        <x:f>IF(E776&lt;&gt;"",1,0)+IF(F776&lt;&gt;"",1,0)+IF(H776&lt;&gt;"",1,0)+IF(J776&lt;&gt;"",1,0)+IF(L776&lt;&gt;"",1,0)</x:f>
        <x:v>1</x:v>
      </x:c>
      <x:c r="O776" s="14" t="str">
        <x:f>IF(E776="","MISSING MAIN",IF(N776=1,"MAIN ONLY","MULTI-PHOTO"))</x:f>
        <x:v>MAIN ONLY</x:v>
      </x:c>
      <x:c r="P776" s="14" t="str">
        <x:v>0883_</x:v>
      </x:c>
      <x:c r="Q776" s="14" t="str">
        <x:v>https://mb1advancedsolutions.github.io/mb1-catalog/index.html?design=0883</x:v>
      </x:c>
      <x:c r="R776" s="14" t="str"/>
    </x:row>
    <x:row r="777">
      <x:c r="A777" s="13" t="str">
        <x:v>MB1-0884</x:v>
      </x:c>
      <x:c r="B777" s="13" t="str">
        <x:v>MB1-0884</x:v>
      </x:c>
      <x:c r="C777" s="14" t="str">
        <x:v>Christmas tree and truck</x:v>
      </x:c>
      <x:c r="D777" s="14" t="str">
        <x:v>seasonal and holiday</x:v>
      </x:c>
      <x:c r="E777" s="14" t="str">
        <x:v>https://res.cloudinary.com/oxygre42/image/upload/f_auto,q_auto,c_pad,b_white,w_1200,h_1200/v1788350250/0884_Christmas_tree_and_truck.jpg</x:v>
      </x:c>
      <x:c r="F777" s="14" t="str"/>
      <x:c r="G777" s="14" t="str">
        <x:v>Lifestyle</x:v>
      </x:c>
      <x:c r="H777" s="14" t="str"/>
      <x:c r="I777" s="14" t="str">
        <x:v>Detail</x:v>
      </x:c>
      <x:c r="J777" s="14" t="str"/>
      <x:c r="K777" s="14" t="str">
        <x:v>Scale</x:v>
      </x:c>
      <x:c r="L777" s="14" t="str"/>
      <x:c r="M777" s="14" t="str">
        <x:v>Alternate</x:v>
      </x:c>
      <x:c r="N777" s="14" t="n">
        <x:f>IF(E777&lt;&gt;"",1,0)+IF(F777&lt;&gt;"",1,0)+IF(H777&lt;&gt;"",1,0)+IF(J777&lt;&gt;"",1,0)+IF(L777&lt;&gt;"",1,0)</x:f>
        <x:v>1</x:v>
      </x:c>
      <x:c r="O777" s="14" t="str">
        <x:f>IF(E777="","MISSING MAIN",IF(N777=1,"MAIN ONLY","MULTI-PHOTO"))</x:f>
        <x:v>MAIN ONLY</x:v>
      </x:c>
      <x:c r="P777" s="14" t="str">
        <x:v>0884_</x:v>
      </x:c>
      <x:c r="Q777" s="14" t="str">
        <x:v>https://mb1advancedsolutions.github.io/mb1-catalog/index.html?design=0884</x:v>
      </x:c>
      <x:c r="R777" s="14" t="str"/>
    </x:row>
    <x:row r="778">
      <x:c r="A778" s="13" t="str">
        <x:v>MB1-0885</x:v>
      </x:c>
      <x:c r="B778" s="13" t="str">
        <x:v>MB1-0885</x:v>
      </x:c>
      <x:c r="C778" s="14" t="str">
        <x:v>Christmas tree monogram</x:v>
      </x:c>
      <x:c r="D778" s="14" t="str">
        <x:v>seasonal and holiday</x:v>
      </x:c>
      <x:c r="E778" s="14" t="str">
        <x:v>https://res.cloudinary.com/oxygre42/image/upload/f_auto,q_auto,c_pad,b_white,w_1200,h_1200/v1788350252/0885_Christmas_tree_monogram.png</x:v>
      </x:c>
      <x:c r="F778" s="14" t="str"/>
      <x:c r="G778" s="14" t="str">
        <x:v>Lifestyle</x:v>
      </x:c>
      <x:c r="H778" s="14" t="str"/>
      <x:c r="I778" s="14" t="str">
        <x:v>Detail</x:v>
      </x:c>
      <x:c r="J778" s="14" t="str"/>
      <x:c r="K778" s="14" t="str">
        <x:v>Scale</x:v>
      </x:c>
      <x:c r="L778" s="14" t="str"/>
      <x:c r="M778" s="14" t="str">
        <x:v>Alternate</x:v>
      </x:c>
      <x:c r="N778" s="14" t="n">
        <x:f>IF(E778&lt;&gt;"",1,0)+IF(F778&lt;&gt;"",1,0)+IF(H778&lt;&gt;"",1,0)+IF(J778&lt;&gt;"",1,0)+IF(L778&lt;&gt;"",1,0)</x:f>
        <x:v>1</x:v>
      </x:c>
      <x:c r="O778" s="14" t="str">
        <x:f>IF(E778="","MISSING MAIN",IF(N778=1,"MAIN ONLY","MULTI-PHOTO"))</x:f>
        <x:v>MAIN ONLY</x:v>
      </x:c>
      <x:c r="P778" s="14" t="str">
        <x:v>0885_</x:v>
      </x:c>
      <x:c r="Q778" s="14" t="str">
        <x:v>https://mb1advancedsolutions.github.io/mb1-catalog/index.html?design=0885</x:v>
      </x:c>
      <x:c r="R778" s="14" t="str"/>
    </x:row>
    <x:row r="779">
      <x:c r="A779" s="13" t="str">
        <x:v>MB1-0886</x:v>
      </x:c>
      <x:c r="B779" s="13" t="str">
        <x:v>MB1-0886</x:v>
      </x:c>
      <x:c r="C779" s="14" t="str">
        <x:v>Cigar Lounge Version 2</x:v>
      </x:c>
      <x:c r="D779" s="14" t="str">
        <x:v>sports and hobbies</x:v>
      </x:c>
      <x:c r="E779" s="14" t="str">
        <x:v>https://res.cloudinary.com/oxygre42/image/upload/f_auto,q_auto,c_pad,b_white,w_1200,h_1200/v1788350254/0886_Cigar_Lounge_Version_2.png</x:v>
      </x:c>
      <x:c r="F779" s="14" t="str"/>
      <x:c r="G779" s="14" t="str">
        <x:v>Lifestyle</x:v>
      </x:c>
      <x:c r="H779" s="14" t="str"/>
      <x:c r="I779" s="14" t="str">
        <x:v>Detail</x:v>
      </x:c>
      <x:c r="J779" s="14" t="str"/>
      <x:c r="K779" s="14" t="str">
        <x:v>Scale</x:v>
      </x:c>
      <x:c r="L779" s="14" t="str"/>
      <x:c r="M779" s="14" t="str">
        <x:v>Alternate</x:v>
      </x:c>
      <x:c r="N779" s="14" t="n">
        <x:f>IF(E779&lt;&gt;"",1,0)+IF(F779&lt;&gt;"",1,0)+IF(H779&lt;&gt;"",1,0)+IF(J779&lt;&gt;"",1,0)+IF(L779&lt;&gt;"",1,0)</x:f>
        <x:v>1</x:v>
      </x:c>
      <x:c r="O779" s="14" t="str">
        <x:f>IF(E779="","MISSING MAIN",IF(N779=1,"MAIN ONLY","MULTI-PHOTO"))</x:f>
        <x:v>MAIN ONLY</x:v>
      </x:c>
      <x:c r="P779" s="14" t="str">
        <x:v>0886_</x:v>
      </x:c>
      <x:c r="Q779" s="14" t="str">
        <x:v>https://mb1advancedsolutions.github.io/mb1-catalog/index.html?design=0886</x:v>
      </x:c>
      <x:c r="R779" s="14" t="str"/>
    </x:row>
    <x:row r="780">
      <x:c r="A780" s="13" t="str">
        <x:v>MB1-0887</x:v>
      </x:c>
      <x:c r="B780" s="13" t="str">
        <x:v>MB1-0887</x:v>
      </x:c>
      <x:c r="C780" s="14" t="str">
        <x:v>Cigar Lounge</x:v>
      </x:c>
      <x:c r="D780" s="14" t="str">
        <x:v>sports and hobbies</x:v>
      </x:c>
      <x:c r="E780" s="14" t="str">
        <x:v>https://res.cloudinary.com/oxygre42/image/upload/f_auto,q_auto,c_pad,b_white,w_1200,h_1200/v1788350256/0887_Cigar_Lounge.png</x:v>
      </x:c>
      <x:c r="F780" s="14" t="str"/>
      <x:c r="G780" s="14" t="str">
        <x:v>Lifestyle</x:v>
      </x:c>
      <x:c r="H780" s="14" t="str"/>
      <x:c r="I780" s="14" t="str">
        <x:v>Detail</x:v>
      </x:c>
      <x:c r="J780" s="14" t="str"/>
      <x:c r="K780" s="14" t="str">
        <x:v>Scale</x:v>
      </x:c>
      <x:c r="L780" s="14" t="str"/>
      <x:c r="M780" s="14" t="str">
        <x:v>Alternate</x:v>
      </x:c>
      <x:c r="N780" s="14" t="n">
        <x:f>IF(E780&lt;&gt;"",1,0)+IF(F780&lt;&gt;"",1,0)+IF(H780&lt;&gt;"",1,0)+IF(J780&lt;&gt;"",1,0)+IF(L780&lt;&gt;"",1,0)</x:f>
        <x:v>1</x:v>
      </x:c>
      <x:c r="O780" s="14" t="str">
        <x:f>IF(E780="","MISSING MAIN",IF(N780=1,"MAIN ONLY","MULTI-PHOTO"))</x:f>
        <x:v>MAIN ONLY</x:v>
      </x:c>
      <x:c r="P780" s="14" t="str">
        <x:v>0887_</x:v>
      </x:c>
      <x:c r="Q780" s="14" t="str">
        <x:v>https://mb1advancedsolutions.github.io/mb1-catalog/index.html?design=0887</x:v>
      </x:c>
      <x:c r="R780" s="14" t="str"/>
    </x:row>
    <x:row r="781">
      <x:c r="A781" s="13" t="str">
        <x:v>MB1-0888</x:v>
      </x:c>
      <x:c r="B781" s="13" t="str">
        <x:v>MB1-0888</x:v>
      </x:c>
      <x:c r="C781" s="14" t="str">
        <x:v>Cigar and Bourbon</x:v>
      </x:c>
      <x:c r="D781" s="14" t="str">
        <x:v>sports and hobbies</x:v>
      </x:c>
      <x:c r="E781" s="14" t="str">
        <x:v>https://res.cloudinary.com/oxygre42/image/upload/f_auto,q_auto,c_pad,b_white,w_1200,h_1200/v1788350258/0888_Cigar_and_Bourbon.png</x:v>
      </x:c>
      <x:c r="F781" s="14" t="str"/>
      <x:c r="G781" s="14" t="str">
        <x:v>Lifestyle</x:v>
      </x:c>
      <x:c r="H781" s="14" t="str"/>
      <x:c r="I781" s="14" t="str">
        <x:v>Detail</x:v>
      </x:c>
      <x:c r="J781" s="14" t="str"/>
      <x:c r="K781" s="14" t="str">
        <x:v>Scale</x:v>
      </x:c>
      <x:c r="L781" s="14" t="str"/>
      <x:c r="M781" s="14" t="str">
        <x:v>Alternate</x:v>
      </x:c>
      <x:c r="N781" s="14" t="n">
        <x:f>IF(E781&lt;&gt;"",1,0)+IF(F781&lt;&gt;"",1,0)+IF(H781&lt;&gt;"",1,0)+IF(J781&lt;&gt;"",1,0)+IF(L781&lt;&gt;"",1,0)</x:f>
        <x:v>1</x:v>
      </x:c>
      <x:c r="O781" s="14" t="str">
        <x:f>IF(E781="","MISSING MAIN",IF(N781=1,"MAIN ONLY","MULTI-PHOTO"))</x:f>
        <x:v>MAIN ONLY</x:v>
      </x:c>
      <x:c r="P781" s="14" t="str">
        <x:v>0888_</x:v>
      </x:c>
      <x:c r="Q781" s="14" t="str">
        <x:v>https://mb1advancedsolutions.github.io/mb1-catalog/index.html?design=0888</x:v>
      </x:c>
      <x:c r="R781" s="14" t="str"/>
    </x:row>
    <x:row r="782">
      <x:c r="A782" s="13" t="str">
        <x:v>MB1-0889</x:v>
      </x:c>
      <x:c r="B782" s="13" t="str">
        <x:v>MB1-0889</x:v>
      </x:c>
      <x:c r="C782" s="14" t="str">
        <x:v>Clap board film strip</x:v>
      </x:c>
      <x:c r="D782" s="14" t="str">
        <x:v>sports and hobbies</x:v>
      </x:c>
      <x:c r="E782" s="14" t="str">
        <x:v>https://res.cloudinary.com/oxygre42/image/upload/f_auto,q_auto,c_pad,b_white,w_1200,h_1200/v1788350260/0889_Clap_board_film_strip.jpg</x:v>
      </x:c>
      <x:c r="F782" s="14" t="str"/>
      <x:c r="G782" s="14" t="str">
        <x:v>Lifestyle</x:v>
      </x:c>
      <x:c r="H782" s="14" t="str"/>
      <x:c r="I782" s="14" t="str">
        <x:v>Detail</x:v>
      </x:c>
      <x:c r="J782" s="14" t="str"/>
      <x:c r="K782" s="14" t="str">
        <x:v>Scale</x:v>
      </x:c>
      <x:c r="L782" s="14" t="str"/>
      <x:c r="M782" s="14" t="str">
        <x:v>Alternate</x:v>
      </x:c>
      <x:c r="N782" s="14" t="n">
        <x:f>IF(E782&lt;&gt;"",1,0)+IF(F782&lt;&gt;"",1,0)+IF(H782&lt;&gt;"",1,0)+IF(J782&lt;&gt;"",1,0)+IF(L782&lt;&gt;"",1,0)</x:f>
        <x:v>1</x:v>
      </x:c>
      <x:c r="O782" s="14" t="str">
        <x:f>IF(E782="","MISSING MAIN",IF(N782=1,"MAIN ONLY","MULTI-PHOTO"))</x:f>
        <x:v>MAIN ONLY</x:v>
      </x:c>
      <x:c r="P782" s="14" t="str">
        <x:v>0889_</x:v>
      </x:c>
      <x:c r="Q782" s="14" t="str">
        <x:v>https://mb1advancedsolutions.github.io/mb1-catalog/index.html?design=0889</x:v>
      </x:c>
      <x:c r="R782" s="14" t="str"/>
    </x:row>
    <x:row r="783">
      <x:c r="A783" s="13" t="str">
        <x:v>MB1-0890</x:v>
      </x:c>
      <x:c r="B783" s="13" t="str">
        <x:v>MB1-0890</x:v>
      </x:c>
      <x:c r="C783" s="14" t="str">
        <x:v>Coal Miner SKULL</x:v>
      </x:c>
      <x:c r="D783" s="14" t="str">
        <x:v>home decor and inspirational</x:v>
      </x:c>
      <x:c r="E783" s="14" t="str">
        <x:v>https://res.cloudinary.com/oxygre42/image/upload/f_auto,q_auto,c_pad,b_white,w_1200,h_1200/v1788350262/0890_Coal_Miner_SKULL.png</x:v>
      </x:c>
      <x:c r="F783" s="14" t="str"/>
      <x:c r="G783" s="14" t="str">
        <x:v>Lifestyle</x:v>
      </x:c>
      <x:c r="H783" s="14" t="str"/>
      <x:c r="I783" s="14" t="str">
        <x:v>Detail</x:v>
      </x:c>
      <x:c r="J783" s="14" t="str"/>
      <x:c r="K783" s="14" t="str">
        <x:v>Scale</x:v>
      </x:c>
      <x:c r="L783" s="14" t="str"/>
      <x:c r="M783" s="14" t="str">
        <x:v>Alternate</x:v>
      </x:c>
      <x:c r="N783" s="14" t="n">
        <x:f>IF(E783&lt;&gt;"",1,0)+IF(F783&lt;&gt;"",1,0)+IF(H783&lt;&gt;"",1,0)+IF(J783&lt;&gt;"",1,0)+IF(L783&lt;&gt;"",1,0)</x:f>
        <x:v>1</x:v>
      </x:c>
      <x:c r="O783" s="14" t="str">
        <x:f>IF(E783="","MISSING MAIN",IF(N783=1,"MAIN ONLY","MULTI-PHOTO"))</x:f>
        <x:v>MAIN ONLY</x:v>
      </x:c>
      <x:c r="P783" s="14" t="str">
        <x:v>0890_</x:v>
      </x:c>
      <x:c r="Q783" s="14" t="str">
        <x:v>https://mb1advancedsolutions.github.io/mb1-catalog/index.html?design=0890</x:v>
      </x:c>
      <x:c r="R783" s="14" t="str"/>
    </x:row>
    <x:row r="784">
      <x:c r="A784" s="13" t="str">
        <x:v>MB1-0891</x:v>
      </x:c>
      <x:c r="B784" s="13" t="str">
        <x:v>MB1-0891</x:v>
      </x:c>
      <x:c r="C784" s="14" t="str">
        <x:v>Coffee Shop</x:v>
      </x:c>
      <x:c r="D784" s="14" t="str">
        <x:v>home decor and inspirational</x:v>
      </x:c>
      <x:c r="E784" s="14" t="str">
        <x:v>https://res.cloudinary.com/oxygre42/image/upload/f_auto,q_auto,c_pad,b_white,w_1200,h_1200/v1788350264/0891_Coffee_Shop.png</x:v>
      </x:c>
      <x:c r="F784" s="14" t="str"/>
      <x:c r="G784" s="14" t="str">
        <x:v>Lifestyle</x:v>
      </x:c>
      <x:c r="H784" s="14" t="str"/>
      <x:c r="I784" s="14" t="str">
        <x:v>Detail</x:v>
      </x:c>
      <x:c r="J784" s="14" t="str"/>
      <x:c r="K784" s="14" t="str">
        <x:v>Scale</x:v>
      </x:c>
      <x:c r="L784" s="14" t="str"/>
      <x:c r="M784" s="14" t="str">
        <x:v>Alternate</x:v>
      </x:c>
      <x:c r="N784" s="14" t="n">
        <x:f>IF(E784&lt;&gt;"",1,0)+IF(F784&lt;&gt;"",1,0)+IF(H784&lt;&gt;"",1,0)+IF(J784&lt;&gt;"",1,0)+IF(L784&lt;&gt;"",1,0)</x:f>
        <x:v>1</x:v>
      </x:c>
      <x:c r="O784" s="14" t="str">
        <x:f>IF(E784="","MISSING MAIN",IF(N784=1,"MAIN ONLY","MULTI-PHOTO"))</x:f>
        <x:v>MAIN ONLY</x:v>
      </x:c>
      <x:c r="P784" s="14" t="str">
        <x:v>0891_</x:v>
      </x:c>
      <x:c r="Q784" s="14" t="str">
        <x:v>https://mb1advancedsolutions.github.io/mb1-catalog/index.html?design=0891</x:v>
      </x:c>
      <x:c r="R784" s="14" t="str"/>
    </x:row>
    <x:row r="785">
      <x:c r="A785" s="13" t="str">
        <x:v>MB1-0892</x:v>
      </x:c>
      <x:c r="B785" s="13" t="str">
        <x:v>MB1-0892</x:v>
      </x:c>
      <x:c r="C785" s="14" t="str">
        <x:v>Cold Beer served here</x:v>
      </x:c>
      <x:c r="D785" s="14" t="str">
        <x:v>sports and hobbies</x:v>
      </x:c>
      <x:c r="E785" s="14" t="str">
        <x:v>https://res.cloudinary.com/oxygre42/image/upload/f_auto,q_auto,c_pad,b_white,w_1200,h_1200/v1788350265/0892_Cold_Beer_served_here.png</x:v>
      </x:c>
      <x:c r="F785" s="14" t="str"/>
      <x:c r="G785" s="14" t="str">
        <x:v>Lifestyle</x:v>
      </x:c>
      <x:c r="H785" s="14" t="str"/>
      <x:c r="I785" s="14" t="str">
        <x:v>Detail</x:v>
      </x:c>
      <x:c r="J785" s="14" t="str"/>
      <x:c r="K785" s="14" t="str">
        <x:v>Scale</x:v>
      </x:c>
      <x:c r="L785" s="14" t="str"/>
      <x:c r="M785" s="14" t="str">
        <x:v>Alternate</x:v>
      </x:c>
      <x:c r="N785" s="14" t="n">
        <x:f>IF(E785&lt;&gt;"",1,0)+IF(F785&lt;&gt;"",1,0)+IF(H785&lt;&gt;"",1,0)+IF(J785&lt;&gt;"",1,0)+IF(L785&lt;&gt;"",1,0)</x:f>
        <x:v>1</x:v>
      </x:c>
      <x:c r="O785" s="14" t="str">
        <x:f>IF(E785="","MISSING MAIN",IF(N785=1,"MAIN ONLY","MULTI-PHOTO"))</x:f>
        <x:v>MAIN ONLY</x:v>
      </x:c>
      <x:c r="P785" s="14" t="str">
        <x:v>0892_</x:v>
      </x:c>
      <x:c r="Q785" s="14" t="str">
        <x:v>https://mb1advancedsolutions.github.io/mb1-catalog/index.html?design=0892</x:v>
      </x:c>
      <x:c r="R785" s="14" t="str"/>
    </x:row>
    <x:row r="786">
      <x:c r="A786" s="13" t="str">
        <x:v>MB1-0893</x:v>
      </x:c>
      <x:c r="B786" s="13" t="str">
        <x:v>MB1-0893</x:v>
      </x:c>
      <x:c r="C786" s="14" t="str">
        <x:v>Copper Still</x:v>
      </x:c>
      <x:c r="D786" s="14" t="str">
        <x:v>home decor and inspirational</x:v>
      </x:c>
      <x:c r="E786" s="14" t="str">
        <x:v>https://res.cloudinary.com/oxygre42/image/upload/f_auto,q_auto,c_pad,b_white,w_1200,h_1200/v1788350267/0893_Copper_Still.png</x:v>
      </x:c>
      <x:c r="F786" s="14" t="str"/>
      <x:c r="G786" s="14" t="str">
        <x:v>Lifestyle</x:v>
      </x:c>
      <x:c r="H786" s="14" t="str"/>
      <x:c r="I786" s="14" t="str">
        <x:v>Detail</x:v>
      </x:c>
      <x:c r="J786" s="14" t="str"/>
      <x:c r="K786" s="14" t="str">
        <x:v>Scale</x:v>
      </x:c>
      <x:c r="L786" s="14" t="str"/>
      <x:c r="M786" s="14" t="str">
        <x:v>Alternate</x:v>
      </x:c>
      <x:c r="N786" s="14" t="n">
        <x:f>IF(E786&lt;&gt;"",1,0)+IF(F786&lt;&gt;"",1,0)+IF(H786&lt;&gt;"",1,0)+IF(J786&lt;&gt;"",1,0)+IF(L786&lt;&gt;"",1,0)</x:f>
        <x:v>1</x:v>
      </x:c>
      <x:c r="O786" s="14" t="str">
        <x:f>IF(E786="","MISSING MAIN",IF(N786=1,"MAIN ONLY","MULTI-PHOTO"))</x:f>
        <x:v>MAIN ONLY</x:v>
      </x:c>
      <x:c r="P786" s="14" t="str">
        <x:v>0893_</x:v>
      </x:c>
      <x:c r="Q786" s="14" t="str">
        <x:v>https://mb1advancedsolutions.github.io/mb1-catalog/index.html?design=0893</x:v>
      </x:c>
      <x:c r="R786" s="14" t="str"/>
    </x:row>
    <x:row r="787">
      <x:c r="A787" s="13" t="str">
        <x:v>MB1-0894</x:v>
      </x:c>
      <x:c r="B787" s="13" t="str">
        <x:v>MB1-0894</x:v>
      </x:c>
      <x:c r="C787" s="14" t="str">
        <x:v>Country Kitchen</x:v>
      </x:c>
      <x:c r="D787" s="14" t="str">
        <x:v>farm and western</x:v>
      </x:c>
      <x:c r="E787" s="14" t="str">
        <x:v>https://res.cloudinary.com/oxygre42/image/upload/f_auto,q_auto,c_pad,b_white,w_1200,h_1200/v1788350269/0894_Country_Kitchen.png</x:v>
      </x:c>
      <x:c r="F787" s="14" t="str"/>
      <x:c r="G787" s="14" t="str">
        <x:v>Lifestyle</x:v>
      </x:c>
      <x:c r="H787" s="14" t="str"/>
      <x:c r="I787" s="14" t="str">
        <x:v>Detail</x:v>
      </x:c>
      <x:c r="J787" s="14" t="str"/>
      <x:c r="K787" s="14" t="str">
        <x:v>Scale</x:v>
      </x:c>
      <x:c r="L787" s="14" t="str"/>
      <x:c r="M787" s="14" t="str">
        <x:v>Alternate</x:v>
      </x:c>
      <x:c r="N787" s="14" t="n">
        <x:f>IF(E787&lt;&gt;"",1,0)+IF(F787&lt;&gt;"",1,0)+IF(H787&lt;&gt;"",1,0)+IF(J787&lt;&gt;"",1,0)+IF(L787&lt;&gt;"",1,0)</x:f>
        <x:v>1</x:v>
      </x:c>
      <x:c r="O787" s="14" t="str">
        <x:f>IF(E787="","MISSING MAIN",IF(N787=1,"MAIN ONLY","MULTI-PHOTO"))</x:f>
        <x:v>MAIN ONLY</x:v>
      </x:c>
      <x:c r="P787" s="14" t="str">
        <x:v>0894_</x:v>
      </x:c>
      <x:c r="Q787" s="14" t="str">
        <x:v>https://mb1advancedsolutions.github.io/mb1-catalog/index.html?design=0894</x:v>
      </x:c>
      <x:c r="R787" s="14" t="str"/>
    </x:row>
    <x:row r="788">
      <x:c r="A788" s="13" t="str">
        <x:v>MB1-0895</x:v>
      </x:c>
      <x:c r="B788" s="13" t="str">
        <x:v>MB1-0895</x:v>
      </x:c>
      <x:c r="C788" s="14" t="str">
        <x:v>Cow skull Spears and Campfire</x:v>
      </x:c>
      <x:c r="D788" s="14" t="str">
        <x:v>farm and western</x:v>
      </x:c>
      <x:c r="E788" s="14" t="str">
        <x:v>https://res.cloudinary.com/oxygre42/image/upload/f_auto,q_auto,c_pad,b_white,w_1200,h_1200/v1788350271/0895_Cow_skull_Spears_and_Campfire.png</x:v>
      </x:c>
      <x:c r="F788" s="14" t="str"/>
      <x:c r="G788" s="14" t="str">
        <x:v>Lifestyle</x:v>
      </x:c>
      <x:c r="H788" s="14" t="str"/>
      <x:c r="I788" s="14" t="str">
        <x:v>Detail</x:v>
      </x:c>
      <x:c r="J788" s="14" t="str"/>
      <x:c r="K788" s="14" t="str">
        <x:v>Scale</x:v>
      </x:c>
      <x:c r="L788" s="14" t="str"/>
      <x:c r="M788" s="14" t="str">
        <x:v>Alternate</x:v>
      </x:c>
      <x:c r="N788" s="14" t="n">
        <x:f>IF(E788&lt;&gt;"",1,0)+IF(F788&lt;&gt;"",1,0)+IF(H788&lt;&gt;"",1,0)+IF(J788&lt;&gt;"",1,0)+IF(L788&lt;&gt;"",1,0)</x:f>
        <x:v>1</x:v>
      </x:c>
      <x:c r="O788" s="14" t="str">
        <x:f>IF(E788="","MISSING MAIN",IF(N788=1,"MAIN ONLY","MULTI-PHOTO"))</x:f>
        <x:v>MAIN ONLY</x:v>
      </x:c>
      <x:c r="P788" s="14" t="str">
        <x:v>0895_</x:v>
      </x:c>
      <x:c r="Q788" s="14" t="str">
        <x:v>https://mb1advancedsolutions.github.io/mb1-catalog/index.html?design=0895</x:v>
      </x:c>
      <x:c r="R788" s="14" t="str"/>
    </x:row>
    <x:row r="789">
      <x:c r="A789" s="13" t="str">
        <x:v>MB1-0896</x:v>
      </x:c>
      <x:c r="B789" s="13" t="str">
        <x:v>MB1-0896</x:v>
      </x:c>
      <x:c r="C789" s="14" t="str">
        <x:v>Dads Garage</x:v>
      </x:c>
      <x:c r="D789" s="14" t="str">
        <x:v>garage and workshop</x:v>
      </x:c>
      <x:c r="E789" s="14" t="str">
        <x:v>https://res.cloudinary.com/oxygre42/image/upload/f_auto,q_auto,c_pad,b_white,w_1200,h_1200/v1788350273/0896_Dads_Garage.png</x:v>
      </x:c>
      <x:c r="F789" s="14" t="str"/>
      <x:c r="G789" s="14" t="str">
        <x:v>Lifestyle</x:v>
      </x:c>
      <x:c r="H789" s="14" t="str"/>
      <x:c r="I789" s="14" t="str">
        <x:v>Detail</x:v>
      </x:c>
      <x:c r="J789" s="14" t="str"/>
      <x:c r="K789" s="14" t="str">
        <x:v>Scale</x:v>
      </x:c>
      <x:c r="L789" s="14" t="str"/>
      <x:c r="M789" s="14" t="str">
        <x:v>Alternate</x:v>
      </x:c>
      <x:c r="N789" s="14" t="n">
        <x:f>IF(E789&lt;&gt;"",1,0)+IF(F789&lt;&gt;"",1,0)+IF(H789&lt;&gt;"",1,0)+IF(J789&lt;&gt;"",1,0)+IF(L789&lt;&gt;"",1,0)</x:f>
        <x:v>1</x:v>
      </x:c>
      <x:c r="O789" s="14" t="str">
        <x:f>IF(E789="","MISSING MAIN",IF(N789=1,"MAIN ONLY","MULTI-PHOTO"))</x:f>
        <x:v>MAIN ONLY</x:v>
      </x:c>
      <x:c r="P789" s="14" t="str">
        <x:v>0896_</x:v>
      </x:c>
      <x:c r="Q789" s="14" t="str">
        <x:v>https://mb1advancedsolutions.github.io/mb1-catalog/index.html?design=0896</x:v>
      </x:c>
      <x:c r="R789" s="14" t="str"/>
    </x:row>
    <x:row r="790">
      <x:c r="A790" s="13" t="str">
        <x:v>MB1-0897</x:v>
      </x:c>
      <x:c r="B790" s="13" t="str">
        <x:v>MB1-0897</x:v>
      </x:c>
      <x:c r="C790" s="14" t="str">
        <x:v>Dads Hangar</x:v>
      </x:c>
      <x:c r="D790" s="14" t="str">
        <x:v>garage and workshop</x:v>
      </x:c>
      <x:c r="E790" s="14" t="str">
        <x:v>https://res.cloudinary.com/oxygre42/image/upload/f_auto,q_auto,c_pad,b_white,w_1200,h_1200/v1788350275/0897_Dads_Hangar.png</x:v>
      </x:c>
      <x:c r="F790" s="14" t="str"/>
      <x:c r="G790" s="14" t="str">
        <x:v>Lifestyle</x:v>
      </x:c>
      <x:c r="H790" s="14" t="str"/>
      <x:c r="I790" s="14" t="str">
        <x:v>Detail</x:v>
      </x:c>
      <x:c r="J790" s="14" t="str"/>
      <x:c r="K790" s="14" t="str">
        <x:v>Scale</x:v>
      </x:c>
      <x:c r="L790" s="14" t="str"/>
      <x:c r="M790" s="14" t="str">
        <x:v>Alternate</x:v>
      </x:c>
      <x:c r="N790" s="14" t="n">
        <x:f>IF(E790&lt;&gt;"",1,0)+IF(F790&lt;&gt;"",1,0)+IF(H790&lt;&gt;"",1,0)+IF(J790&lt;&gt;"",1,0)+IF(L790&lt;&gt;"",1,0)</x:f>
        <x:v>1</x:v>
      </x:c>
      <x:c r="O790" s="14" t="str">
        <x:f>IF(E790="","MISSING MAIN",IF(N790=1,"MAIN ONLY","MULTI-PHOTO"))</x:f>
        <x:v>MAIN ONLY</x:v>
      </x:c>
      <x:c r="P790" s="14" t="str">
        <x:v>0897_</x:v>
      </x:c>
      <x:c r="Q790" s="14" t="str">
        <x:v>https://mb1advancedsolutions.github.io/mb1-catalog/index.html?design=0897</x:v>
      </x:c>
      <x:c r="R790" s="14" t="str"/>
    </x:row>
    <x:row r="791">
      <x:c r="A791" s="13" t="str">
        <x:v>MB1-0898</x:v>
      </x:c>
      <x:c r="B791" s="13" t="str">
        <x:v>MB1-0898</x:v>
      </x:c>
      <x:c r="C791" s="14" t="str">
        <x:v>Dads Man cave</x:v>
      </x:c>
      <x:c r="D791" s="14" t="str">
        <x:v>home decor and inspirational</x:v>
      </x:c>
      <x:c r="E791" s="14" t="str">
        <x:v>https://res.cloudinary.com/oxygre42/image/upload/f_auto,q_auto,c_pad,b_white,w_1200,h_1200/v1788350277/0898_Dads_Man_cave.png</x:v>
      </x:c>
      <x:c r="F791" s="14" t="str"/>
      <x:c r="G791" s="14" t="str">
        <x:v>Lifestyle</x:v>
      </x:c>
      <x:c r="H791" s="14" t="str"/>
      <x:c r="I791" s="14" t="str">
        <x:v>Detail</x:v>
      </x:c>
      <x:c r="J791" s="14" t="str"/>
      <x:c r="K791" s="14" t="str">
        <x:v>Scale</x:v>
      </x:c>
      <x:c r="L791" s="14" t="str"/>
      <x:c r="M791" s="14" t="str">
        <x:v>Alternate</x:v>
      </x:c>
      <x:c r="N791" s="14" t="n">
        <x:f>IF(E791&lt;&gt;"",1,0)+IF(F791&lt;&gt;"",1,0)+IF(H791&lt;&gt;"",1,0)+IF(J791&lt;&gt;"",1,0)+IF(L791&lt;&gt;"",1,0)</x:f>
        <x:v>1</x:v>
      </x:c>
      <x:c r="O791" s="14" t="str">
        <x:f>IF(E791="","MISSING MAIN",IF(N791=1,"MAIN ONLY","MULTI-PHOTO"))</x:f>
        <x:v>MAIN ONLY</x:v>
      </x:c>
      <x:c r="P791" s="14" t="str">
        <x:v>0898_</x:v>
      </x:c>
      <x:c r="Q791" s="14" t="str">
        <x:v>https://mb1advancedsolutions.github.io/mb1-catalog/index.html?design=0898</x:v>
      </x:c>
      <x:c r="R791" s="14" t="str"/>
    </x:row>
    <x:row r="792">
      <x:c r="A792" s="13" t="str">
        <x:v>MB1-0899</x:v>
      </x:c>
      <x:c r="B792" s="13" t="str">
        <x:v>MB1-0899</x:v>
      </x:c>
      <x:c r="C792" s="14" t="str">
        <x:v>Dads Workshop</x:v>
      </x:c>
      <x:c r="D792" s="14" t="str">
        <x:v>garage and workshop</x:v>
      </x:c>
      <x:c r="E792" s="14" t="str">
        <x:v>https://res.cloudinary.com/oxygre42/image/upload/f_auto,q_auto,c_pad,b_white,w_1200,h_1200/v1788350278/0899_Dads_Workshop.png</x:v>
      </x:c>
      <x:c r="F792" s="14" t="str"/>
      <x:c r="G792" s="14" t="str">
        <x:v>Lifestyle</x:v>
      </x:c>
      <x:c r="H792" s="14" t="str"/>
      <x:c r="I792" s="14" t="str">
        <x:v>Detail</x:v>
      </x:c>
      <x:c r="J792" s="14" t="str"/>
      <x:c r="K792" s="14" t="str">
        <x:v>Scale</x:v>
      </x:c>
      <x:c r="L792" s="14" t="str"/>
      <x:c r="M792" s="14" t="str">
        <x:v>Alternate</x:v>
      </x:c>
      <x:c r="N792" s="14" t="n">
        <x:f>IF(E792&lt;&gt;"",1,0)+IF(F792&lt;&gt;"",1,0)+IF(H792&lt;&gt;"",1,0)+IF(J792&lt;&gt;"",1,0)+IF(L792&lt;&gt;"",1,0)</x:f>
        <x:v>1</x:v>
      </x:c>
      <x:c r="O792" s="14" t="str">
        <x:f>IF(E792="","MISSING MAIN",IF(N792=1,"MAIN ONLY","MULTI-PHOTO"))</x:f>
        <x:v>MAIN ONLY</x:v>
      </x:c>
      <x:c r="P792" s="14" t="str">
        <x:v>0899_</x:v>
      </x:c>
      <x:c r="Q792" s="14" t="str">
        <x:v>https://mb1advancedsolutions.github.io/mb1-catalog/index.html?design=0899</x:v>
      </x:c>
      <x:c r="R792" s="14" t="str"/>
    </x:row>
    <x:row r="793">
      <x:c r="A793" s="13" t="str">
        <x:v>MB1-0900</x:v>
      </x:c>
      <x:c r="B793" s="13" t="str">
        <x:v>MB1-0900</x:v>
      </x:c>
      <x:c r="C793" s="14" t="str">
        <x:v>Dads garage arrow</x:v>
      </x:c>
      <x:c r="D793" s="14" t="str">
        <x:v>garage and workshop</x:v>
      </x:c>
      <x:c r="E793" s="14" t="str">
        <x:v>https://res.cloudinary.com/oxygre42/image/upload/f_auto,q_auto,c_pad,b_white,w_1200,h_1200/v1788350280/0900_Dads_garage_arrow.png</x:v>
      </x:c>
      <x:c r="F793" s="14" t="str"/>
      <x:c r="G793" s="14" t="str">
        <x:v>Lifestyle</x:v>
      </x:c>
      <x:c r="H793" s="14" t="str"/>
      <x:c r="I793" s="14" t="str">
        <x:v>Detail</x:v>
      </x:c>
      <x:c r="J793" s="14" t="str"/>
      <x:c r="K793" s="14" t="str">
        <x:v>Scale</x:v>
      </x:c>
      <x:c r="L793" s="14" t="str"/>
      <x:c r="M793" s="14" t="str">
        <x:v>Alternate</x:v>
      </x:c>
      <x:c r="N793" s="14" t="n">
        <x:f>IF(E793&lt;&gt;"",1,0)+IF(F793&lt;&gt;"",1,0)+IF(H793&lt;&gt;"",1,0)+IF(J793&lt;&gt;"",1,0)+IF(L793&lt;&gt;"",1,0)</x:f>
        <x:v>1</x:v>
      </x:c>
      <x:c r="O793" s="14" t="str">
        <x:f>IF(E793="","MISSING MAIN",IF(N793=1,"MAIN ONLY","MULTI-PHOTO"))</x:f>
        <x:v>MAIN ONLY</x:v>
      </x:c>
      <x:c r="P793" s="14" t="str">
        <x:v>0900_</x:v>
      </x:c>
      <x:c r="Q793" s="14" t="str">
        <x:v>https://mb1advancedsolutions.github.io/mb1-catalog/index.html?design=0900</x:v>
      </x:c>
      <x:c r="R793" s="14" t="str"/>
    </x:row>
    <x:row r="794">
      <x:c r="A794" s="13" t="str">
        <x:v>MB1-0901</x:v>
      </x:c>
      <x:c r="B794" s="13" t="str">
        <x:v>MB1-0901</x:v>
      </x:c>
      <x:c r="C794" s="14" t="str">
        <x:v>Day of the dead girl</x:v>
      </x:c>
      <x:c r="D794" s="14" t="str">
        <x:v>home decor and inspirational</x:v>
      </x:c>
      <x:c r="E794" s="14" t="str">
        <x:v>https://res.cloudinary.com/oxygre42/image/upload/f_auto,q_auto,c_pad,b_white,w_1200,h_1200/v1788350282/0901_Day_of_the_dead_girl.png</x:v>
      </x:c>
      <x:c r="F794" s="14" t="str"/>
      <x:c r="G794" s="14" t="str">
        <x:v>Lifestyle</x:v>
      </x:c>
      <x:c r="H794" s="14" t="str"/>
      <x:c r="I794" s="14" t="str">
        <x:v>Detail</x:v>
      </x:c>
      <x:c r="J794" s="14" t="str"/>
      <x:c r="K794" s="14" t="str">
        <x:v>Scale</x:v>
      </x:c>
      <x:c r="L794" s="14" t="str"/>
      <x:c r="M794" s="14" t="str">
        <x:v>Alternate</x:v>
      </x:c>
      <x:c r="N794" s="14" t="n">
        <x:f>IF(E794&lt;&gt;"",1,0)+IF(F794&lt;&gt;"",1,0)+IF(H794&lt;&gt;"",1,0)+IF(J794&lt;&gt;"",1,0)+IF(L794&lt;&gt;"",1,0)</x:f>
        <x:v>1</x:v>
      </x:c>
      <x:c r="O794" s="14" t="str">
        <x:f>IF(E794="","MISSING MAIN",IF(N794=1,"MAIN ONLY","MULTI-PHOTO"))</x:f>
        <x:v>MAIN ONLY</x:v>
      </x:c>
      <x:c r="P794" s="14" t="str">
        <x:v>0901_</x:v>
      </x:c>
      <x:c r="Q794" s="14" t="str">
        <x:v>https://mb1advancedsolutions.github.io/mb1-catalog/index.html?design=0901</x:v>
      </x:c>
      <x:c r="R794" s="14" t="str"/>
    </x:row>
    <x:row r="795">
      <x:c r="A795" s="13" t="str">
        <x:v>MB1-0902</x:v>
      </x:c>
      <x:c r="B795" s="13" t="str">
        <x:v>MB1-0902</x:v>
      </x:c>
      <x:c r="C795" s="14" t="str">
        <x:v>Deer Skull and Guns</x:v>
      </x:c>
      <x:c r="D795" s="14" t="str">
        <x:v>wildlife and outdoors</x:v>
      </x:c>
      <x:c r="E795" s="14" t="str">
        <x:v>https://res.cloudinary.com/oxygre42/image/upload/f_auto,q_auto,c_pad,b_white,w_1200,h_1200/v1788350284/0902_Deer_Skull_and_Guns.png</x:v>
      </x:c>
      <x:c r="F795" s="14" t="str"/>
      <x:c r="G795" s="14" t="str">
        <x:v>Lifestyle</x:v>
      </x:c>
      <x:c r="H795" s="14" t="str"/>
      <x:c r="I795" s="14" t="str">
        <x:v>Detail</x:v>
      </x:c>
      <x:c r="J795" s="14" t="str"/>
      <x:c r="K795" s="14" t="str">
        <x:v>Scale</x:v>
      </x:c>
      <x:c r="L795" s="14" t="str"/>
      <x:c r="M795" s="14" t="str">
        <x:v>Alternate</x:v>
      </x:c>
      <x:c r="N795" s="14" t="n">
        <x:f>IF(E795&lt;&gt;"",1,0)+IF(F795&lt;&gt;"",1,0)+IF(H795&lt;&gt;"",1,0)+IF(J795&lt;&gt;"",1,0)+IF(L795&lt;&gt;"",1,0)</x:f>
        <x:v>1</x:v>
      </x:c>
      <x:c r="O795" s="14" t="str">
        <x:f>IF(E795="","MISSING MAIN",IF(N795=1,"MAIN ONLY","MULTI-PHOTO"))</x:f>
        <x:v>MAIN ONLY</x:v>
      </x:c>
      <x:c r="P795" s="14" t="str">
        <x:v>0902_</x:v>
      </x:c>
      <x:c r="Q795" s="14" t="str">
        <x:v>https://mb1advancedsolutions.github.io/mb1-catalog/index.html?design=0902</x:v>
      </x:c>
      <x:c r="R795" s="14" t="str"/>
    </x:row>
    <x:row r="796">
      <x:c r="A796" s="13" t="str">
        <x:v>MB1-0904</x:v>
      </x:c>
      <x:c r="B796" s="13" t="str">
        <x:v>MB1-0904</x:v>
      </x:c>
      <x:c r="C796" s="14" t="str">
        <x:v>Descendant of men</x:v>
      </x:c>
      <x:c r="D796" s="14" t="str">
        <x:v>home decor and inspirational</x:v>
      </x:c>
      <x:c r="E796" s="14" t="str">
        <x:v>https://res.cloudinary.com/oxygre42/image/upload/f_auto,q_auto,c_pad,b_white,w_1200,h_1200/v1788350288/0904_Descendant_of_men.png</x:v>
      </x:c>
      <x:c r="F796" s="14" t="str"/>
      <x:c r="G796" s="14" t="str">
        <x:v>Lifestyle</x:v>
      </x:c>
      <x:c r="H796" s="14" t="str"/>
      <x:c r="I796" s="14" t="str">
        <x:v>Detail</x:v>
      </x:c>
      <x:c r="J796" s="14" t="str"/>
      <x:c r="K796" s="14" t="str">
        <x:v>Scale</x:v>
      </x:c>
      <x:c r="L796" s="14" t="str"/>
      <x:c r="M796" s="14" t="str">
        <x:v>Alternate</x:v>
      </x:c>
      <x:c r="N796" s="14" t="n">
        <x:f>IF(E796&lt;&gt;"",1,0)+IF(F796&lt;&gt;"",1,0)+IF(H796&lt;&gt;"",1,0)+IF(J796&lt;&gt;"",1,0)+IF(L796&lt;&gt;"",1,0)</x:f>
        <x:v>1</x:v>
      </x:c>
      <x:c r="O796" s="14" t="str">
        <x:f>IF(E796="","MISSING MAIN",IF(N796=1,"MAIN ONLY","MULTI-PHOTO"))</x:f>
        <x:v>MAIN ONLY</x:v>
      </x:c>
      <x:c r="P796" s="14" t="str">
        <x:v>0904_</x:v>
      </x:c>
      <x:c r="Q796" s="14" t="str">
        <x:v>https://mb1advancedsolutions.github.io/mb1-catalog/index.html?design=0904</x:v>
      </x:c>
      <x:c r="R796" s="14" t="str"/>
    </x:row>
    <x:row r="797">
      <x:c r="A797" s="13" t="str">
        <x:v>MB1-0905</x:v>
      </x:c>
      <x:c r="B797" s="13" t="str">
        <x:v>MB1-0905</x:v>
      </x:c>
      <x:c r="C797" s="14" t="str">
        <x:v>Dime</x:v>
      </x:c>
      <x:c r="D797" s="14" t="str">
        <x:v>sports and hobbies</x:v>
      </x:c>
      <x:c r="E797" s="14" t="str">
        <x:v>https://res.cloudinary.com/oxygre42/image/upload/f_auto,q_auto,c_pad,b_white,w_1200,h_1200/v1788350290/0905_Dime.png</x:v>
      </x:c>
      <x:c r="F797" s="14" t="str"/>
      <x:c r="G797" s="14" t="str">
        <x:v>Lifestyle</x:v>
      </x:c>
      <x:c r="H797" s="14" t="str"/>
      <x:c r="I797" s="14" t="str">
        <x:v>Detail</x:v>
      </x:c>
      <x:c r="J797" s="14" t="str"/>
      <x:c r="K797" s="14" t="str">
        <x:v>Scale</x:v>
      </x:c>
      <x:c r="L797" s="14" t="str"/>
      <x:c r="M797" s="14" t="str">
        <x:v>Alternate</x:v>
      </x:c>
      <x:c r="N797" s="14" t="n">
        <x:f>IF(E797&lt;&gt;"",1,0)+IF(F797&lt;&gt;"",1,0)+IF(H797&lt;&gt;"",1,0)+IF(J797&lt;&gt;"",1,0)+IF(L797&lt;&gt;"",1,0)</x:f>
        <x:v>1</x:v>
      </x:c>
      <x:c r="O797" s="14" t="str">
        <x:f>IF(E797="","MISSING MAIN",IF(N797=1,"MAIN ONLY","MULTI-PHOTO"))</x:f>
        <x:v>MAIN ONLY</x:v>
      </x:c>
      <x:c r="P797" s="14" t="str">
        <x:v>0905_</x:v>
      </x:c>
      <x:c r="Q797" s="14" t="str">
        <x:v>https://mb1advancedsolutions.github.io/mb1-catalog/index.html?design=0905</x:v>
      </x:c>
      <x:c r="R797" s="14" t="str"/>
    </x:row>
    <x:row r="798">
      <x:c r="A798" s="13" t="str">
        <x:v>MB1-0906</x:v>
      </x:c>
      <x:c r="B798" s="13" t="str">
        <x:v>MB1-0906</x:v>
      </x:c>
      <x:c r="C798" s="14" t="str">
        <x:v>Diner design</x:v>
      </x:c>
      <x:c r="D798" s="14" t="str">
        <x:v>home decor and inspirational</x:v>
      </x:c>
      <x:c r="E798" s="14" t="str">
        <x:v>https://res.cloudinary.com/oxygre42/image/upload/f_auto,q_auto,c_pad,b_white,w_1200,h_1200/v1788350292/0906_Diner_design.png</x:v>
      </x:c>
      <x:c r="F798" s="14" t="str"/>
      <x:c r="G798" s="14" t="str">
        <x:v>Lifestyle</x:v>
      </x:c>
      <x:c r="H798" s="14" t="str"/>
      <x:c r="I798" s="14" t="str">
        <x:v>Detail</x:v>
      </x:c>
      <x:c r="J798" s="14" t="str"/>
      <x:c r="K798" s="14" t="str">
        <x:v>Scale</x:v>
      </x:c>
      <x:c r="L798" s="14" t="str"/>
      <x:c r="M798" s="14" t="str">
        <x:v>Alternate</x:v>
      </x:c>
      <x:c r="N798" s="14" t="n">
        <x:f>IF(E798&lt;&gt;"",1,0)+IF(F798&lt;&gt;"",1,0)+IF(H798&lt;&gt;"",1,0)+IF(J798&lt;&gt;"",1,0)+IF(L798&lt;&gt;"",1,0)</x:f>
        <x:v>1</x:v>
      </x:c>
      <x:c r="O798" s="14" t="str">
        <x:f>IF(E798="","MISSING MAIN",IF(N798=1,"MAIN ONLY","MULTI-PHOTO"))</x:f>
        <x:v>MAIN ONLY</x:v>
      </x:c>
      <x:c r="P798" s="14" t="str">
        <x:v>0906_</x:v>
      </x:c>
      <x:c r="Q798" s="14" t="str">
        <x:v>https://mb1advancedsolutions.github.io/mb1-catalog/index.html?design=0906</x:v>
      </x:c>
      <x:c r="R798" s="14" t="str"/>
    </x:row>
    <x:row r="799">
      <x:c r="A799" s="13" t="str">
        <x:v>MB1-0907</x:v>
      </x:c>
      <x:c r="B799" s="13" t="str">
        <x:v>MB1-0907</x:v>
      </x:c>
      <x:c r="C799" s="14" t="str">
        <x:v>Dirty Hands Clean Money Stick</x:v>
      </x:c>
      <x:c r="D799" s="14" t="str">
        <x:v>home decor and inspirational</x:v>
      </x:c>
      <x:c r="E799" s="14" t="str">
        <x:v>https://res.cloudinary.com/oxygre42/image/upload/f_auto,q_auto,c_pad,b_white,w_1200,h_1200/v1788350294/0907_Dirty_Hands_Clean_Money_Stick.png</x:v>
      </x:c>
      <x:c r="F799" s="14" t="str"/>
      <x:c r="G799" s="14" t="str">
        <x:v>Lifestyle</x:v>
      </x:c>
      <x:c r="H799" s="14" t="str"/>
      <x:c r="I799" s="14" t="str">
        <x:v>Detail</x:v>
      </x:c>
      <x:c r="J799" s="14" t="str"/>
      <x:c r="K799" s="14" t="str">
        <x:v>Scale</x:v>
      </x:c>
      <x:c r="L799" s="14" t="str"/>
      <x:c r="M799" s="14" t="str">
        <x:v>Alternate</x:v>
      </x:c>
      <x:c r="N799" s="14" t="n">
        <x:f>IF(E799&lt;&gt;"",1,0)+IF(F799&lt;&gt;"",1,0)+IF(H799&lt;&gt;"",1,0)+IF(J799&lt;&gt;"",1,0)+IF(L799&lt;&gt;"",1,0)</x:f>
        <x:v>1</x:v>
      </x:c>
      <x:c r="O799" s="14" t="str">
        <x:f>IF(E799="","MISSING MAIN",IF(N799=1,"MAIN ONLY","MULTI-PHOTO"))</x:f>
        <x:v>MAIN ONLY</x:v>
      </x:c>
      <x:c r="P799" s="14" t="str">
        <x:v>0907_</x:v>
      </x:c>
      <x:c r="Q799" s="14" t="str">
        <x:v>https://mb1advancedsolutions.github.io/mb1-catalog/index.html?design=0907</x:v>
      </x:c>
      <x:c r="R799" s="14" t="str"/>
    </x:row>
    <x:row r="800">
      <x:c r="A800" s="13" t="str">
        <x:v>MB1-0908</x:v>
      </x:c>
      <x:c r="B800" s="13" t="str">
        <x:v>MB1-0908</x:v>
      </x:c>
      <x:c r="C800" s="14" t="str">
        <x:v>Dirty Hands Clean Money Tig Torch</x:v>
      </x:c>
      <x:c r="D800" s="14" t="str">
        <x:v>garage and workshop</x:v>
      </x:c>
      <x:c r="E800" s="14" t="str">
        <x:v>https://res.cloudinary.com/oxygre42/image/upload/f_auto,q_auto,c_pad,b_white,w_1200,h_1200/v1788350295/0908_Dirty_Hands_Clean_Money_Tig_Torch.png</x:v>
      </x:c>
      <x:c r="F800" s="14" t="str"/>
      <x:c r="G800" s="14" t="str">
        <x:v>Lifestyle</x:v>
      </x:c>
      <x:c r="H800" s="14" t="str"/>
      <x:c r="I800" s="14" t="str">
        <x:v>Detail</x:v>
      </x:c>
      <x:c r="J800" s="14" t="str"/>
      <x:c r="K800" s="14" t="str">
        <x:v>Scale</x:v>
      </x:c>
      <x:c r="L800" s="14" t="str"/>
      <x:c r="M800" s="14" t="str">
        <x:v>Alternate</x:v>
      </x:c>
      <x:c r="N800" s="14" t="n">
        <x:f>IF(E800&lt;&gt;"",1,0)+IF(F800&lt;&gt;"",1,0)+IF(H800&lt;&gt;"",1,0)+IF(J800&lt;&gt;"",1,0)+IF(L800&lt;&gt;"",1,0)</x:f>
        <x:v>1</x:v>
      </x:c>
      <x:c r="O800" s="14" t="str">
        <x:f>IF(E800="","MISSING MAIN",IF(N800=1,"MAIN ONLY","MULTI-PHOTO"))</x:f>
        <x:v>MAIN ONLY</x:v>
      </x:c>
      <x:c r="P800" s="14" t="str">
        <x:v>0908_</x:v>
      </x:c>
      <x:c r="Q800" s="14" t="str">
        <x:v>https://mb1advancedsolutions.github.io/mb1-catalog/index.html?design=0908</x:v>
      </x:c>
      <x:c r="R800" s="14" t="str"/>
    </x:row>
    <x:row r="801">
      <x:c r="A801" s="13" t="str">
        <x:v>MB1-0909</x:v>
      </x:c>
      <x:c r="B801" s="13" t="str">
        <x:v>MB1-0909</x:v>
      </x:c>
      <x:c r="C801" s="14" t="str">
        <x:v>Dirty Hands Clean Money mig</x:v>
      </x:c>
      <x:c r="D801" s="14" t="str">
        <x:v>garage and workshop</x:v>
      </x:c>
      <x:c r="E801" s="14" t="str">
        <x:v>https://res.cloudinary.com/oxygre42/image/upload/f_auto,q_auto,c_pad,b_white,w_1200,h_1200/v1788350297/0909_Dirty_Hands_Clean_Money_mig.png</x:v>
      </x:c>
      <x:c r="F801" s="14" t="str"/>
      <x:c r="G801" s="14" t="str">
        <x:v>Lifestyle</x:v>
      </x:c>
      <x:c r="H801" s="14" t="str"/>
      <x:c r="I801" s="14" t="str">
        <x:v>Detail</x:v>
      </x:c>
      <x:c r="J801" s="14" t="str"/>
      <x:c r="K801" s="14" t="str">
        <x:v>Scale</x:v>
      </x:c>
      <x:c r="L801" s="14" t="str"/>
      <x:c r="M801" s="14" t="str">
        <x:v>Alternate</x:v>
      </x:c>
      <x:c r="N801" s="14" t="n">
        <x:f>IF(E801&lt;&gt;"",1,0)+IF(F801&lt;&gt;"",1,0)+IF(H801&lt;&gt;"",1,0)+IF(J801&lt;&gt;"",1,0)+IF(L801&lt;&gt;"",1,0)</x:f>
        <x:v>1</x:v>
      </x:c>
      <x:c r="O801" s="14" t="str">
        <x:f>IF(E801="","MISSING MAIN",IF(N801=1,"MAIN ONLY","MULTI-PHOTO"))</x:f>
        <x:v>MAIN ONLY</x:v>
      </x:c>
      <x:c r="P801" s="14" t="str">
        <x:v>0909_</x:v>
      </x:c>
      <x:c r="Q801" s="14" t="str">
        <x:v>https://mb1advancedsolutions.github.io/mb1-catalog/index.html?design=0909</x:v>
      </x:c>
      <x:c r="R801" s="14" t="str"/>
    </x:row>
    <x:row r="802">
      <x:c r="A802" s="13" t="str">
        <x:v>MB1-0911</x:v>
      </x:c>
      <x:c r="B802" s="13" t="str">
        <x:v>MB1-0911</x:v>
      </x:c>
      <x:c r="C802" s="14" t="str">
        <x:v>Double Movie Ticket</x:v>
      </x:c>
      <x:c r="D802" s="14" t="str">
        <x:v>sports and hobbies</x:v>
      </x:c>
      <x:c r="E802" s="14" t="str">
        <x:v>https://res.cloudinary.com/oxygre42/image/upload/f_auto,q_auto,c_pad,b_white,w_1200,h_1200/v1788350299/0911_Double_Movie_Ticket.png</x:v>
      </x:c>
      <x:c r="F802" s="14" t="str"/>
      <x:c r="G802" s="14" t="str">
        <x:v>Lifestyle</x:v>
      </x:c>
      <x:c r="H802" s="14" t="str"/>
      <x:c r="I802" s="14" t="str">
        <x:v>Detail</x:v>
      </x:c>
      <x:c r="J802" s="14" t="str"/>
      <x:c r="K802" s="14" t="str">
        <x:v>Scale</x:v>
      </x:c>
      <x:c r="L802" s="14" t="str"/>
      <x:c r="M802" s="14" t="str">
        <x:v>Alternate</x:v>
      </x:c>
      <x:c r="N802" s="14" t="n">
        <x:f>IF(E802&lt;&gt;"",1,0)+IF(F802&lt;&gt;"",1,0)+IF(H802&lt;&gt;"",1,0)+IF(J802&lt;&gt;"",1,0)+IF(L802&lt;&gt;"",1,0)</x:f>
        <x:v>1</x:v>
      </x:c>
      <x:c r="O802" s="14" t="str">
        <x:f>IF(E802="","MISSING MAIN",IF(N802=1,"MAIN ONLY","MULTI-PHOTO"))</x:f>
        <x:v>MAIN ONLY</x:v>
      </x:c>
      <x:c r="P802" s="14" t="str">
        <x:v>0911_</x:v>
      </x:c>
      <x:c r="Q802" s="14" t="str">
        <x:v>https://mb1advancedsolutions.github.io/mb1-catalog/index.html?design=0911</x:v>
      </x:c>
      <x:c r="R802" s="14" t="str"/>
    </x:row>
    <x:row r="803">
      <x:c r="A803" s="13" t="str">
        <x:v>MB1-0912</x:v>
      </x:c>
      <x:c r="B803" s="13" t="str">
        <x:v>MB1-0912</x:v>
      </x:c>
      <x:c r="C803" s="14" t="str">
        <x:v>Dragon</x:v>
      </x:c>
      <x:c r="D803" s="14" t="str">
        <x:v>wildlife and outdoors</x:v>
      </x:c>
      <x:c r="E803" s="14" t="str">
        <x:v>https://res.cloudinary.com/oxygre42/image/upload/f_auto,q_auto,c_pad,b_white,w_1200,h_1200/v1788350301/0912_Dragon.png</x:v>
      </x:c>
      <x:c r="F803" s="14" t="str"/>
      <x:c r="G803" s="14" t="str">
        <x:v>Lifestyle</x:v>
      </x:c>
      <x:c r="H803" s="14" t="str"/>
      <x:c r="I803" s="14" t="str">
        <x:v>Detail</x:v>
      </x:c>
      <x:c r="J803" s="14" t="str"/>
      <x:c r="K803" s="14" t="str">
        <x:v>Scale</x:v>
      </x:c>
      <x:c r="L803" s="14" t="str"/>
      <x:c r="M803" s="14" t="str">
        <x:v>Alternate</x:v>
      </x:c>
      <x:c r="N803" s="14" t="n">
        <x:f>IF(E803&lt;&gt;"",1,0)+IF(F803&lt;&gt;"",1,0)+IF(H803&lt;&gt;"",1,0)+IF(J803&lt;&gt;"",1,0)+IF(L803&lt;&gt;"",1,0)</x:f>
        <x:v>1</x:v>
      </x:c>
      <x:c r="O803" s="14" t="str">
        <x:f>IF(E803="","MISSING MAIN",IF(N803=1,"MAIN ONLY","MULTI-PHOTO"))</x:f>
        <x:v>MAIN ONLY</x:v>
      </x:c>
      <x:c r="P803" s="14" t="str">
        <x:v>0912_</x:v>
      </x:c>
      <x:c r="Q803" s="14" t="str">
        <x:v>https://mb1advancedsolutions.github.io/mb1-catalog/index.html?design=0912</x:v>
      </x:c>
      <x:c r="R803" s="14" t="str"/>
    </x:row>
    <x:row r="804">
      <x:c r="A804" s="13" t="str">
        <x:v>MB1-0913</x:v>
      </x:c>
      <x:c r="B804" s="13" t="str">
        <x:v>MB1-0913</x:v>
      </x:c>
      <x:c r="C804" s="14" t="str">
        <x:v>Dream Catcher Monogram frame</x:v>
      </x:c>
      <x:c r="D804" s="14" t="str">
        <x:v>family &amp; name</x:v>
      </x:c>
      <x:c r="E804" s="14" t="str">
        <x:v>https://res.cloudinary.com/oxygre42/image/upload/f_auto,q_auto,c_pad,b_white,w_1200,h_1200/v1788350303/0913_Dream_Catcher_Monogram_frame.png</x:v>
      </x:c>
      <x:c r="F804" s="14" t="str"/>
      <x:c r="G804" s="14" t="str">
        <x:v>Lifestyle</x:v>
      </x:c>
      <x:c r="H804" s="14" t="str"/>
      <x:c r="I804" s="14" t="str">
        <x:v>Detail</x:v>
      </x:c>
      <x:c r="J804" s="14" t="str"/>
      <x:c r="K804" s="14" t="str">
        <x:v>Scale</x:v>
      </x:c>
      <x:c r="L804" s="14" t="str"/>
      <x:c r="M804" s="14" t="str">
        <x:v>Alternate</x:v>
      </x:c>
      <x:c r="N804" s="14" t="n">
        <x:f>IF(E804&lt;&gt;"",1,0)+IF(F804&lt;&gt;"",1,0)+IF(H804&lt;&gt;"",1,0)+IF(J804&lt;&gt;"",1,0)+IF(L804&lt;&gt;"",1,0)</x:f>
        <x:v>1</x:v>
      </x:c>
      <x:c r="O804" s="14" t="str">
        <x:f>IF(E804="","MISSING MAIN",IF(N804=1,"MAIN ONLY","MULTI-PHOTO"))</x:f>
        <x:v>MAIN ONLY</x:v>
      </x:c>
      <x:c r="P804" s="14" t="str">
        <x:v>0913_</x:v>
      </x:c>
      <x:c r="Q804" s="14" t="str">
        <x:v>https://mb1advancedsolutions.github.io/mb1-catalog/index.html?design=0913</x:v>
      </x:c>
      <x:c r="R804" s="14" t="str"/>
    </x:row>
    <x:row r="805">
      <x:c r="A805" s="13" t="str">
        <x:v>MB1-0914</x:v>
      </x:c>
      <x:c r="B805" s="13" t="str">
        <x:v>MB1-0914</x:v>
      </x:c>
      <x:c r="C805" s="14" t="str">
        <x:v>Dreamer</x:v>
      </x:c>
      <x:c r="D805" s="14" t="str">
        <x:v>home decor and inspirational</x:v>
      </x:c>
      <x:c r="E805" s="14" t="str">
        <x:v>https://res.cloudinary.com/oxygre42/image/upload/f_auto,q_auto,c_pad,b_white,w_1200,h_1200/v1788350305/0914_Dreamer.png</x:v>
      </x:c>
      <x:c r="F805" s="14" t="str"/>
      <x:c r="G805" s="14" t="str">
        <x:v>Lifestyle</x:v>
      </x:c>
      <x:c r="H805" s="14" t="str"/>
      <x:c r="I805" s="14" t="str">
        <x:v>Detail</x:v>
      </x:c>
      <x:c r="J805" s="14" t="str"/>
      <x:c r="K805" s="14" t="str">
        <x:v>Scale</x:v>
      </x:c>
      <x:c r="L805" s="14" t="str"/>
      <x:c r="M805" s="14" t="str">
        <x:v>Alternate</x:v>
      </x:c>
      <x:c r="N805" s="14" t="n">
        <x:f>IF(E805&lt;&gt;"",1,0)+IF(F805&lt;&gt;"",1,0)+IF(H805&lt;&gt;"",1,0)+IF(J805&lt;&gt;"",1,0)+IF(L805&lt;&gt;"",1,0)</x:f>
        <x:v>1</x:v>
      </x:c>
      <x:c r="O805" s="14" t="str">
        <x:f>IF(E805="","MISSING MAIN",IF(N805=1,"MAIN ONLY","MULTI-PHOTO"))</x:f>
        <x:v>MAIN ONLY</x:v>
      </x:c>
      <x:c r="P805" s="14" t="str">
        <x:v>0914_</x:v>
      </x:c>
      <x:c r="Q805" s="14" t="str">
        <x:v>https://mb1advancedsolutions.github.io/mb1-catalog/index.html?design=0914</x:v>
      </x:c>
      <x:c r="R805" s="14" t="str"/>
    </x:row>
    <x:row r="806">
      <x:c r="A806" s="13" t="str">
        <x:v>MB1-0915</x:v>
      </x:c>
      <x:c r="B806" s="13" t="str">
        <x:v>MB1-0915</x:v>
      </x:c>
      <x:c r="C806" s="14" t="str">
        <x:v>EPIC shit Basic people</x:v>
      </x:c>
      <x:c r="D806" s="14" t="str">
        <x:v>home decor and inspirational</x:v>
      </x:c>
      <x:c r="E806" s="14" t="str">
        <x:v>https://res.cloudinary.com/oxygre42/image/upload/f_auto,q_auto,c_pad,b_white,w_1200,h_1200/v1788350307/0915_EPIC_shit_Basic_people.png</x:v>
      </x:c>
      <x:c r="F806" s="14" t="str"/>
      <x:c r="G806" s="14" t="str">
        <x:v>Lifestyle</x:v>
      </x:c>
      <x:c r="H806" s="14" t="str"/>
      <x:c r="I806" s="14" t="str">
        <x:v>Detail</x:v>
      </x:c>
      <x:c r="J806" s="14" t="str"/>
      <x:c r="K806" s="14" t="str">
        <x:v>Scale</x:v>
      </x:c>
      <x:c r="L806" s="14" t="str"/>
      <x:c r="M806" s="14" t="str">
        <x:v>Alternate</x:v>
      </x:c>
      <x:c r="N806" s="14" t="n">
        <x:f>IF(E806&lt;&gt;"",1,0)+IF(F806&lt;&gt;"",1,0)+IF(H806&lt;&gt;"",1,0)+IF(J806&lt;&gt;"",1,0)+IF(L806&lt;&gt;"",1,0)</x:f>
        <x:v>1</x:v>
      </x:c>
      <x:c r="O806" s="14" t="str">
        <x:f>IF(E806="","MISSING MAIN",IF(N806=1,"MAIN ONLY","MULTI-PHOTO"))</x:f>
        <x:v>MAIN ONLY</x:v>
      </x:c>
      <x:c r="P806" s="14" t="str">
        <x:v>0915_</x:v>
      </x:c>
      <x:c r="Q806" s="14" t="str">
        <x:v>https://mb1advancedsolutions.github.io/mb1-catalog/index.html?design=0915</x:v>
      </x:c>
      <x:c r="R806" s="14" t="str"/>
    </x:row>
    <x:row r="807">
      <x:c r="A807" s="13" t="str">
        <x:v>MB1-0916</x:v>
      </x:c>
      <x:c r="B807" s="13" t="str">
        <x:v>MB1-0916</x:v>
      </x:c>
      <x:c r="C807" s="14" t="str">
        <x:v>Eagle Liberty Bell</x:v>
      </x:c>
      <x:c r="D807" s="14" t="str">
        <x:v>wildlife and outdoors</x:v>
      </x:c>
      <x:c r="E807" s="14" t="str">
        <x:v>https://res.cloudinary.com/oxygre42/image/upload/f_auto,q_auto,c_pad,b_white,w_1200,h_1200/v1788350309/0916_Eagle_Liberty_Bell.png</x:v>
      </x:c>
      <x:c r="F807" s="14" t="str"/>
      <x:c r="G807" s="14" t="str">
        <x:v>Lifestyle</x:v>
      </x:c>
      <x:c r="H807" s="14" t="str"/>
      <x:c r="I807" s="14" t="str">
        <x:v>Detail</x:v>
      </x:c>
      <x:c r="J807" s="14" t="str"/>
      <x:c r="K807" s="14" t="str">
        <x:v>Scale</x:v>
      </x:c>
      <x:c r="L807" s="14" t="str"/>
      <x:c r="M807" s="14" t="str">
        <x:v>Alternate</x:v>
      </x:c>
      <x:c r="N807" s="14" t="n">
        <x:f>IF(E807&lt;&gt;"",1,0)+IF(F807&lt;&gt;"",1,0)+IF(H807&lt;&gt;"",1,0)+IF(J807&lt;&gt;"",1,0)+IF(L807&lt;&gt;"",1,0)</x:f>
        <x:v>1</x:v>
      </x:c>
      <x:c r="O807" s="14" t="str">
        <x:f>IF(E807="","MISSING MAIN",IF(N807=1,"MAIN ONLY","MULTI-PHOTO"))</x:f>
        <x:v>MAIN ONLY</x:v>
      </x:c>
      <x:c r="P807" s="14" t="str">
        <x:v>0916_</x:v>
      </x:c>
      <x:c r="Q807" s="14" t="str">
        <x:v>https://mb1advancedsolutions.github.io/mb1-catalog/index.html?design=0916</x:v>
      </x:c>
      <x:c r="R807" s="14" t="str"/>
    </x:row>
    <x:row r="808">
      <x:c r="A808" s="13" t="str">
        <x:v>MB1-0918</x:v>
      </x:c>
      <x:c r="B808" s="13" t="str">
        <x:v>MB1-0918</x:v>
      </x:c>
      <x:c r="C808" s="14" t="str">
        <x:v>Eagle head without frame</x:v>
      </x:c>
      <x:c r="D808" s="14" t="str">
        <x:v>wildlife and outdoors</x:v>
      </x:c>
      <x:c r="E808" s="14" t="str">
        <x:v>https://res.cloudinary.com/oxygre42/image/upload/f_auto,q_auto,c_pad,b_white,w_1200,h_1200/v1788350310/0918_Eagle_head_without_frame.png</x:v>
      </x:c>
      <x:c r="F808" s="14" t="str"/>
      <x:c r="G808" s="14" t="str">
        <x:v>Lifestyle</x:v>
      </x:c>
      <x:c r="H808" s="14" t="str"/>
      <x:c r="I808" s="14" t="str">
        <x:v>Detail</x:v>
      </x:c>
      <x:c r="J808" s="14" t="str"/>
      <x:c r="K808" s="14" t="str">
        <x:v>Scale</x:v>
      </x:c>
      <x:c r="L808" s="14" t="str"/>
      <x:c r="M808" s="14" t="str">
        <x:v>Alternate</x:v>
      </x:c>
      <x:c r="N808" s="14" t="n">
        <x:f>IF(E808&lt;&gt;"",1,0)+IF(F808&lt;&gt;"",1,0)+IF(H808&lt;&gt;"",1,0)+IF(J808&lt;&gt;"",1,0)+IF(L808&lt;&gt;"",1,0)</x:f>
        <x:v>1</x:v>
      </x:c>
      <x:c r="O808" s="14" t="str">
        <x:f>IF(E808="","MISSING MAIN",IF(N808=1,"MAIN ONLY","MULTI-PHOTO"))</x:f>
        <x:v>MAIN ONLY</x:v>
      </x:c>
      <x:c r="P808" s="14" t="str">
        <x:v>0918_</x:v>
      </x:c>
      <x:c r="Q808" s="14" t="str">
        <x:v>https://mb1advancedsolutions.github.io/mb1-catalog/index.html?design=0918</x:v>
      </x:c>
      <x:c r="R808" s="14" t="str"/>
    </x:row>
    <x:row r="809">
      <x:c r="A809" s="13" t="str">
        <x:v>MB1-0919</x:v>
      </x:c>
      <x:c r="B809" s="13" t="str">
        <x:v>MB1-0919</x:v>
      </x:c>
      <x:c r="C809" s="14" t="str">
        <x:v>Eisenhower Silver Dollar</x:v>
      </x:c>
      <x:c r="D809" s="14" t="str">
        <x:v>sports and hobbies</x:v>
      </x:c>
      <x:c r="E809" s="14" t="str">
        <x:v>https://res.cloudinary.com/oxygre42/image/upload/f_auto,q_auto,c_pad,b_white,w_1200,h_1200/v1788350312/0919_Eisenhower_Silver_Dollar.png</x:v>
      </x:c>
      <x:c r="F809" s="14" t="str"/>
      <x:c r="G809" s="14" t="str">
        <x:v>Lifestyle</x:v>
      </x:c>
      <x:c r="H809" s="14" t="str"/>
      <x:c r="I809" s="14" t="str">
        <x:v>Detail</x:v>
      </x:c>
      <x:c r="J809" s="14" t="str"/>
      <x:c r="K809" s="14" t="str">
        <x:v>Scale</x:v>
      </x:c>
      <x:c r="L809" s="14" t="str"/>
      <x:c r="M809" s="14" t="str">
        <x:v>Alternate</x:v>
      </x:c>
      <x:c r="N809" s="14" t="n">
        <x:f>IF(E809&lt;&gt;"",1,0)+IF(F809&lt;&gt;"",1,0)+IF(H809&lt;&gt;"",1,0)+IF(J809&lt;&gt;"",1,0)+IF(L809&lt;&gt;"",1,0)</x:f>
        <x:v>1</x:v>
      </x:c>
      <x:c r="O809" s="14" t="str">
        <x:f>IF(E809="","MISSING MAIN",IF(N809=1,"MAIN ONLY","MULTI-PHOTO"))</x:f>
        <x:v>MAIN ONLY</x:v>
      </x:c>
      <x:c r="P809" s="14" t="str">
        <x:v>0919_</x:v>
      </x:c>
      <x:c r="Q809" s="14" t="str">
        <x:v>https://mb1advancedsolutions.github.io/mb1-catalog/index.html?design=0919</x:v>
      </x:c>
      <x:c r="R809" s="14" t="str"/>
    </x:row>
    <x:row r="810">
      <x:c r="A810" s="13" t="str">
        <x:v>MB1-0920</x:v>
      </x:c>
      <x:c r="B810" s="13" t="str">
        <x:v>MB1-0920</x:v>
      </x:c>
      <x:c r="C810" s="14" t="str">
        <x:v>Elephant</x:v>
      </x:c>
      <x:c r="D810" s="14" t="str">
        <x:v>wildlife and outdoors</x:v>
      </x:c>
      <x:c r="E810" s="14" t="str">
        <x:v>https://res.cloudinary.com/oxygre42/image/upload/f_auto,q_auto,c_pad,b_white,w_1200,h_1200/v1788350314/0920_Elephant.png</x:v>
      </x:c>
      <x:c r="F810" s="14" t="str"/>
      <x:c r="G810" s="14" t="str">
        <x:v>Lifestyle</x:v>
      </x:c>
      <x:c r="H810" s="14" t="str"/>
      <x:c r="I810" s="14" t="str">
        <x:v>Detail</x:v>
      </x:c>
      <x:c r="J810" s="14" t="str"/>
      <x:c r="K810" s="14" t="str">
        <x:v>Scale</x:v>
      </x:c>
      <x:c r="L810" s="14" t="str"/>
      <x:c r="M810" s="14" t="str">
        <x:v>Alternate</x:v>
      </x:c>
      <x:c r="N810" s="14" t="n">
        <x:f>IF(E810&lt;&gt;"",1,0)+IF(F810&lt;&gt;"",1,0)+IF(H810&lt;&gt;"",1,0)+IF(J810&lt;&gt;"",1,0)+IF(L810&lt;&gt;"",1,0)</x:f>
        <x:v>1</x:v>
      </x:c>
      <x:c r="O810" s="14" t="str">
        <x:f>IF(E810="","MISSING MAIN",IF(N810=1,"MAIN ONLY","MULTI-PHOTO"))</x:f>
        <x:v>MAIN ONLY</x:v>
      </x:c>
      <x:c r="P810" s="14" t="str">
        <x:v>0920_</x:v>
      </x:c>
      <x:c r="Q810" s="14" t="str">
        <x:v>https://mb1advancedsolutions.github.io/mb1-catalog/index.html?design=0920</x:v>
      </x:c>
      <x:c r="R810" s="14" t="str"/>
    </x:row>
    <x:row r="811">
      <x:c r="A811" s="13" t="str">
        <x:v>MB1-0921</x:v>
      </x:c>
      <x:c r="B811" s="13" t="str">
        <x:v>MB1-0921</x:v>
      </x:c>
      <x:c r="C811" s="14" t="str">
        <x:v>End of the trail silhouette</x:v>
      </x:c>
      <x:c r="D811" s="14" t="str">
        <x:v>farm and western</x:v>
      </x:c>
      <x:c r="E811" s="14" t="str">
        <x:v>https://res.cloudinary.com/oxygre42/image/upload/f_auto,q_auto,c_pad,b_white,w_1200,h_1200/v1788350316/0921_End_of_the_trail_silhouette.png</x:v>
      </x:c>
      <x:c r="F811" s="14" t="str"/>
      <x:c r="G811" s="14" t="str">
        <x:v>Lifestyle</x:v>
      </x:c>
      <x:c r="H811" s="14" t="str"/>
      <x:c r="I811" s="14" t="str">
        <x:v>Detail</x:v>
      </x:c>
      <x:c r="J811" s="14" t="str"/>
      <x:c r="K811" s="14" t="str">
        <x:v>Scale</x:v>
      </x:c>
      <x:c r="L811" s="14" t="str"/>
      <x:c r="M811" s="14" t="str">
        <x:v>Alternate</x:v>
      </x:c>
      <x:c r="N811" s="14" t="n">
        <x:f>IF(E811&lt;&gt;"",1,0)+IF(F811&lt;&gt;"",1,0)+IF(H811&lt;&gt;"",1,0)+IF(J811&lt;&gt;"",1,0)+IF(L811&lt;&gt;"",1,0)</x:f>
        <x:v>1</x:v>
      </x:c>
      <x:c r="O811" s="14" t="str">
        <x:f>IF(E811="","MISSING MAIN",IF(N811=1,"MAIN ONLY","MULTI-PHOTO"))</x:f>
        <x:v>MAIN ONLY</x:v>
      </x:c>
      <x:c r="P811" s="14" t="str">
        <x:v>0921_</x:v>
      </x:c>
      <x:c r="Q811" s="14" t="str">
        <x:v>https://mb1advancedsolutions.github.io/mb1-catalog/index.html?design=0921</x:v>
      </x:c>
      <x:c r="R811" s="14" t="str"/>
    </x:row>
    <x:row r="812">
      <x:c r="A812" s="13" t="str">
        <x:v>MB1-0922</x:v>
      </x:c>
      <x:c r="B812" s="13" t="str">
        <x:v>MB1-0922</x:v>
      </x:c>
      <x:c r="C812" s="14" t="str">
        <x:v>End of the trail</x:v>
      </x:c>
      <x:c r="D812" s="14" t="str">
        <x:v>farm and western</x:v>
      </x:c>
      <x:c r="E812" s="14" t="str">
        <x:v>https://res.cloudinary.com/oxygre42/image/upload/f_auto,q_auto,c_pad,b_white,w_1200,h_1200/v1788350318/0922_End_of_the_trail.png</x:v>
      </x:c>
      <x:c r="F812" s="14" t="str"/>
      <x:c r="G812" s="14" t="str">
        <x:v>Lifestyle</x:v>
      </x:c>
      <x:c r="H812" s="14" t="str"/>
      <x:c r="I812" s="14" t="str">
        <x:v>Detail</x:v>
      </x:c>
      <x:c r="J812" s="14" t="str"/>
      <x:c r="K812" s="14" t="str">
        <x:v>Scale</x:v>
      </x:c>
      <x:c r="L812" s="14" t="str"/>
      <x:c r="M812" s="14" t="str">
        <x:v>Alternate</x:v>
      </x:c>
      <x:c r="N812" s="14" t="n">
        <x:f>IF(E812&lt;&gt;"",1,0)+IF(F812&lt;&gt;"",1,0)+IF(H812&lt;&gt;"",1,0)+IF(J812&lt;&gt;"",1,0)+IF(L812&lt;&gt;"",1,0)</x:f>
        <x:v>1</x:v>
      </x:c>
      <x:c r="O812" s="14" t="str">
        <x:f>IF(E812="","MISSING MAIN",IF(N812=1,"MAIN ONLY","MULTI-PHOTO"))</x:f>
        <x:v>MAIN ONLY</x:v>
      </x:c>
      <x:c r="P812" s="14" t="str">
        <x:v>0922_</x:v>
      </x:c>
      <x:c r="Q812" s="14" t="str">
        <x:v>https://mb1advancedsolutions.github.io/mb1-catalog/index.html?design=0922</x:v>
      </x:c>
      <x:c r="R812" s="14" t="str"/>
    </x:row>
    <x:row r="813">
      <x:c r="A813" s="13" t="str">
        <x:v>MB1-0923</x:v>
      </x:c>
      <x:c r="B813" s="13" t="str">
        <x:v>MB1-0923</x:v>
      </x:c>
      <x:c r="C813" s="14" t="str">
        <x:v>Everythingstartswithadream</x:v>
      </x:c>
      <x:c r="D813" s="14" t="str">
        <x:v>home decor and inspirational</x:v>
      </x:c>
      <x:c r="E813" s="14" t="str">
        <x:v>https://res.cloudinary.com/oxygre42/image/upload/f_auto,q_auto,c_pad,b_white,w_1200,h_1200/v1788350320/0923_Everythingstartswithadream.png</x:v>
      </x:c>
      <x:c r="F813" s="14" t="str"/>
      <x:c r="G813" s="14" t="str">
        <x:v>Lifestyle</x:v>
      </x:c>
      <x:c r="H813" s="14" t="str"/>
      <x:c r="I813" s="14" t="str">
        <x:v>Detail</x:v>
      </x:c>
      <x:c r="J813" s="14" t="str"/>
      <x:c r="K813" s="14" t="str">
        <x:v>Scale</x:v>
      </x:c>
      <x:c r="L813" s="14" t="str"/>
      <x:c r="M813" s="14" t="str">
        <x:v>Alternate</x:v>
      </x:c>
      <x:c r="N813" s="14" t="n">
        <x:f>IF(E813&lt;&gt;"",1,0)+IF(F813&lt;&gt;"",1,0)+IF(H813&lt;&gt;"",1,0)+IF(J813&lt;&gt;"",1,0)+IF(L813&lt;&gt;"",1,0)</x:f>
        <x:v>1</x:v>
      </x:c>
      <x:c r="O813" s="14" t="str">
        <x:f>IF(E813="","MISSING MAIN",IF(N813=1,"MAIN ONLY","MULTI-PHOTO"))</x:f>
        <x:v>MAIN ONLY</x:v>
      </x:c>
      <x:c r="P813" s="14" t="str">
        <x:v>0923_</x:v>
      </x:c>
      <x:c r="Q813" s="14" t="str">
        <x:v>https://mb1advancedsolutions.github.io/mb1-catalog/index.html?design=0923</x:v>
      </x:c>
      <x:c r="R813" s="14" t="str"/>
    </x:row>
    <x:row r="814">
      <x:c r="A814" s="13" t="str">
        <x:v>MB1-0924</x:v>
      </x:c>
      <x:c r="B814" s="13" t="str">
        <x:v>MB1-0924</x:v>
      </x:c>
      <x:c r="C814" s="14" t="str">
        <x:v>Faith and Family arrows</x:v>
      </x:c>
      <x:c r="D814" s="14" t="str">
        <x:v>family &amp; name</x:v>
      </x:c>
      <x:c r="E814" s="14" t="str">
        <x:v>https://res.cloudinary.com/oxygre42/image/upload/f_auto,q_auto,c_pad,b_white,w_1200,h_1200/v1788350322/0924_Faith_and_Family_arrows.png</x:v>
      </x:c>
      <x:c r="F814" s="14" t="str"/>
      <x:c r="G814" s="14" t="str">
        <x:v>Lifestyle</x:v>
      </x:c>
      <x:c r="H814" s="14" t="str"/>
      <x:c r="I814" s="14" t="str">
        <x:v>Detail</x:v>
      </x:c>
      <x:c r="J814" s="14" t="str"/>
      <x:c r="K814" s="14" t="str">
        <x:v>Scale</x:v>
      </x:c>
      <x:c r="L814" s="14" t="str"/>
      <x:c r="M814" s="14" t="str">
        <x:v>Alternate</x:v>
      </x:c>
      <x:c r="N814" s="14" t="n">
        <x:f>IF(E814&lt;&gt;"",1,0)+IF(F814&lt;&gt;"",1,0)+IF(H814&lt;&gt;"",1,0)+IF(J814&lt;&gt;"",1,0)+IF(L814&lt;&gt;"",1,0)</x:f>
        <x:v>1</x:v>
      </x:c>
      <x:c r="O814" s="14" t="str">
        <x:f>IF(E814="","MISSING MAIN",IF(N814=1,"MAIN ONLY","MULTI-PHOTO"))</x:f>
        <x:v>MAIN ONLY</x:v>
      </x:c>
      <x:c r="P814" s="14" t="str">
        <x:v>0924_</x:v>
      </x:c>
      <x:c r="Q814" s="14" t="str">
        <x:v>https://mb1advancedsolutions.github.io/mb1-catalog/index.html?design=0924</x:v>
      </x:c>
      <x:c r="R814" s="14" t="str"/>
    </x:row>
    <x:row r="815">
      <x:c r="A815" s="13" t="str">
        <x:v>MB1-0925</x:v>
      </x:c>
      <x:c r="B815" s="13" t="str">
        <x:v>MB1-0925</x:v>
      </x:c>
      <x:c r="C815" s="14" t="str">
        <x:v>Fall Truck</x:v>
      </x:c>
      <x:c r="D815" s="14" t="str">
        <x:v>seasonal and holiday</x:v>
      </x:c>
      <x:c r="E815" s="14" t="str">
        <x:v>https://res.cloudinary.com/oxygre42/image/upload/f_auto,q_auto,c_pad,b_white,w_1200,h_1200/v1788350323/0925_Fall_Truck.png</x:v>
      </x:c>
      <x:c r="F815" s="14" t="str"/>
      <x:c r="G815" s="14" t="str">
        <x:v>Lifestyle</x:v>
      </x:c>
      <x:c r="H815" s="14" t="str"/>
      <x:c r="I815" s="14" t="str">
        <x:v>Detail</x:v>
      </x:c>
      <x:c r="J815" s="14" t="str"/>
      <x:c r="K815" s="14" t="str">
        <x:v>Scale</x:v>
      </x:c>
      <x:c r="L815" s="14" t="str"/>
      <x:c r="M815" s="14" t="str">
        <x:v>Alternate</x:v>
      </x:c>
      <x:c r="N815" s="14" t="n">
        <x:f>IF(E815&lt;&gt;"",1,0)+IF(F815&lt;&gt;"",1,0)+IF(H815&lt;&gt;"",1,0)+IF(J815&lt;&gt;"",1,0)+IF(L815&lt;&gt;"",1,0)</x:f>
        <x:v>1</x:v>
      </x:c>
      <x:c r="O815" s="14" t="str">
        <x:f>IF(E815="","MISSING MAIN",IF(N815=1,"MAIN ONLY","MULTI-PHOTO"))</x:f>
        <x:v>MAIN ONLY</x:v>
      </x:c>
      <x:c r="P815" s="14" t="str">
        <x:v>0925_</x:v>
      </x:c>
      <x:c r="Q815" s="14" t="str">
        <x:v>https://mb1advancedsolutions.github.io/mb1-catalog/index.html?design=0925</x:v>
      </x:c>
      <x:c r="R815" s="14" t="str"/>
    </x:row>
    <x:row r="816">
      <x:c r="A816" s="13" t="str">
        <x:v>MB1-0926</x:v>
      </x:c>
      <x:c r="B816" s="13" t="str">
        <x:v>MB1-0926</x:v>
      </x:c>
      <x:c r="C816" s="14" t="str">
        <x:v>Fall milk jug</x:v>
      </x:c>
      <x:c r="D816" s="14" t="str">
        <x:v>seasonal and holiday</x:v>
      </x:c>
      <x:c r="E816" s="14" t="str">
        <x:v>https://res.cloudinary.com/oxygre42/image/upload/f_auto,q_auto,c_pad,b_white,w_1200,h_1200/v1788350325/0926_Fall_milk_jug.png</x:v>
      </x:c>
      <x:c r="F816" s="14" t="str"/>
      <x:c r="G816" s="14" t="str">
        <x:v>Lifestyle</x:v>
      </x:c>
      <x:c r="H816" s="14" t="str"/>
      <x:c r="I816" s="14" t="str">
        <x:v>Detail</x:v>
      </x:c>
      <x:c r="J816" s="14" t="str"/>
      <x:c r="K816" s="14" t="str">
        <x:v>Scale</x:v>
      </x:c>
      <x:c r="L816" s="14" t="str"/>
      <x:c r="M816" s="14" t="str">
        <x:v>Alternate</x:v>
      </x:c>
      <x:c r="N816" s="14" t="n">
        <x:f>IF(E816&lt;&gt;"",1,0)+IF(F816&lt;&gt;"",1,0)+IF(H816&lt;&gt;"",1,0)+IF(J816&lt;&gt;"",1,0)+IF(L816&lt;&gt;"",1,0)</x:f>
        <x:v>1</x:v>
      </x:c>
      <x:c r="O816" s="14" t="str">
        <x:f>IF(E816="","MISSING MAIN",IF(N816=1,"MAIN ONLY","MULTI-PHOTO"))</x:f>
        <x:v>MAIN ONLY</x:v>
      </x:c>
      <x:c r="P816" s="14" t="str">
        <x:v>0926_</x:v>
      </x:c>
      <x:c r="Q816" s="14" t="str">
        <x:v>https://mb1advancedsolutions.github.io/mb1-catalog/index.html?design=0926</x:v>
      </x:c>
      <x:c r="R816" s="14" t="str"/>
    </x:row>
    <x:row r="817">
      <x:c r="A817" s="13" t="str">
        <x:v>MB1-0927</x:v>
      </x:c>
      <x:c r="B817" s="13" t="str">
        <x:v>MB1-0927</x:v>
      </x:c>
      <x:c r="C817" s="14" t="str">
        <x:v>Fancy cross</x:v>
      </x:c>
      <x:c r="D817" s="14" t="str">
        <x:v>home decor and inspirational</x:v>
      </x:c>
      <x:c r="E817" s="14" t="str">
        <x:v>https://res.cloudinary.com/oxygre42/image/upload/f_auto,q_auto,c_pad,b_white,w_1200,h_1200/v1788350327/0927_Fancy_cross.png</x:v>
      </x:c>
      <x:c r="F817" s="14" t="str"/>
      <x:c r="G817" s="14" t="str">
        <x:v>Lifestyle</x:v>
      </x:c>
      <x:c r="H817" s="14" t="str"/>
      <x:c r="I817" s="14" t="str">
        <x:v>Detail</x:v>
      </x:c>
      <x:c r="J817" s="14" t="str"/>
      <x:c r="K817" s="14" t="str">
        <x:v>Scale</x:v>
      </x:c>
      <x:c r="L817" s="14" t="str"/>
      <x:c r="M817" s="14" t="str">
        <x:v>Alternate</x:v>
      </x:c>
      <x:c r="N817" s="14" t="n">
        <x:f>IF(E817&lt;&gt;"",1,0)+IF(F817&lt;&gt;"",1,0)+IF(H817&lt;&gt;"",1,0)+IF(J817&lt;&gt;"",1,0)+IF(L817&lt;&gt;"",1,0)</x:f>
        <x:v>1</x:v>
      </x:c>
      <x:c r="O817" s="14" t="str">
        <x:f>IF(E817="","MISSING MAIN",IF(N817=1,"MAIN ONLY","MULTI-PHOTO"))</x:f>
        <x:v>MAIN ONLY</x:v>
      </x:c>
      <x:c r="P817" s="14" t="str">
        <x:v>0927_</x:v>
      </x:c>
      <x:c r="Q817" s="14" t="str">
        <x:v>https://mb1advancedsolutions.github.io/mb1-catalog/index.html?design=0927</x:v>
      </x:c>
      <x:c r="R817" s="14" t="str"/>
    </x:row>
    <x:row r="818">
      <x:c r="A818" s="13" t="str">
        <x:v>MB1-0928</x:v>
      </x:c>
      <x:c r="B818" s="13" t="str">
        <x:v>MB1-0928</x:v>
      </x:c>
      <x:c r="C818" s="14" t="str">
        <x:v>Farm Fresh Bacon</x:v>
      </x:c>
      <x:c r="D818" s="14" t="str">
        <x:v>farm and western</x:v>
      </x:c>
      <x:c r="E818" s="14" t="str">
        <x:v>https://res.cloudinary.com/oxygre42/image/upload/f_auto,q_auto,c_pad,b_white,w_1200,h_1200/v1788350329/0928_Farm_Fresh_Bacon.png</x:v>
      </x:c>
      <x:c r="F818" s="14" t="str"/>
      <x:c r="G818" s="14" t="str">
        <x:v>Lifestyle</x:v>
      </x:c>
      <x:c r="H818" s="14" t="str"/>
      <x:c r="I818" s="14" t="str">
        <x:v>Detail</x:v>
      </x:c>
      <x:c r="J818" s="14" t="str"/>
      <x:c r="K818" s="14" t="str">
        <x:v>Scale</x:v>
      </x:c>
      <x:c r="L818" s="14" t="str"/>
      <x:c r="M818" s="14" t="str">
        <x:v>Alternate</x:v>
      </x:c>
      <x:c r="N818" s="14" t="n">
        <x:f>IF(E818&lt;&gt;"",1,0)+IF(F818&lt;&gt;"",1,0)+IF(H818&lt;&gt;"",1,0)+IF(J818&lt;&gt;"",1,0)+IF(L818&lt;&gt;"",1,0)</x:f>
        <x:v>1</x:v>
      </x:c>
      <x:c r="O818" s="14" t="str">
        <x:f>IF(E818="","MISSING MAIN",IF(N818=1,"MAIN ONLY","MULTI-PHOTO"))</x:f>
        <x:v>MAIN ONLY</x:v>
      </x:c>
      <x:c r="P818" s="14" t="str">
        <x:v>0928_</x:v>
      </x:c>
      <x:c r="Q818" s="14" t="str">
        <x:v>https://mb1advancedsolutions.github.io/mb1-catalog/index.html?design=0928</x:v>
      </x:c>
      <x:c r="R818" s="14" t="str"/>
    </x:row>
    <x:row r="819">
      <x:c r="A819" s="13" t="str">
        <x:v>MB1-0929</x:v>
      </x:c>
      <x:c r="B819" s="13" t="str">
        <x:v>MB1-0929</x:v>
      </x:c>
      <x:c r="C819" s="14" t="str">
        <x:v>Farm Fresh Beef</x:v>
      </x:c>
      <x:c r="D819" s="14" t="str">
        <x:v>farm and western</x:v>
      </x:c>
      <x:c r="E819" s="14" t="str">
        <x:v>https://res.cloudinary.com/oxygre42/image/upload/f_auto,q_auto,c_pad,b_white,w_1200,h_1200/v1788350331/0929_Farm_Fresh_Beef.png</x:v>
      </x:c>
      <x:c r="F819" s="14" t="str"/>
      <x:c r="G819" s="14" t="str">
        <x:v>Lifestyle</x:v>
      </x:c>
      <x:c r="H819" s="14" t="str"/>
      <x:c r="I819" s="14" t="str">
        <x:v>Detail</x:v>
      </x:c>
      <x:c r="J819" s="14" t="str"/>
      <x:c r="K819" s="14" t="str">
        <x:v>Scale</x:v>
      </x:c>
      <x:c r="L819" s="14" t="str"/>
      <x:c r="M819" s="14" t="str">
        <x:v>Alternate</x:v>
      </x:c>
      <x:c r="N819" s="14" t="n">
        <x:f>IF(E819&lt;&gt;"",1,0)+IF(F819&lt;&gt;"",1,0)+IF(H819&lt;&gt;"",1,0)+IF(J819&lt;&gt;"",1,0)+IF(L819&lt;&gt;"",1,0)</x:f>
        <x:v>1</x:v>
      </x:c>
      <x:c r="O819" s="14" t="str">
        <x:f>IF(E819="","MISSING MAIN",IF(N819=1,"MAIN ONLY","MULTI-PHOTO"))</x:f>
        <x:v>MAIN ONLY</x:v>
      </x:c>
      <x:c r="P819" s="14" t="str">
        <x:v>0929_</x:v>
      </x:c>
      <x:c r="Q819" s="14" t="str">
        <x:v>https://mb1advancedsolutions.github.io/mb1-catalog/index.html?design=0929</x:v>
      </x:c>
      <x:c r="R819" s="14" t="str"/>
    </x:row>
    <x:row r="820">
      <x:c r="A820" s="13" t="str">
        <x:v>MB1-0930</x:v>
      </x:c>
      <x:c r="B820" s="13" t="str">
        <x:v>MB1-0930</x:v>
      </x:c>
      <x:c r="C820" s="14" t="str">
        <x:v>Farm Fresh Christmas trees</x:v>
      </x:c>
      <x:c r="D820" s="14" t="str">
        <x:v>seasonal and holiday</x:v>
      </x:c>
      <x:c r="E820" s="14" t="str">
        <x:v>https://res.cloudinary.com/oxygre42/image/upload/f_auto,q_auto,c_pad,b_white,w_1200,h_1200/v1788350333/0930_Farm_Fresh_Christmas_trees.png</x:v>
      </x:c>
      <x:c r="F820" s="14" t="str"/>
      <x:c r="G820" s="14" t="str">
        <x:v>Lifestyle</x:v>
      </x:c>
      <x:c r="H820" s="14" t="str"/>
      <x:c r="I820" s="14" t="str">
        <x:v>Detail</x:v>
      </x:c>
      <x:c r="J820" s="14" t="str"/>
      <x:c r="K820" s="14" t="str">
        <x:v>Scale</x:v>
      </x:c>
      <x:c r="L820" s="14" t="str"/>
      <x:c r="M820" s="14" t="str">
        <x:v>Alternate</x:v>
      </x:c>
      <x:c r="N820" s="14" t="n">
        <x:f>IF(E820&lt;&gt;"",1,0)+IF(F820&lt;&gt;"",1,0)+IF(H820&lt;&gt;"",1,0)+IF(J820&lt;&gt;"",1,0)+IF(L820&lt;&gt;"",1,0)</x:f>
        <x:v>1</x:v>
      </x:c>
      <x:c r="O820" s="14" t="str">
        <x:f>IF(E820="","MISSING MAIN",IF(N820=1,"MAIN ONLY","MULTI-PHOTO"))</x:f>
        <x:v>MAIN ONLY</x:v>
      </x:c>
      <x:c r="P820" s="14" t="str">
        <x:v>0930_</x:v>
      </x:c>
      <x:c r="Q820" s="14" t="str">
        <x:v>https://mb1advancedsolutions.github.io/mb1-catalog/index.html?design=0930</x:v>
      </x:c>
      <x:c r="R820" s="14" t="str"/>
    </x:row>
    <x:row r="821">
      <x:c r="A821" s="13" t="str">
        <x:v>MB1-0931</x:v>
      </x:c>
      <x:c r="B821" s="13" t="str">
        <x:v>MB1-0931</x:v>
      </x:c>
      <x:c r="C821" s="14" t="str">
        <x:v>Farm Fresh Eggs</x:v>
      </x:c>
      <x:c r="D821" s="14" t="str">
        <x:v>farm and western</x:v>
      </x:c>
      <x:c r="E821" s="14" t="str">
        <x:v>https://res.cloudinary.com/oxygre42/image/upload/f_auto,q_auto,c_pad,b_white,w_1200,h_1200/v1788350335/0931_Farm_Fresh_Eggs.png</x:v>
      </x:c>
      <x:c r="F821" s="14" t="str"/>
      <x:c r="G821" s="14" t="str">
        <x:v>Lifestyle</x:v>
      </x:c>
      <x:c r="H821" s="14" t="str"/>
      <x:c r="I821" s="14" t="str">
        <x:v>Detail</x:v>
      </x:c>
      <x:c r="J821" s="14" t="str"/>
      <x:c r="K821" s="14" t="str">
        <x:v>Scale</x:v>
      </x:c>
      <x:c r="L821" s="14" t="str"/>
      <x:c r="M821" s="14" t="str">
        <x:v>Alternate</x:v>
      </x:c>
      <x:c r="N821" s="14" t="n">
        <x:f>IF(E821&lt;&gt;"",1,0)+IF(F821&lt;&gt;"",1,0)+IF(H821&lt;&gt;"",1,0)+IF(J821&lt;&gt;"",1,0)+IF(L821&lt;&gt;"",1,0)</x:f>
        <x:v>1</x:v>
      </x:c>
      <x:c r="O821" s="14" t="str">
        <x:f>IF(E821="","MISSING MAIN",IF(N821=1,"MAIN ONLY","MULTI-PHOTO"))</x:f>
        <x:v>MAIN ONLY</x:v>
      </x:c>
      <x:c r="P821" s="14" t="str">
        <x:v>0931_</x:v>
      </x:c>
      <x:c r="Q821" s="14" t="str">
        <x:v>https://mb1advancedsolutions.github.io/mb1-catalog/index.html?design=0931</x:v>
      </x:c>
      <x:c r="R821" s="14" t="str"/>
    </x:row>
    <x:row r="822">
      <x:c r="A822" s="13" t="str">
        <x:v>MB1-0932</x:v>
      </x:c>
      <x:c r="B822" s="13" t="str">
        <x:v>MB1-0932</x:v>
      </x:c>
      <x:c r="C822" s="14" t="str">
        <x:v>Farm Fresh</x:v>
      </x:c>
      <x:c r="D822" s="14" t="str">
        <x:v>farm and western</x:v>
      </x:c>
      <x:c r="E822" s="14" t="str">
        <x:v>https://res.cloudinary.com/oxygre42/image/upload/f_auto,q_auto,c_pad,b_white,w_1200,h_1200/v1788350337/0932_Farm_Fresh.png</x:v>
      </x:c>
      <x:c r="F822" s="14" t="str"/>
      <x:c r="G822" s="14" t="str">
        <x:v>Lifestyle</x:v>
      </x:c>
      <x:c r="H822" s="14" t="str"/>
      <x:c r="I822" s="14" t="str">
        <x:v>Detail</x:v>
      </x:c>
      <x:c r="J822" s="14" t="str"/>
      <x:c r="K822" s="14" t="str">
        <x:v>Scale</x:v>
      </x:c>
      <x:c r="L822" s="14" t="str"/>
      <x:c r="M822" s="14" t="str">
        <x:v>Alternate</x:v>
      </x:c>
      <x:c r="N822" s="14" t="n">
        <x:f>IF(E822&lt;&gt;"",1,0)+IF(F822&lt;&gt;"",1,0)+IF(H822&lt;&gt;"",1,0)+IF(J822&lt;&gt;"",1,0)+IF(L822&lt;&gt;"",1,0)</x:f>
        <x:v>1</x:v>
      </x:c>
      <x:c r="O822" s="14" t="str">
        <x:f>IF(E822="","MISSING MAIN",IF(N822=1,"MAIN ONLY","MULTI-PHOTO"))</x:f>
        <x:v>MAIN ONLY</x:v>
      </x:c>
      <x:c r="P822" s="14" t="str">
        <x:v>0932_</x:v>
      </x:c>
      <x:c r="Q822" s="14" t="str">
        <x:v>https://mb1advancedsolutions.github.io/mb1-catalog/index.html?design=0932</x:v>
      </x:c>
      <x:c r="R822" s="14" t="str"/>
    </x:row>
    <x:row r="823">
      <x:c r="A823" s="13" t="str">
        <x:v>MB1-0933</x:v>
      </x:c>
      <x:c r="B823" s="13" t="str">
        <x:v>MB1-0933</x:v>
      </x:c>
      <x:c r="C823" s="14" t="str">
        <x:v>Farmers Market</x:v>
      </x:c>
      <x:c r="D823" s="14" t="str">
        <x:v>farm and western</x:v>
      </x:c>
      <x:c r="E823" s="14" t="str">
        <x:v>https://res.cloudinary.com/oxygre42/image/upload/f_auto,q_auto,c_pad,b_white,w_1200,h_1200/v1788350338/0933_Farmers_Market.png</x:v>
      </x:c>
      <x:c r="F823" s="14" t="str"/>
      <x:c r="G823" s="14" t="str">
        <x:v>Lifestyle</x:v>
      </x:c>
      <x:c r="H823" s="14" t="str"/>
      <x:c r="I823" s="14" t="str">
        <x:v>Detail</x:v>
      </x:c>
      <x:c r="J823" s="14" t="str"/>
      <x:c r="K823" s="14" t="str">
        <x:v>Scale</x:v>
      </x:c>
      <x:c r="L823" s="14" t="str"/>
      <x:c r="M823" s="14" t="str">
        <x:v>Alternate</x:v>
      </x:c>
      <x:c r="N823" s="14" t="n">
        <x:f>IF(E823&lt;&gt;"",1,0)+IF(F823&lt;&gt;"",1,0)+IF(H823&lt;&gt;"",1,0)+IF(J823&lt;&gt;"",1,0)+IF(L823&lt;&gt;"",1,0)</x:f>
        <x:v>1</x:v>
      </x:c>
      <x:c r="O823" s="14" t="str">
        <x:f>IF(E823="","MISSING MAIN",IF(N823=1,"MAIN ONLY","MULTI-PHOTO"))</x:f>
        <x:v>MAIN ONLY</x:v>
      </x:c>
      <x:c r="P823" s="14" t="str">
        <x:v>0933_</x:v>
      </x:c>
      <x:c r="Q823" s="14" t="str">
        <x:v>https://mb1advancedsolutions.github.io/mb1-catalog/index.html?design=0933</x:v>
      </x:c>
      <x:c r="R823" s="14" t="str"/>
    </x:row>
    <x:row r="824">
      <x:c r="A824" s="13" t="str">
        <x:v>MB1-0934</x:v>
      </x:c>
      <x:c r="B824" s="13" t="str">
        <x:v>MB1-0934</x:v>
      </x:c>
      <x:c r="C824" s="14" t="str">
        <x:v>Farmhouse</x:v>
      </x:c>
      <x:c r="D824" s="14" t="str">
        <x:v>farm and western</x:v>
      </x:c>
      <x:c r="E824" s="14" t="str">
        <x:v>https://res.cloudinary.com/oxygre42/image/upload/f_auto,q_auto,c_pad,b_white,w_1200,h_1200/v1788350340/0934_Farmhouse.png</x:v>
      </x:c>
      <x:c r="F824" s="14" t="str"/>
      <x:c r="G824" s="14" t="str">
        <x:v>Lifestyle</x:v>
      </x:c>
      <x:c r="H824" s="14" t="str"/>
      <x:c r="I824" s="14" t="str">
        <x:v>Detail</x:v>
      </x:c>
      <x:c r="J824" s="14" t="str"/>
      <x:c r="K824" s="14" t="str">
        <x:v>Scale</x:v>
      </x:c>
      <x:c r="L824" s="14" t="str"/>
      <x:c r="M824" s="14" t="str">
        <x:v>Alternate</x:v>
      </x:c>
      <x:c r="N824" s="14" t="n">
        <x:f>IF(E824&lt;&gt;"",1,0)+IF(F824&lt;&gt;"",1,0)+IF(H824&lt;&gt;"",1,0)+IF(J824&lt;&gt;"",1,0)+IF(L824&lt;&gt;"",1,0)</x:f>
        <x:v>1</x:v>
      </x:c>
      <x:c r="O824" s="14" t="str">
        <x:f>IF(E824="","MISSING MAIN",IF(N824=1,"MAIN ONLY","MULTI-PHOTO"))</x:f>
        <x:v>MAIN ONLY</x:v>
      </x:c>
      <x:c r="P824" s="14" t="str">
        <x:v>0934_</x:v>
      </x:c>
      <x:c r="Q824" s="14" t="str">
        <x:v>https://mb1advancedsolutions.github.io/mb1-catalog/index.html?design=0934</x:v>
      </x:c>
      <x:c r="R824" s="14" t="str"/>
    </x:row>
    <x:row r="825">
      <x:c r="A825" s="13" t="str">
        <x:v>MB1-0935</x:v>
      </x:c>
      <x:c r="B825" s="13" t="str">
        <x:v>MB1-0935</x:v>
      </x:c>
      <x:c r="C825" s="14" t="str">
        <x:v>Fbomb Key Chain</x:v>
      </x:c>
      <x:c r="D825" s="14" t="str">
        <x:v>home decor and inspirational</x:v>
      </x:c>
      <x:c r="E825" s="14" t="str">
        <x:v>https://res.cloudinary.com/oxygre42/image/upload/f_auto,q_auto,c_pad,b_white,w_1200,h_1200/v1788350342/0935_Fbomb_Key_Chain.png</x:v>
      </x:c>
      <x:c r="F825" s="14" t="str"/>
      <x:c r="G825" s="14" t="str">
        <x:v>Lifestyle</x:v>
      </x:c>
      <x:c r="H825" s="14" t="str"/>
      <x:c r="I825" s="14" t="str">
        <x:v>Detail</x:v>
      </x:c>
      <x:c r="J825" s="14" t="str"/>
      <x:c r="K825" s="14" t="str">
        <x:v>Scale</x:v>
      </x:c>
      <x:c r="L825" s="14" t="str"/>
      <x:c r="M825" s="14" t="str">
        <x:v>Alternate</x:v>
      </x:c>
      <x:c r="N825" s="14" t="n">
        <x:f>IF(E825&lt;&gt;"",1,0)+IF(F825&lt;&gt;"",1,0)+IF(H825&lt;&gt;"",1,0)+IF(J825&lt;&gt;"",1,0)+IF(L825&lt;&gt;"",1,0)</x:f>
        <x:v>1</x:v>
      </x:c>
      <x:c r="O825" s="14" t="str">
        <x:f>IF(E825="","MISSING MAIN",IF(N825=1,"MAIN ONLY","MULTI-PHOTO"))</x:f>
        <x:v>MAIN ONLY</x:v>
      </x:c>
      <x:c r="P825" s="14" t="str">
        <x:v>0935_</x:v>
      </x:c>
      <x:c r="Q825" s="14" t="str">
        <x:v>https://mb1advancedsolutions.github.io/mb1-catalog/index.html?design=0935</x:v>
      </x:c>
      <x:c r="R825" s="14" t="str"/>
    </x:row>
    <x:row r="826">
      <x:c r="A826" s="13" t="str">
        <x:v>MB1-0936</x:v>
      </x:c>
      <x:c r="B826" s="13" t="str">
        <x:v>MB1-0936</x:v>
      </x:c>
      <x:c r="C826" s="14" t="str">
        <x:v>Fbomb</x:v>
      </x:c>
      <x:c r="D826" s="14" t="str">
        <x:v>home decor and inspirational</x:v>
      </x:c>
      <x:c r="E826" s="14" t="str">
        <x:v>https://res.cloudinary.com/oxygre42/image/upload/f_auto,q_auto,c_pad,b_white,w_1200,h_1200/v1788350344/0936_Fbomb.png</x:v>
      </x:c>
      <x:c r="F826" s="14" t="str"/>
      <x:c r="G826" s="14" t="str">
        <x:v>Lifestyle</x:v>
      </x:c>
      <x:c r="H826" s="14" t="str"/>
      <x:c r="I826" s="14" t="str">
        <x:v>Detail</x:v>
      </x:c>
      <x:c r="J826" s="14" t="str"/>
      <x:c r="K826" s="14" t="str">
        <x:v>Scale</x:v>
      </x:c>
      <x:c r="L826" s="14" t="str"/>
      <x:c r="M826" s="14" t="str">
        <x:v>Alternate</x:v>
      </x:c>
      <x:c r="N826" s="14" t="n">
        <x:f>IF(E826&lt;&gt;"",1,0)+IF(F826&lt;&gt;"",1,0)+IF(H826&lt;&gt;"",1,0)+IF(J826&lt;&gt;"",1,0)+IF(L826&lt;&gt;"",1,0)</x:f>
        <x:v>1</x:v>
      </x:c>
      <x:c r="O826" s="14" t="str">
        <x:f>IF(E826="","MISSING MAIN",IF(N826=1,"MAIN ONLY","MULTI-PHOTO"))</x:f>
        <x:v>MAIN ONLY</x:v>
      </x:c>
      <x:c r="P826" s="14" t="str">
        <x:v>0936_</x:v>
      </x:c>
      <x:c r="Q826" s="14" t="str">
        <x:v>https://mb1advancedsolutions.github.io/mb1-catalog/index.html?design=0936</x:v>
      </x:c>
      <x:c r="R826" s="14" t="str"/>
    </x:row>
    <x:row r="827">
      <x:c r="A827" s="13" t="str">
        <x:v>MB1-0937</x:v>
      </x:c>
      <x:c r="B827" s="13" t="str">
        <x:v>MB1-0937</x:v>
      </x:c>
      <x:c r="C827" s="14" t="str">
        <x:v>Fifth Wheel name plaque</x:v>
      </x:c>
      <x:c r="D827" s="14" t="str">
        <x:v>wildlife and outdoors</x:v>
      </x:c>
      <x:c r="E827" s="14" t="str">
        <x:v>https://res.cloudinary.com/oxygre42/image/upload/f_auto,q_auto,c_pad,b_white,w_1200,h_1200/v1788350346/0937_Fifth_Wheel_name_plaque.jpg</x:v>
      </x:c>
      <x:c r="F827" s="14" t="str"/>
      <x:c r="G827" s="14" t="str">
        <x:v>Lifestyle</x:v>
      </x:c>
      <x:c r="H827" s="14" t="str"/>
      <x:c r="I827" s="14" t="str">
        <x:v>Detail</x:v>
      </x:c>
      <x:c r="J827" s="14" t="str"/>
      <x:c r="K827" s="14" t="str">
        <x:v>Scale</x:v>
      </x:c>
      <x:c r="L827" s="14" t="str"/>
      <x:c r="M827" s="14" t="str">
        <x:v>Alternate</x:v>
      </x:c>
      <x:c r="N827" s="14" t="n">
        <x:f>IF(E827&lt;&gt;"",1,0)+IF(F827&lt;&gt;"",1,0)+IF(H827&lt;&gt;"",1,0)+IF(J827&lt;&gt;"",1,0)+IF(L827&lt;&gt;"",1,0)</x:f>
        <x:v>1</x:v>
      </x:c>
      <x:c r="O827" s="14" t="str">
        <x:f>IF(E827="","MISSING MAIN",IF(N827=1,"MAIN ONLY","MULTI-PHOTO"))</x:f>
        <x:v>MAIN ONLY</x:v>
      </x:c>
      <x:c r="P827" s="14" t="str">
        <x:v>0937_</x:v>
      </x:c>
      <x:c r="Q827" s="14" t="str">
        <x:v>https://mb1advancedsolutions.github.io/mb1-catalog/index.html?design=0937</x:v>
      </x:c>
      <x:c r="R827" s="14" t="str"/>
    </x:row>
    <x:row r="828">
      <x:c r="A828" s="13" t="str">
        <x:v>MB1-0938</x:v>
      </x:c>
      <x:c r="B828" s="13" t="str">
        <x:v>MB1-0938</x:v>
      </x:c>
      <x:c r="C828" s="14" t="str">
        <x:v>Fireman</x:v>
      </x:c>
      <x:c r="D828" s="14" t="str">
        <x:v>memorial and tribute</x:v>
      </x:c>
      <x:c r="E828" s="14" t="str">
        <x:v>https://res.cloudinary.com/oxygre42/image/upload/f_auto,q_auto,c_pad,b_white,w_1200,h_1200/v1788350348/0938_Fireman.png</x:v>
      </x:c>
      <x:c r="F828" s="14" t="str"/>
      <x:c r="G828" s="14" t="str">
        <x:v>Lifestyle</x:v>
      </x:c>
      <x:c r="H828" s="14" t="str"/>
      <x:c r="I828" s="14" t="str">
        <x:v>Detail</x:v>
      </x:c>
      <x:c r="J828" s="14" t="str"/>
      <x:c r="K828" s="14" t="str">
        <x:v>Scale</x:v>
      </x:c>
      <x:c r="L828" s="14" t="str"/>
      <x:c r="M828" s="14" t="str">
        <x:v>Alternate</x:v>
      </x:c>
      <x:c r="N828" s="14" t="n">
        <x:f>IF(E828&lt;&gt;"",1,0)+IF(F828&lt;&gt;"",1,0)+IF(H828&lt;&gt;"",1,0)+IF(J828&lt;&gt;"",1,0)+IF(L828&lt;&gt;"",1,0)</x:f>
        <x:v>1</x:v>
      </x:c>
      <x:c r="O828" s="14" t="str">
        <x:f>IF(E828="","MISSING MAIN",IF(N828=1,"MAIN ONLY","MULTI-PHOTO"))</x:f>
        <x:v>MAIN ONLY</x:v>
      </x:c>
      <x:c r="P828" s="14" t="str">
        <x:v>0938_</x:v>
      </x:c>
      <x:c r="Q828" s="14" t="str">
        <x:v>https://mb1advancedsolutions.github.io/mb1-catalog/index.html?design=0938</x:v>
      </x:c>
      <x:c r="R828" s="14" t="str"/>
    </x:row>
    <x:row r="829">
      <x:c r="A829" s="13" t="str">
        <x:v>MB1-0939</x:v>
      </x:c>
      <x:c r="B829" s="13" t="str">
        <x:v>MB1-0939</x:v>
      </x:c>
      <x:c r="C829" s="14" t="str">
        <x:v>Firemen Maltese cross</x:v>
      </x:c>
      <x:c r="D829" s="14" t="str">
        <x:v>memorial and tribute</x:v>
      </x:c>
      <x:c r="E829" s="14" t="str">
        <x:v>https://res.cloudinary.com/oxygre42/image/upload/f_auto,q_auto,c_pad,b_white,w_1200,h_1200/v1788350350/0939_Firemen_Maltese_cross.png</x:v>
      </x:c>
      <x:c r="F829" s="14" t="str"/>
      <x:c r="G829" s="14" t="str">
        <x:v>Lifestyle</x:v>
      </x:c>
      <x:c r="H829" s="14" t="str"/>
      <x:c r="I829" s="14" t="str">
        <x:v>Detail</x:v>
      </x:c>
      <x:c r="J829" s="14" t="str"/>
      <x:c r="K829" s="14" t="str">
        <x:v>Scale</x:v>
      </x:c>
      <x:c r="L829" s="14" t="str"/>
      <x:c r="M829" s="14" t="str">
        <x:v>Alternate</x:v>
      </x:c>
      <x:c r="N829" s="14" t="n">
        <x:f>IF(E829&lt;&gt;"",1,0)+IF(F829&lt;&gt;"",1,0)+IF(H829&lt;&gt;"",1,0)+IF(J829&lt;&gt;"",1,0)+IF(L829&lt;&gt;"",1,0)</x:f>
        <x:v>1</x:v>
      </x:c>
      <x:c r="O829" s="14" t="str">
        <x:f>IF(E829="","MISSING MAIN",IF(N829=1,"MAIN ONLY","MULTI-PHOTO"))</x:f>
        <x:v>MAIN ONLY</x:v>
      </x:c>
      <x:c r="P829" s="14" t="str">
        <x:v>0939_</x:v>
      </x:c>
      <x:c r="Q829" s="14" t="str">
        <x:v>https://mb1advancedsolutions.github.io/mb1-catalog/index.html?design=0939</x:v>
      </x:c>
      <x:c r="R829" s="14" t="str"/>
    </x:row>
    <x:row r="830">
      <x:c r="A830" s="13" t="str">
        <x:v>MB1-0940</x:v>
      </x:c>
      <x:c r="B830" s="13" t="str">
        <x:v>MB1-0940</x:v>
      </x:c>
      <x:c r="C830" s="14" t="str">
        <x:v>Fist and Piston</x:v>
      </x:c>
      <x:c r="D830" s="14" t="str">
        <x:v>garage and workshop</x:v>
      </x:c>
      <x:c r="E830" s="14" t="str">
        <x:v>https://res.cloudinary.com/oxygre42/image/upload/f_auto,q_auto,c_pad,b_white,w_1200,h_1200/v1788350352/0940_Fist_and_Piston.jpg</x:v>
      </x:c>
      <x:c r="F830" s="14" t="str"/>
      <x:c r="G830" s="14" t="str">
        <x:v>Lifestyle</x:v>
      </x:c>
      <x:c r="H830" s="14" t="str"/>
      <x:c r="I830" s="14" t="str">
        <x:v>Detail</x:v>
      </x:c>
      <x:c r="J830" s="14" t="str"/>
      <x:c r="K830" s="14" t="str">
        <x:v>Scale</x:v>
      </x:c>
      <x:c r="L830" s="14" t="str"/>
      <x:c r="M830" s="14" t="str">
        <x:v>Alternate</x:v>
      </x:c>
      <x:c r="N830" s="14" t="n">
        <x:f>IF(E830&lt;&gt;"",1,0)+IF(F830&lt;&gt;"",1,0)+IF(H830&lt;&gt;"",1,0)+IF(J830&lt;&gt;"",1,0)+IF(L830&lt;&gt;"",1,0)</x:f>
        <x:v>1</x:v>
      </x:c>
      <x:c r="O830" s="14" t="str">
        <x:f>IF(E830="","MISSING MAIN",IF(N830=1,"MAIN ONLY","MULTI-PHOTO"))</x:f>
        <x:v>MAIN ONLY</x:v>
      </x:c>
      <x:c r="P830" s="14" t="str">
        <x:v>0940_</x:v>
      </x:c>
      <x:c r="Q830" s="14" t="str">
        <x:v>https://mb1advancedsolutions.github.io/mb1-catalog/index.html?design=0940</x:v>
      </x:c>
      <x:c r="R830" s="14" t="str"/>
    </x:row>
    <x:row r="831">
      <x:c r="A831" s="13" t="str">
        <x:v>MB1-0941</x:v>
      </x:c>
      <x:c r="B831" s="13" t="str">
        <x:v>MB1-0941</x:v>
      </x:c>
      <x:c r="C831" s="14" t="str">
        <x:v>Fist and wrench</x:v>
      </x:c>
      <x:c r="D831" s="14" t="str">
        <x:v>garage and workshop</x:v>
      </x:c>
      <x:c r="E831" s="14" t="str">
        <x:v>https://res.cloudinary.com/oxygre42/image/upload/f_auto,q_auto,c_pad,b_white,w_1200,h_1200/v1788350353/0941_Fist_and_wrench.png</x:v>
      </x:c>
      <x:c r="F831" s="14" t="str"/>
      <x:c r="G831" s="14" t="str">
        <x:v>Lifestyle</x:v>
      </x:c>
      <x:c r="H831" s="14" t="str"/>
      <x:c r="I831" s="14" t="str">
        <x:v>Detail</x:v>
      </x:c>
      <x:c r="J831" s="14" t="str"/>
      <x:c r="K831" s="14" t="str">
        <x:v>Scale</x:v>
      </x:c>
      <x:c r="L831" s="14" t="str"/>
      <x:c r="M831" s="14" t="str">
        <x:v>Alternate</x:v>
      </x:c>
      <x:c r="N831" s="14" t="n">
        <x:f>IF(E831&lt;&gt;"",1,0)+IF(F831&lt;&gt;"",1,0)+IF(H831&lt;&gt;"",1,0)+IF(J831&lt;&gt;"",1,0)+IF(L831&lt;&gt;"",1,0)</x:f>
        <x:v>1</x:v>
      </x:c>
      <x:c r="O831" s="14" t="str">
        <x:f>IF(E831="","MISSING MAIN",IF(N831=1,"MAIN ONLY","MULTI-PHOTO"))</x:f>
        <x:v>MAIN ONLY</x:v>
      </x:c>
      <x:c r="P831" s="14" t="str">
        <x:v>0941_</x:v>
      </x:c>
      <x:c r="Q831" s="14" t="str">
        <x:v>https://mb1advancedsolutions.github.io/mb1-catalog/index.html?design=0941</x:v>
      </x:c>
      <x:c r="R831" s="14" t="str"/>
    </x:row>
    <x:row r="832">
      <x:c r="A832" s="13" t="str">
        <x:v>MB1-0942</x:v>
      </x:c>
      <x:c r="B832" s="13" t="str">
        <x:v>MB1-0942</x:v>
      </x:c>
      <x:c r="C832" s="14" t="str">
        <x:v>Fleur de lis</x:v>
      </x:c>
      <x:c r="D832" s="14" t="str">
        <x:v>home decor and inspirational</x:v>
      </x:c>
      <x:c r="E832" s="14" t="str">
        <x:v>https://res.cloudinary.com/oxygre42/image/upload/f_auto,q_auto,c_pad,b_white,w_1200,h_1200/v1788350355/0942_Fleur_de_lis.png</x:v>
      </x:c>
      <x:c r="F832" s="14" t="str"/>
      <x:c r="G832" s="14" t="str">
        <x:v>Lifestyle</x:v>
      </x:c>
      <x:c r="H832" s="14" t="str"/>
      <x:c r="I832" s="14" t="str">
        <x:v>Detail</x:v>
      </x:c>
      <x:c r="J832" s="14" t="str"/>
      <x:c r="K832" s="14" t="str">
        <x:v>Scale</x:v>
      </x:c>
      <x:c r="L832" s="14" t="str"/>
      <x:c r="M832" s="14" t="str">
        <x:v>Alternate</x:v>
      </x:c>
      <x:c r="N832" s="14" t="n">
        <x:f>IF(E832&lt;&gt;"",1,0)+IF(F832&lt;&gt;"",1,0)+IF(H832&lt;&gt;"",1,0)+IF(J832&lt;&gt;"",1,0)+IF(L832&lt;&gt;"",1,0)</x:f>
        <x:v>1</x:v>
      </x:c>
      <x:c r="O832" s="14" t="str">
        <x:f>IF(E832="","MISSING MAIN",IF(N832=1,"MAIN ONLY","MULTI-PHOTO"))</x:f>
        <x:v>MAIN ONLY</x:v>
      </x:c>
      <x:c r="P832" s="14" t="str">
        <x:v>0942_</x:v>
      </x:c>
      <x:c r="Q832" s="14" t="str">
        <x:v>https://mb1advancedsolutions.github.io/mb1-catalog/index.html?design=0942</x:v>
      </x:c>
      <x:c r="R832" s="14" t="str"/>
    </x:row>
    <x:row r="833">
      <x:c r="A833" s="13" t="str">
        <x:v>MB1-0943</x:v>
      </x:c>
      <x:c r="B833" s="13" t="str">
        <x:v>MB1-0943</x:v>
      </x:c>
      <x:c r="C833" s="14" t="str">
        <x:v>For Gentleman</x:v>
      </x:c>
      <x:c r="D833" s="14" t="str">
        <x:v>home decor and inspirational</x:v>
      </x:c>
      <x:c r="E833" s="14" t="str">
        <x:v>https://res.cloudinary.com/oxygre42/image/upload/f_auto,q_auto,c_pad,b_white,w_1200,h_1200/v1788350357/0943_For_Gentleman.png</x:v>
      </x:c>
      <x:c r="F833" s="14" t="str"/>
      <x:c r="G833" s="14" t="str">
        <x:v>Lifestyle</x:v>
      </x:c>
      <x:c r="H833" s="14" t="str"/>
      <x:c r="I833" s="14" t="str">
        <x:v>Detail</x:v>
      </x:c>
      <x:c r="J833" s="14" t="str"/>
      <x:c r="K833" s="14" t="str">
        <x:v>Scale</x:v>
      </x:c>
      <x:c r="L833" s="14" t="str"/>
      <x:c r="M833" s="14" t="str">
        <x:v>Alternate</x:v>
      </x:c>
      <x:c r="N833" s="14" t="n">
        <x:f>IF(E833&lt;&gt;"",1,0)+IF(F833&lt;&gt;"",1,0)+IF(H833&lt;&gt;"",1,0)+IF(J833&lt;&gt;"",1,0)+IF(L833&lt;&gt;"",1,0)</x:f>
        <x:v>1</x:v>
      </x:c>
      <x:c r="O833" s="14" t="str">
        <x:f>IF(E833="","MISSING MAIN",IF(N833=1,"MAIN ONLY","MULTI-PHOTO"))</x:f>
        <x:v>MAIN ONLY</x:v>
      </x:c>
      <x:c r="P833" s="14" t="str">
        <x:v>0943_</x:v>
      </x:c>
      <x:c r="Q833" s="14" t="str">
        <x:v>https://mb1advancedsolutions.github.io/mb1-catalog/index.html?design=0943</x:v>
      </x:c>
      <x:c r="R833" s="14" t="str"/>
    </x:row>
    <x:row r="834">
      <x:c r="A834" s="13" t="str">
        <x:v>MB1-0945</x:v>
      </x:c>
      <x:c r="B834" s="13" t="str">
        <x:v>MB1-0945</x:v>
      </x:c>
      <x:c r="C834" s="14" t="str">
        <x:v>Found Here After Dark</x:v>
      </x:c>
      <x:c r="D834" s="14" t="str">
        <x:v>home decor and inspirational</x:v>
      </x:c>
      <x:c r="E834" s="14" t="str">
        <x:v>https://res.cloudinary.com/oxygre42/image/upload/f_auto,q_auto,c_pad,b_white,w_1200,h_1200/v1788350361/0945_Found_Here_After_Dark.jpg</x:v>
      </x:c>
      <x:c r="F834" s="14" t="str"/>
      <x:c r="G834" s="14" t="str">
        <x:v>Lifestyle</x:v>
      </x:c>
      <x:c r="H834" s="14" t="str"/>
      <x:c r="I834" s="14" t="str">
        <x:v>Detail</x:v>
      </x:c>
      <x:c r="J834" s="14" t="str"/>
      <x:c r="K834" s="14" t="str">
        <x:v>Scale</x:v>
      </x:c>
      <x:c r="L834" s="14" t="str"/>
      <x:c r="M834" s="14" t="str">
        <x:v>Alternate</x:v>
      </x:c>
      <x:c r="N834" s="14" t="n">
        <x:f>IF(E834&lt;&gt;"",1,0)+IF(F834&lt;&gt;"",1,0)+IF(H834&lt;&gt;"",1,0)+IF(J834&lt;&gt;"",1,0)+IF(L834&lt;&gt;"",1,0)</x:f>
        <x:v>1</x:v>
      </x:c>
      <x:c r="O834" s="14" t="str">
        <x:f>IF(E834="","MISSING MAIN",IF(N834=1,"MAIN ONLY","MULTI-PHOTO"))</x:f>
        <x:v>MAIN ONLY</x:v>
      </x:c>
      <x:c r="P834" s="14" t="str">
        <x:v>0945_</x:v>
      </x:c>
      <x:c r="Q834" s="14" t="str">
        <x:v>https://mb1advancedsolutions.github.io/mb1-catalog/index.html?design=0945</x:v>
      </x:c>
      <x:c r="R834" s="14" t="str"/>
    </x:row>
    <x:row r="835">
      <x:c r="A835" s="13" t="str">
        <x:v>MB1-0946</x:v>
      </x:c>
      <x:c r="B835" s="13" t="str">
        <x:v>MB1-0946</x:v>
      </x:c>
      <x:c r="C835" s="14" t="str">
        <x:v>Free Body Piercings</x:v>
      </x:c>
      <x:c r="D835" s="14" t="str">
        <x:v>home decor and inspirational</x:v>
      </x:c>
      <x:c r="E835" s="14" t="str">
        <x:v>https://res.cloudinary.com/oxygre42/image/upload/f_auto,q_auto,c_pad,b_white,w_1200,h_1200/v1788350363/0946_Free_Body_Piercings.png</x:v>
      </x:c>
      <x:c r="F835" s="14" t="str"/>
      <x:c r="G835" s="14" t="str">
        <x:v>Lifestyle</x:v>
      </x:c>
      <x:c r="H835" s="14" t="str"/>
      <x:c r="I835" s="14" t="str">
        <x:v>Detail</x:v>
      </x:c>
      <x:c r="J835" s="14" t="str"/>
      <x:c r="K835" s="14" t="str">
        <x:v>Scale</x:v>
      </x:c>
      <x:c r="L835" s="14" t="str"/>
      <x:c r="M835" s="14" t="str">
        <x:v>Alternate</x:v>
      </x:c>
      <x:c r="N835" s="14" t="n">
        <x:f>IF(E835&lt;&gt;"",1,0)+IF(F835&lt;&gt;"",1,0)+IF(H835&lt;&gt;"",1,0)+IF(J835&lt;&gt;"",1,0)+IF(L835&lt;&gt;"",1,0)</x:f>
        <x:v>1</x:v>
      </x:c>
      <x:c r="O835" s="14" t="str">
        <x:f>IF(E835="","MISSING MAIN",IF(N835=1,"MAIN ONLY","MULTI-PHOTO"))</x:f>
        <x:v>MAIN ONLY</x:v>
      </x:c>
      <x:c r="P835" s="14" t="str">
        <x:v>0946_</x:v>
      </x:c>
      <x:c r="Q835" s="14" t="str">
        <x:v>https://mb1advancedsolutions.github.io/mb1-catalog/index.html?design=0946</x:v>
      </x:c>
      <x:c r="R835" s="14" t="str"/>
    </x:row>
    <x:row r="836">
      <x:c r="A836" s="13" t="str">
        <x:v>MB1-0947</x:v>
      </x:c>
      <x:c r="B836" s="13" t="str">
        <x:v>MB1-0947</x:v>
      </x:c>
      <x:c r="C836" s="14" t="str">
        <x:v>Funny no tresspassing</x:v>
      </x:c>
      <x:c r="D836" s="14" t="str">
        <x:v>address and property</x:v>
      </x:c>
      <x:c r="E836" s="14" t="str">
        <x:v>https://res.cloudinary.com/oxygre42/image/upload/f_auto,q_auto,c_pad,b_white,w_1200,h_1200/v1788350364/0947_Funny_no_tresspassing.png</x:v>
      </x:c>
      <x:c r="F836" s="14" t="str"/>
      <x:c r="G836" s="14" t="str">
        <x:v>Lifestyle</x:v>
      </x:c>
      <x:c r="H836" s="14" t="str"/>
      <x:c r="I836" s="14" t="str">
        <x:v>Detail</x:v>
      </x:c>
      <x:c r="J836" s="14" t="str"/>
      <x:c r="K836" s="14" t="str">
        <x:v>Scale</x:v>
      </x:c>
      <x:c r="L836" s="14" t="str"/>
      <x:c r="M836" s="14" t="str">
        <x:v>Alternate</x:v>
      </x:c>
      <x:c r="N836" s="14" t="n">
        <x:f>IF(E836&lt;&gt;"",1,0)+IF(F836&lt;&gt;"",1,0)+IF(H836&lt;&gt;"",1,0)+IF(J836&lt;&gt;"",1,0)+IF(L836&lt;&gt;"",1,0)</x:f>
        <x:v>1</x:v>
      </x:c>
      <x:c r="O836" s="14" t="str">
        <x:f>IF(E836="","MISSING MAIN",IF(N836=1,"MAIN ONLY","MULTI-PHOTO"))</x:f>
        <x:v>MAIN ONLY</x:v>
      </x:c>
      <x:c r="P836" s="14" t="str">
        <x:v>0947_</x:v>
      </x:c>
      <x:c r="Q836" s="14" t="str">
        <x:v>https://mb1advancedsolutions.github.io/mb1-catalog/index.html?design=0947</x:v>
      </x:c>
      <x:c r="R836" s="14" t="str"/>
    </x:row>
    <x:row r="837">
      <x:c r="A837" s="13" t="str">
        <x:v>MB1-0948</x:v>
      </x:c>
      <x:c r="B837" s="13" t="str">
        <x:v>MB1-0948</x:v>
      </x:c>
      <x:c r="C837" s="14" t="str">
        <x:v>Game Room Poker Chip and Dice</x:v>
      </x:c>
      <x:c r="D837" s="14" t="str">
        <x:v>sports and hobbies</x:v>
      </x:c>
      <x:c r="E837" s="14" t="str">
        <x:v>https://res.cloudinary.com/oxygre42/image/upload/f_auto,q_auto,c_pad,b_white,w_1200,h_1200/v1788350366/0948_Game_Room_Poker_Chip_and_Dice.png</x:v>
      </x:c>
      <x:c r="F837" s="14" t="str"/>
      <x:c r="G837" s="14" t="str">
        <x:v>Lifestyle</x:v>
      </x:c>
      <x:c r="H837" s="14" t="str"/>
      <x:c r="I837" s="14" t="str">
        <x:v>Detail</x:v>
      </x:c>
      <x:c r="J837" s="14" t="str"/>
      <x:c r="K837" s="14" t="str">
        <x:v>Scale</x:v>
      </x:c>
      <x:c r="L837" s="14" t="str"/>
      <x:c r="M837" s="14" t="str">
        <x:v>Alternate</x:v>
      </x:c>
      <x:c r="N837" s="14" t="n">
        <x:f>IF(E837&lt;&gt;"",1,0)+IF(F837&lt;&gt;"",1,0)+IF(H837&lt;&gt;"",1,0)+IF(J837&lt;&gt;"",1,0)+IF(L837&lt;&gt;"",1,0)</x:f>
        <x:v>1</x:v>
      </x:c>
      <x:c r="O837" s="14" t="str">
        <x:f>IF(E837="","MISSING MAIN",IF(N837=1,"MAIN ONLY","MULTI-PHOTO"))</x:f>
        <x:v>MAIN ONLY</x:v>
      </x:c>
      <x:c r="P837" s="14" t="str">
        <x:v>0948_</x:v>
      </x:c>
      <x:c r="Q837" s="14" t="str">
        <x:v>https://mb1advancedsolutions.github.io/mb1-catalog/index.html?design=0948</x:v>
      </x:c>
      <x:c r="R837" s="14" t="str"/>
    </x:row>
    <x:row r="838">
      <x:c r="A838" s="13" t="str">
        <x:v>MB1-0949</x:v>
      </x:c>
      <x:c r="B838" s="13" t="str">
        <x:v>MB1-0949</x:v>
      </x:c>
      <x:c r="C838" s="14" t="str">
        <x:v>Gear Head</x:v>
      </x:c>
      <x:c r="D838" s="14" t="str">
        <x:v>garage and workshop</x:v>
      </x:c>
      <x:c r="E838" s="14" t="str">
        <x:v>https://res.cloudinary.com/oxygre42/image/upload/f_auto,q_auto,c_pad,b_white,w_1200,h_1200/v1788350368/0949_Gear_Head.png</x:v>
      </x:c>
      <x:c r="F838" s="14" t="str"/>
      <x:c r="G838" s="14" t="str">
        <x:v>Lifestyle</x:v>
      </x:c>
      <x:c r="H838" s="14" t="str"/>
      <x:c r="I838" s="14" t="str">
        <x:v>Detail</x:v>
      </x:c>
      <x:c r="J838" s="14" t="str"/>
      <x:c r="K838" s="14" t="str">
        <x:v>Scale</x:v>
      </x:c>
      <x:c r="L838" s="14" t="str"/>
      <x:c r="M838" s="14" t="str">
        <x:v>Alternate</x:v>
      </x:c>
      <x:c r="N838" s="14" t="n">
        <x:f>IF(E838&lt;&gt;"",1,0)+IF(F838&lt;&gt;"",1,0)+IF(H838&lt;&gt;"",1,0)+IF(J838&lt;&gt;"",1,0)+IF(L838&lt;&gt;"",1,0)</x:f>
        <x:v>1</x:v>
      </x:c>
      <x:c r="O838" s="14" t="str">
        <x:f>IF(E838="","MISSING MAIN",IF(N838=1,"MAIN ONLY","MULTI-PHOTO"))</x:f>
        <x:v>MAIN ONLY</x:v>
      </x:c>
      <x:c r="P838" s="14" t="str">
        <x:v>0949_</x:v>
      </x:c>
      <x:c r="Q838" s="14" t="str">
        <x:v>https://mb1advancedsolutions.github.io/mb1-catalog/index.html?design=0949</x:v>
      </x:c>
      <x:c r="R838" s="14" t="str"/>
    </x:row>
    <x:row r="839">
      <x:c r="A839" s="13" t="str">
        <x:v>MB1-0951</x:v>
      </x:c>
      <x:c r="B839" s="13" t="str">
        <x:v>MB1-0951</x:v>
      </x:c>
      <x:c r="C839" s="14" t="str">
        <x:v>Good Beer Pour Decisions</x:v>
      </x:c>
      <x:c r="D839" s="14" t="str">
        <x:v>sports and hobbies</x:v>
      </x:c>
      <x:c r="E839" s="14" t="str">
        <x:v>https://res.cloudinary.com/oxygre42/image/upload/f_auto,q_auto,c_pad,b_white,w_1200,h_1200/v1788350372/0951_Good_Beer_Pour_Decisions.png</x:v>
      </x:c>
      <x:c r="F839" s="14" t="str"/>
      <x:c r="G839" s="14" t="str">
        <x:v>Lifestyle</x:v>
      </x:c>
      <x:c r="H839" s="14" t="str"/>
      <x:c r="I839" s="14" t="str">
        <x:v>Detail</x:v>
      </x:c>
      <x:c r="J839" s="14" t="str"/>
      <x:c r="K839" s="14" t="str">
        <x:v>Scale</x:v>
      </x:c>
      <x:c r="L839" s="14" t="str"/>
      <x:c r="M839" s="14" t="str">
        <x:v>Alternate</x:v>
      </x:c>
      <x:c r="N839" s="14" t="n">
        <x:f>IF(E839&lt;&gt;"",1,0)+IF(F839&lt;&gt;"",1,0)+IF(H839&lt;&gt;"",1,0)+IF(J839&lt;&gt;"",1,0)+IF(L839&lt;&gt;"",1,0)</x:f>
        <x:v>1</x:v>
      </x:c>
      <x:c r="O839" s="14" t="str">
        <x:f>IF(E839="","MISSING MAIN",IF(N839=1,"MAIN ONLY","MULTI-PHOTO"))</x:f>
        <x:v>MAIN ONLY</x:v>
      </x:c>
      <x:c r="P839" s="14" t="str">
        <x:v>0951_</x:v>
      </x:c>
      <x:c r="Q839" s="14" t="str">
        <x:v>https://mb1advancedsolutions.github.io/mb1-catalog/index.html?design=0951</x:v>
      </x:c>
      <x:c r="R839" s="14" t="str"/>
    </x:row>
    <x:row r="840">
      <x:c r="A840" s="13" t="str">
        <x:v>MB1-0953</x:v>
      </x:c>
      <x:c r="B840" s="13" t="str">
        <x:v>MB1-0953</x:v>
      </x:c>
      <x:c r="C840" s="14" t="str">
        <x:v>Good things Hustle saw</x:v>
      </x:c>
      <x:c r="D840" s="14" t="str">
        <x:v>home decor and inspirational</x:v>
      </x:c>
      <x:c r="E840" s="14" t="str">
        <x:v>https://res.cloudinary.com/oxygre42/image/upload/f_auto,q_auto,c_pad,b_white,w_1200,h_1200/v1788350374/0953_Good_things_Hustle_saw.jpg</x:v>
      </x:c>
      <x:c r="F840" s="14" t="str"/>
      <x:c r="G840" s="14" t="str">
        <x:v>Lifestyle</x:v>
      </x:c>
      <x:c r="H840" s="14" t="str"/>
      <x:c r="I840" s="14" t="str">
        <x:v>Detail</x:v>
      </x:c>
      <x:c r="J840" s="14" t="str"/>
      <x:c r="K840" s="14" t="str">
        <x:v>Scale</x:v>
      </x:c>
      <x:c r="L840" s="14" t="str"/>
      <x:c r="M840" s="14" t="str">
        <x:v>Alternate</x:v>
      </x:c>
      <x:c r="N840" s="14" t="n">
        <x:f>IF(E840&lt;&gt;"",1,0)+IF(F840&lt;&gt;"",1,0)+IF(H840&lt;&gt;"",1,0)+IF(J840&lt;&gt;"",1,0)+IF(L840&lt;&gt;"",1,0)</x:f>
        <x:v>1</x:v>
      </x:c>
      <x:c r="O840" s="14" t="str">
        <x:f>IF(E840="","MISSING MAIN",IF(N840=1,"MAIN ONLY","MULTI-PHOTO"))</x:f>
        <x:v>MAIN ONLY</x:v>
      </x:c>
      <x:c r="P840" s="14" t="str">
        <x:v>0953_</x:v>
      </x:c>
      <x:c r="Q840" s="14" t="str">
        <x:v>https://mb1advancedsolutions.github.io/mb1-catalog/index.html?design=0953</x:v>
      </x:c>
      <x:c r="R840" s="14" t="str"/>
    </x:row>
    <x:row r="841">
      <x:c r="A841" s="13" t="str">
        <x:v>MB1-0954</x:v>
      </x:c>
      <x:c r="B841" s="13" t="str">
        <x:v>MB1-0954</x:v>
      </x:c>
      <x:c r="C841" s="14" t="str">
        <x:v>Grandpas garage</x:v>
      </x:c>
      <x:c r="D841" s="14" t="str">
        <x:v>garage and workshop</x:v>
      </x:c>
      <x:c r="E841" s="14" t="str">
        <x:v>https://res.cloudinary.com/oxygre42/image/upload/f_auto,q_auto,c_pad,b_white,w_1200,h_1200/v1788350376/0954_Grandpas_garage.png</x:v>
      </x:c>
      <x:c r="F841" s="14" t="str"/>
      <x:c r="G841" s="14" t="str">
        <x:v>Lifestyle</x:v>
      </x:c>
      <x:c r="H841" s="14" t="str"/>
      <x:c r="I841" s="14" t="str">
        <x:v>Detail</x:v>
      </x:c>
      <x:c r="J841" s="14" t="str"/>
      <x:c r="K841" s="14" t="str">
        <x:v>Scale</x:v>
      </x:c>
      <x:c r="L841" s="14" t="str"/>
      <x:c r="M841" s="14" t="str">
        <x:v>Alternate</x:v>
      </x:c>
      <x:c r="N841" s="14" t="n">
        <x:f>IF(E841&lt;&gt;"",1,0)+IF(F841&lt;&gt;"",1,0)+IF(H841&lt;&gt;"",1,0)+IF(J841&lt;&gt;"",1,0)+IF(L841&lt;&gt;"",1,0)</x:f>
        <x:v>1</x:v>
      </x:c>
      <x:c r="O841" s="14" t="str">
        <x:f>IF(E841="","MISSING MAIN",IF(N841=1,"MAIN ONLY","MULTI-PHOTO"))</x:f>
        <x:v>MAIN ONLY</x:v>
      </x:c>
      <x:c r="P841" s="14" t="str">
        <x:v>0954_</x:v>
      </x:c>
      <x:c r="Q841" s="14" t="str">
        <x:v>https://mb1advancedsolutions.github.io/mb1-catalog/index.html?design=0954</x:v>
      </x:c>
      <x:c r="R841" s="14" t="str"/>
    </x:row>
    <x:row r="842">
      <x:c r="A842" s="13" t="str">
        <x:v>MB1-0955</x:v>
      </x:c>
      <x:c r="B842" s="13" t="str">
        <x:v>MB1-0955</x:v>
      </x:c>
      <x:c r="C842" s="14" t="str">
        <x:v>Grateful</x:v>
      </x:c>
      <x:c r="D842" s="14" t="str">
        <x:v>home decor and inspirational</x:v>
      </x:c>
      <x:c r="E842" s="14" t="str">
        <x:v>https://res.cloudinary.com/oxygre42/image/upload/f_auto,q_auto,c_pad,b_white,w_1200,h_1200/v1788350378/0955_Grateful.png</x:v>
      </x:c>
      <x:c r="F842" s="14" t="str"/>
      <x:c r="G842" s="14" t="str">
        <x:v>Lifestyle</x:v>
      </x:c>
      <x:c r="H842" s="14" t="str"/>
      <x:c r="I842" s="14" t="str">
        <x:v>Detail</x:v>
      </x:c>
      <x:c r="J842" s="14" t="str"/>
      <x:c r="K842" s="14" t="str">
        <x:v>Scale</x:v>
      </x:c>
      <x:c r="L842" s="14" t="str"/>
      <x:c r="M842" s="14" t="str">
        <x:v>Alternate</x:v>
      </x:c>
      <x:c r="N842" s="14" t="n">
        <x:f>IF(E842&lt;&gt;"",1,0)+IF(F842&lt;&gt;"",1,0)+IF(H842&lt;&gt;"",1,0)+IF(J842&lt;&gt;"",1,0)+IF(L842&lt;&gt;"",1,0)</x:f>
        <x:v>1</x:v>
      </x:c>
      <x:c r="O842" s="14" t="str">
        <x:f>IF(E842="","MISSING MAIN",IF(N842=1,"MAIN ONLY","MULTI-PHOTO"))</x:f>
        <x:v>MAIN ONLY</x:v>
      </x:c>
      <x:c r="P842" s="14" t="str">
        <x:v>0955_</x:v>
      </x:c>
      <x:c r="Q842" s="14" t="str">
        <x:v>https://mb1advancedsolutions.github.io/mb1-catalog/index.html?design=0955</x:v>
      </x:c>
      <x:c r="R842" s="14" t="str"/>
    </x:row>
    <x:row r="843">
      <x:c r="A843" s="13" t="str">
        <x:v>MB1-0956</x:v>
      </x:c>
      <x:c r="B843" s="13" t="str">
        <x:v>MB1-0956</x:v>
      </x:c>
      <x:c r="C843" s="14" t="str">
        <x:v>Graveyard scene</x:v>
      </x:c>
      <x:c r="D843" s="14" t="str">
        <x:v>seasonal and holiday</x:v>
      </x:c>
      <x:c r="E843" s="14" t="str">
        <x:v>https://res.cloudinary.com/oxygre42/image/upload/f_auto,q_auto,c_pad,b_white,w_1200,h_1200/v1788350380/0956_Graveyard_scene.png</x:v>
      </x:c>
      <x:c r="F843" s="14" t="str"/>
      <x:c r="G843" s="14" t="str">
        <x:v>Lifestyle</x:v>
      </x:c>
      <x:c r="H843" s="14" t="str"/>
      <x:c r="I843" s="14" t="str">
        <x:v>Detail</x:v>
      </x:c>
      <x:c r="J843" s="14" t="str"/>
      <x:c r="K843" s="14" t="str">
        <x:v>Scale</x:v>
      </x:c>
      <x:c r="L843" s="14" t="str"/>
      <x:c r="M843" s="14" t="str">
        <x:v>Alternate</x:v>
      </x:c>
      <x:c r="N843" s="14" t="n">
        <x:f>IF(E843&lt;&gt;"",1,0)+IF(F843&lt;&gt;"",1,0)+IF(H843&lt;&gt;"",1,0)+IF(J843&lt;&gt;"",1,0)+IF(L843&lt;&gt;"",1,0)</x:f>
        <x:v>1</x:v>
      </x:c>
      <x:c r="O843" s="14" t="str">
        <x:f>IF(E843="","MISSING MAIN",IF(N843=1,"MAIN ONLY","MULTI-PHOTO"))</x:f>
        <x:v>MAIN ONLY</x:v>
      </x:c>
      <x:c r="P843" s="14" t="str">
        <x:v>0956_</x:v>
      </x:c>
      <x:c r="Q843" s="14" t="str">
        <x:v>https://mb1advancedsolutions.github.io/mb1-catalog/index.html?design=0956</x:v>
      </x:c>
      <x:c r="R843" s="14" t="str"/>
    </x:row>
    <x:row r="844">
      <x:c r="A844" s="13" t="str">
        <x:v>MB1-0957</x:v>
      </x:c>
      <x:c r="B844" s="13" t="str">
        <x:v>MB1-0957</x:v>
      </x:c>
      <x:c r="C844" s="14" t="str">
        <x:v>Grenade</x:v>
      </x:c>
      <x:c r="D844" s="14" t="str">
        <x:v>sports and hobbies</x:v>
      </x:c>
      <x:c r="E844" s="14" t="str">
        <x:v>https://res.cloudinary.com/oxygre42/image/upload/f_auto,q_auto,c_pad,b_white,w_1200,h_1200/v1788350381/0957_Grenade.png</x:v>
      </x:c>
      <x:c r="F844" s="14" t="str"/>
      <x:c r="G844" s="14" t="str">
        <x:v>Lifestyle</x:v>
      </x:c>
      <x:c r="H844" s="14" t="str"/>
      <x:c r="I844" s="14" t="str">
        <x:v>Detail</x:v>
      </x:c>
      <x:c r="J844" s="14" t="str"/>
      <x:c r="K844" s="14" t="str">
        <x:v>Scale</x:v>
      </x:c>
      <x:c r="L844" s="14" t="str"/>
      <x:c r="M844" s="14" t="str">
        <x:v>Alternate</x:v>
      </x:c>
      <x:c r="N844" s="14" t="n">
        <x:f>IF(E844&lt;&gt;"",1,0)+IF(F844&lt;&gt;"",1,0)+IF(H844&lt;&gt;"",1,0)+IF(J844&lt;&gt;"",1,0)+IF(L844&lt;&gt;"",1,0)</x:f>
        <x:v>1</x:v>
      </x:c>
      <x:c r="O844" s="14" t="str">
        <x:f>IF(E844="","MISSING MAIN",IF(N844=1,"MAIN ONLY","MULTI-PHOTO"))</x:f>
        <x:v>MAIN ONLY</x:v>
      </x:c>
      <x:c r="P844" s="14" t="str">
        <x:v>0957_</x:v>
      </x:c>
      <x:c r="Q844" s="14" t="str">
        <x:v>https://mb1advancedsolutions.github.io/mb1-catalog/index.html?design=0957</x:v>
      </x:c>
      <x:c r="R844" s="14" t="str"/>
    </x:row>
    <x:row r="845">
      <x:c r="A845" s="13" t="str">
        <x:v>MB1-0958</x:v>
      </x:c>
      <x:c r="B845" s="13" t="str">
        <x:v>MB1-0958</x:v>
      </x:c>
      <x:c r="C845" s="14" t="str">
        <x:v>Grind Execute Hustle</x:v>
      </x:c>
      <x:c r="D845" s="14" t="str">
        <x:v>home decor and inspirational</x:v>
      </x:c>
      <x:c r="E845" s="14" t="str">
        <x:v>https://res.cloudinary.com/oxygre42/image/upload/f_auto,q_auto,c_pad,b_white,w_1200,h_1200/v1788350383/0958_Grind_Execute_Hustle.png</x:v>
      </x:c>
      <x:c r="F845" s="14" t="str"/>
      <x:c r="G845" s="14" t="str">
        <x:v>Lifestyle</x:v>
      </x:c>
      <x:c r="H845" s="14" t="str"/>
      <x:c r="I845" s="14" t="str">
        <x:v>Detail</x:v>
      </x:c>
      <x:c r="J845" s="14" t="str"/>
      <x:c r="K845" s="14" t="str">
        <x:v>Scale</x:v>
      </x:c>
      <x:c r="L845" s="14" t="str"/>
      <x:c r="M845" s="14" t="str">
        <x:v>Alternate</x:v>
      </x:c>
      <x:c r="N845" s="14" t="n">
        <x:f>IF(E845&lt;&gt;"",1,0)+IF(F845&lt;&gt;"",1,0)+IF(H845&lt;&gt;"",1,0)+IF(J845&lt;&gt;"",1,0)+IF(L845&lt;&gt;"",1,0)</x:f>
        <x:v>1</x:v>
      </x:c>
      <x:c r="O845" s="14" t="str">
        <x:f>IF(E845="","MISSING MAIN",IF(N845=1,"MAIN ONLY","MULTI-PHOTO"))</x:f>
        <x:v>MAIN ONLY</x:v>
      </x:c>
      <x:c r="P845" s="14" t="str">
        <x:v>0958_</x:v>
      </x:c>
      <x:c r="Q845" s="14" t="str">
        <x:v>https://mb1advancedsolutions.github.io/mb1-catalog/index.html?design=0958</x:v>
      </x:c>
      <x:c r="R845" s="14" t="str"/>
    </x:row>
    <x:row r="846">
      <x:c r="A846" s="13" t="str">
        <x:v>MB1-0959</x:v>
      </x:c>
      <x:c r="B846" s="13" t="str">
        <x:v>MB1-0959</x:v>
      </x:c>
      <x:c r="C846" s="14" t="str">
        <x:v>Guitar Monogram frame</x:v>
      </x:c>
      <x:c r="D846" s="14" t="str">
        <x:v>sports and hobbies</x:v>
      </x:c>
      <x:c r="E846" s="14" t="str">
        <x:v>https://res.cloudinary.com/oxygre42/image/upload/f_auto,q_auto,c_pad,b_white,w_1200,h_1200/v1788350385/0959_Guitar_Monogram_frame.png</x:v>
      </x:c>
      <x:c r="F846" s="14" t="str"/>
      <x:c r="G846" s="14" t="str">
        <x:v>Lifestyle</x:v>
      </x:c>
      <x:c r="H846" s="14" t="str"/>
      <x:c r="I846" s="14" t="str">
        <x:v>Detail</x:v>
      </x:c>
      <x:c r="J846" s="14" t="str"/>
      <x:c r="K846" s="14" t="str">
        <x:v>Scale</x:v>
      </x:c>
      <x:c r="L846" s="14" t="str"/>
      <x:c r="M846" s="14" t="str">
        <x:v>Alternate</x:v>
      </x:c>
      <x:c r="N846" s="14" t="n">
        <x:f>IF(E846&lt;&gt;"",1,0)+IF(F846&lt;&gt;"",1,0)+IF(H846&lt;&gt;"",1,0)+IF(J846&lt;&gt;"",1,0)+IF(L846&lt;&gt;"",1,0)</x:f>
        <x:v>1</x:v>
      </x:c>
      <x:c r="O846" s="14" t="str">
        <x:f>IF(E846="","MISSING MAIN",IF(N846=1,"MAIN ONLY","MULTI-PHOTO"))</x:f>
        <x:v>MAIN ONLY</x:v>
      </x:c>
      <x:c r="P846" s="14" t="str">
        <x:v>0959_</x:v>
      </x:c>
      <x:c r="Q846" s="14" t="str">
        <x:v>https://mb1advancedsolutions.github.io/mb1-catalog/index.html?design=0959</x:v>
      </x:c>
      <x:c r="R846" s="14" t="str"/>
    </x:row>
    <x:row r="847">
      <x:c r="A847" s="13" t="str">
        <x:v>MB1-0960</x:v>
      </x:c>
      <x:c r="B847" s="13" t="str">
        <x:v>MB1-0960</x:v>
      </x:c>
      <x:c r="C847" s="14" t="str">
        <x:v>Half Dollar</x:v>
      </x:c>
      <x:c r="D847" s="14" t="str">
        <x:v>sports and hobbies</x:v>
      </x:c>
      <x:c r="E847" s="14" t="str">
        <x:v>https://res.cloudinary.com/oxygre42/image/upload/f_auto,q_auto,c_pad,b_white,w_1200,h_1200/v1788350387/0960_Half_Dollar.png</x:v>
      </x:c>
      <x:c r="F847" s="14" t="str"/>
      <x:c r="G847" s="14" t="str">
        <x:v>Lifestyle</x:v>
      </x:c>
      <x:c r="H847" s="14" t="str"/>
      <x:c r="I847" s="14" t="str">
        <x:v>Detail</x:v>
      </x:c>
      <x:c r="J847" s="14" t="str"/>
      <x:c r="K847" s="14" t="str">
        <x:v>Scale</x:v>
      </x:c>
      <x:c r="L847" s="14" t="str"/>
      <x:c r="M847" s="14" t="str">
        <x:v>Alternate</x:v>
      </x:c>
      <x:c r="N847" s="14" t="n">
        <x:f>IF(E847&lt;&gt;"",1,0)+IF(F847&lt;&gt;"",1,0)+IF(H847&lt;&gt;"",1,0)+IF(J847&lt;&gt;"",1,0)+IF(L847&lt;&gt;"",1,0)</x:f>
        <x:v>1</x:v>
      </x:c>
      <x:c r="O847" s="14" t="str">
        <x:f>IF(E847="","MISSING MAIN",IF(N847=1,"MAIN ONLY","MULTI-PHOTO"))</x:f>
        <x:v>MAIN ONLY</x:v>
      </x:c>
      <x:c r="P847" s="14" t="str">
        <x:v>0960_</x:v>
      </x:c>
      <x:c r="Q847" s="14" t="str">
        <x:v>https://mb1advancedsolutions.github.io/mb1-catalog/index.html?design=0960</x:v>
      </x:c>
      <x:c r="R847" s="14" t="str"/>
    </x:row>
    <x:row r="848">
      <x:c r="A848" s="13" t="str">
        <x:v>MB1-0961</x:v>
      </x:c>
      <x:c r="B848" s="13" t="str">
        <x:v>MB1-0961</x:v>
      </x:c>
      <x:c r="C848" s="14" t="str">
        <x:v>Happy Campers</x:v>
      </x:c>
      <x:c r="D848" s="14" t="str">
        <x:v>home decor and inspirational</x:v>
      </x:c>
      <x:c r="E848" s="14" t="str">
        <x:v>https://res.cloudinary.com/oxygre42/image/upload/f_auto,q_auto,c_pad,b_white,w_1200,h_1200/v1788350389/0961_Happy_Campers.png</x:v>
      </x:c>
      <x:c r="F848" s="14" t="str"/>
      <x:c r="G848" s="14" t="str">
        <x:v>Lifestyle</x:v>
      </x:c>
      <x:c r="H848" s="14" t="str"/>
      <x:c r="I848" s="14" t="str">
        <x:v>Detail</x:v>
      </x:c>
      <x:c r="J848" s="14" t="str"/>
      <x:c r="K848" s="14" t="str">
        <x:v>Scale</x:v>
      </x:c>
      <x:c r="L848" s="14" t="str"/>
      <x:c r="M848" s="14" t="str">
        <x:v>Alternate</x:v>
      </x:c>
      <x:c r="N848" s="14" t="n">
        <x:f>IF(E848&lt;&gt;"",1,0)+IF(F848&lt;&gt;"",1,0)+IF(H848&lt;&gt;"",1,0)+IF(J848&lt;&gt;"",1,0)+IF(L848&lt;&gt;"",1,0)</x:f>
        <x:v>1</x:v>
      </x:c>
      <x:c r="O848" s="14" t="str">
        <x:f>IF(E848="","MISSING MAIN",IF(N848=1,"MAIN ONLY","MULTI-PHOTO"))</x:f>
        <x:v>MAIN ONLY</x:v>
      </x:c>
      <x:c r="P848" s="14" t="str">
        <x:v>0961_</x:v>
      </x:c>
      <x:c r="Q848" s="14" t="str">
        <x:v>https://mb1advancedsolutions.github.io/mb1-catalog/index.html?design=0961</x:v>
      </x:c>
      <x:c r="R848" s="14" t="str"/>
    </x:row>
    <x:row r="849">
      <x:c r="A849" s="13" t="str">
        <x:v>MB1-0962</x:v>
      </x:c>
      <x:c r="B849" s="13" t="str">
        <x:v>MB1-0962</x:v>
      </x:c>
      <x:c r="C849" s="14" t="str">
        <x:v>Happy Fall Yall mason Jar</x:v>
      </x:c>
      <x:c r="D849" s="14" t="str">
        <x:v>seasonal and holiday</x:v>
      </x:c>
      <x:c r="E849" s="14" t="str">
        <x:v>https://res.cloudinary.com/oxygre42/image/upload/f_auto,q_auto,c_pad,b_white,w_1200,h_1200/v1788350391/0962_Happy_Fall_Yall_mason_Jar.png</x:v>
      </x:c>
      <x:c r="F849" s="14" t="str"/>
      <x:c r="G849" s="14" t="str">
        <x:v>Lifestyle</x:v>
      </x:c>
      <x:c r="H849" s="14" t="str"/>
      <x:c r="I849" s="14" t="str">
        <x:v>Detail</x:v>
      </x:c>
      <x:c r="J849" s="14" t="str"/>
      <x:c r="K849" s="14" t="str">
        <x:v>Scale</x:v>
      </x:c>
      <x:c r="L849" s="14" t="str"/>
      <x:c r="M849" s="14" t="str">
        <x:v>Alternate</x:v>
      </x:c>
      <x:c r="N849" s="14" t="n">
        <x:f>IF(E849&lt;&gt;"",1,0)+IF(F849&lt;&gt;"",1,0)+IF(H849&lt;&gt;"",1,0)+IF(J849&lt;&gt;"",1,0)+IF(L849&lt;&gt;"",1,0)</x:f>
        <x:v>1</x:v>
      </x:c>
      <x:c r="O849" s="14" t="str">
        <x:f>IF(E849="","MISSING MAIN",IF(N849=1,"MAIN ONLY","MULTI-PHOTO"))</x:f>
        <x:v>MAIN ONLY</x:v>
      </x:c>
      <x:c r="P849" s="14" t="str">
        <x:v>0962_</x:v>
      </x:c>
      <x:c r="Q849" s="14" t="str">
        <x:v>https://mb1advancedsolutions.github.io/mb1-catalog/index.html?design=0962</x:v>
      </x:c>
      <x:c r="R849" s="14" t="str"/>
    </x:row>
    <x:row r="850">
      <x:c r="A850" s="13" t="str">
        <x:v>MB1-0963</x:v>
      </x:c>
      <x:c r="B850" s="13" t="str">
        <x:v>MB1-0963</x:v>
      </x:c>
      <x:c r="C850" s="14" t="str">
        <x:v>Happy Fall yall  plaque</x:v>
      </x:c>
      <x:c r="D850" s="14" t="str">
        <x:v>seasonal and holiday</x:v>
      </x:c>
      <x:c r="E850" s="14" t="str">
        <x:v>https://res.cloudinary.com/oxygre42/image/upload/f_auto,q_auto,c_pad,b_white,w_1200,h_1200/v1788350393/0963_Happy_Fall_yall_plaque.png</x:v>
      </x:c>
      <x:c r="F850" s="14" t="str"/>
      <x:c r="G850" s="14" t="str">
        <x:v>Lifestyle</x:v>
      </x:c>
      <x:c r="H850" s="14" t="str"/>
      <x:c r="I850" s="14" t="str">
        <x:v>Detail</x:v>
      </x:c>
      <x:c r="J850" s="14" t="str"/>
      <x:c r="K850" s="14" t="str">
        <x:v>Scale</x:v>
      </x:c>
      <x:c r="L850" s="14" t="str"/>
      <x:c r="M850" s="14" t="str">
        <x:v>Alternate</x:v>
      </x:c>
      <x:c r="N850" s="14" t="n">
        <x:f>IF(E850&lt;&gt;"",1,0)+IF(F850&lt;&gt;"",1,0)+IF(H850&lt;&gt;"",1,0)+IF(J850&lt;&gt;"",1,0)+IF(L850&lt;&gt;"",1,0)</x:f>
        <x:v>1</x:v>
      </x:c>
      <x:c r="O850" s="14" t="str">
        <x:f>IF(E850="","MISSING MAIN",IF(N850=1,"MAIN ONLY","MULTI-PHOTO"))</x:f>
        <x:v>MAIN ONLY</x:v>
      </x:c>
      <x:c r="P850" s="14" t="str">
        <x:v>0963_</x:v>
      </x:c>
      <x:c r="Q850" s="14" t="str">
        <x:v>https://mb1advancedsolutions.github.io/mb1-catalog/index.html?design=0963</x:v>
      </x:c>
      <x:c r="R850" s="14" t="str"/>
    </x:row>
    <x:row r="851">
      <x:c r="A851" s="13" t="str">
        <x:v>MB1-0964</x:v>
      </x:c>
      <x:c r="B851" s="13" t="str">
        <x:v>MB1-0964</x:v>
      </x:c>
      <x:c r="C851" s="14" t="str">
        <x:v>Happy Valentines Day</x:v>
      </x:c>
      <x:c r="D851" s="14" t="str">
        <x:v>seasonal and holiday</x:v>
      </x:c>
      <x:c r="E851" s="14" t="str">
        <x:v>https://res.cloudinary.com/oxygre42/image/upload/f_auto,q_auto,c_pad,b_white,w_1200,h_1200/v1788350394/0964_Happy_Valentines_Day.png</x:v>
      </x:c>
      <x:c r="F851" s="14" t="str"/>
      <x:c r="G851" s="14" t="str">
        <x:v>Lifestyle</x:v>
      </x:c>
      <x:c r="H851" s="14" t="str"/>
      <x:c r="I851" s="14" t="str">
        <x:v>Detail</x:v>
      </x:c>
      <x:c r="J851" s="14" t="str"/>
      <x:c r="K851" s="14" t="str">
        <x:v>Scale</x:v>
      </x:c>
      <x:c r="L851" s="14" t="str"/>
      <x:c r="M851" s="14" t="str">
        <x:v>Alternate</x:v>
      </x:c>
      <x:c r="N851" s="14" t="n">
        <x:f>IF(E851&lt;&gt;"",1,0)+IF(F851&lt;&gt;"",1,0)+IF(H851&lt;&gt;"",1,0)+IF(J851&lt;&gt;"",1,0)+IF(L851&lt;&gt;"",1,0)</x:f>
        <x:v>1</x:v>
      </x:c>
      <x:c r="O851" s="14" t="str">
        <x:f>IF(E851="","MISSING MAIN",IF(N851=1,"MAIN ONLY","MULTI-PHOTO"))</x:f>
        <x:v>MAIN ONLY</x:v>
      </x:c>
      <x:c r="P851" s="14" t="str">
        <x:v>0964_</x:v>
      </x:c>
      <x:c r="Q851" s="14" t="str">
        <x:v>https://mb1advancedsolutions.github.io/mb1-catalog/index.html?design=0964</x:v>
      </x:c>
      <x:c r="R851" s="14" t="str"/>
    </x:row>
    <x:row r="852">
      <x:c r="A852" s="13" t="str">
        <x:v>MB1-0965</x:v>
      </x:c>
      <x:c r="B852" s="13" t="str">
        <x:v>MB1-0965</x:v>
      </x:c>
      <x:c r="C852" s="14" t="str">
        <x:v>Hear no Speak no See no 30 inch</x:v>
      </x:c>
      <x:c r="D852" s="14" t="str">
        <x:v>home decor and inspirational</x:v>
      </x:c>
      <x:c r="E852" s="14" t="str">
        <x:v>https://res.cloudinary.com/oxygre42/image/upload/f_auto,q_auto,c_pad,b_white,w_1200,h_1200/v1788350396/0965_Hear_no_Speak_no_See_no_30_inch.png</x:v>
      </x:c>
      <x:c r="F852" s="14" t="str"/>
      <x:c r="G852" s="14" t="str">
        <x:v>Lifestyle</x:v>
      </x:c>
      <x:c r="H852" s="14" t="str"/>
      <x:c r="I852" s="14" t="str">
        <x:v>Detail</x:v>
      </x:c>
      <x:c r="J852" s="14" t="str"/>
      <x:c r="K852" s="14" t="str">
        <x:v>Scale</x:v>
      </x:c>
      <x:c r="L852" s="14" t="str"/>
      <x:c r="M852" s="14" t="str">
        <x:v>Alternate</x:v>
      </x:c>
      <x:c r="N852" s="14" t="n">
        <x:f>IF(E852&lt;&gt;"",1,0)+IF(F852&lt;&gt;"",1,0)+IF(H852&lt;&gt;"",1,0)+IF(J852&lt;&gt;"",1,0)+IF(L852&lt;&gt;"",1,0)</x:f>
        <x:v>1</x:v>
      </x:c>
      <x:c r="O852" s="14" t="str">
        <x:f>IF(E852="","MISSING MAIN",IF(N852=1,"MAIN ONLY","MULTI-PHOTO"))</x:f>
        <x:v>MAIN ONLY</x:v>
      </x:c>
      <x:c r="P852" s="14" t="str">
        <x:v>0965_</x:v>
      </x:c>
      <x:c r="Q852" s="14" t="str">
        <x:v>https://mb1advancedsolutions.github.io/mb1-catalog/index.html?design=0965</x:v>
      </x:c>
      <x:c r="R852" s="14" t="str"/>
    </x:row>
    <x:row r="853">
      <x:c r="A853" s="13" t="str">
        <x:v>MB1-0966</x:v>
      </x:c>
      <x:c r="B853" s="13" t="str">
        <x:v>MB1-0966</x:v>
      </x:c>
      <x:c r="C853" s="14" t="str">
        <x:v>Heart Tree with alt Border</x:v>
      </x:c>
      <x:c r="D853" s="14" t="str">
        <x:v>home decor and inspirational</x:v>
      </x:c>
      <x:c r="E853" s="14" t="str">
        <x:v>https://res.cloudinary.com/oxygre42/image/upload/f_auto,q_auto,c_pad,b_white,w_1200,h_1200/v1788350398/0966_Heart_Tree_with_alt_Border.png</x:v>
      </x:c>
      <x:c r="F853" s="14" t="str"/>
      <x:c r="G853" s="14" t="str">
        <x:v>Lifestyle</x:v>
      </x:c>
      <x:c r="H853" s="14" t="str"/>
      <x:c r="I853" s="14" t="str">
        <x:v>Detail</x:v>
      </x:c>
      <x:c r="J853" s="14" t="str"/>
      <x:c r="K853" s="14" t="str">
        <x:v>Scale</x:v>
      </x:c>
      <x:c r="L853" s="14" t="str"/>
      <x:c r="M853" s="14" t="str">
        <x:v>Alternate</x:v>
      </x:c>
      <x:c r="N853" s="14" t="n">
        <x:f>IF(E853&lt;&gt;"",1,0)+IF(F853&lt;&gt;"",1,0)+IF(H853&lt;&gt;"",1,0)+IF(J853&lt;&gt;"",1,0)+IF(L853&lt;&gt;"",1,0)</x:f>
        <x:v>1</x:v>
      </x:c>
      <x:c r="O853" s="14" t="str">
        <x:f>IF(E853="","MISSING MAIN",IF(N853=1,"MAIN ONLY","MULTI-PHOTO"))</x:f>
        <x:v>MAIN ONLY</x:v>
      </x:c>
      <x:c r="P853" s="14" t="str">
        <x:v>0966_</x:v>
      </x:c>
      <x:c r="Q853" s="14" t="str">
        <x:v>https://mb1advancedsolutions.github.io/mb1-catalog/index.html?design=0966</x:v>
      </x:c>
      <x:c r="R853" s="14" t="str"/>
    </x:row>
    <x:row r="854">
      <x:c r="A854" s="13" t="str">
        <x:v>MB1-0967</x:v>
      </x:c>
      <x:c r="B854" s="13" t="str">
        <x:v>MB1-0967</x:v>
      </x:c>
      <x:c r="C854" s="14" t="str">
        <x:v>Heart Tree with border</x:v>
      </x:c>
      <x:c r="D854" s="14" t="str">
        <x:v>home decor and inspirational</x:v>
      </x:c>
      <x:c r="E854" s="14" t="str">
        <x:v>https://res.cloudinary.com/oxygre42/image/upload/f_auto,q_auto,c_pad,b_white,w_1200,h_1200/v1788350400/0967_Heart_Tree_with_border.png</x:v>
      </x:c>
      <x:c r="F854" s="14" t="str"/>
      <x:c r="G854" s="14" t="str">
        <x:v>Lifestyle</x:v>
      </x:c>
      <x:c r="H854" s="14" t="str"/>
      <x:c r="I854" s="14" t="str">
        <x:v>Detail</x:v>
      </x:c>
      <x:c r="J854" s="14" t="str"/>
      <x:c r="K854" s="14" t="str">
        <x:v>Scale</x:v>
      </x:c>
      <x:c r="L854" s="14" t="str"/>
      <x:c r="M854" s="14" t="str">
        <x:v>Alternate</x:v>
      </x:c>
      <x:c r="N854" s="14" t="n">
        <x:f>IF(E854&lt;&gt;"",1,0)+IF(F854&lt;&gt;"",1,0)+IF(H854&lt;&gt;"",1,0)+IF(J854&lt;&gt;"",1,0)+IF(L854&lt;&gt;"",1,0)</x:f>
        <x:v>1</x:v>
      </x:c>
      <x:c r="O854" s="14" t="str">
        <x:f>IF(E854="","MISSING MAIN",IF(N854=1,"MAIN ONLY","MULTI-PHOTO"))</x:f>
        <x:v>MAIN ONLY</x:v>
      </x:c>
      <x:c r="P854" s="14" t="str">
        <x:v>0967_</x:v>
      </x:c>
      <x:c r="Q854" s="14" t="str">
        <x:v>https://mb1advancedsolutions.github.io/mb1-catalog/index.html?design=0967</x:v>
      </x:c>
      <x:c r="R854" s="14" t="str"/>
    </x:row>
    <x:row r="855">
      <x:c r="A855" s="13" t="str">
        <x:v>MB1-0968</x:v>
      </x:c>
      <x:c r="B855" s="13" t="str">
        <x:v>MB1-0968</x:v>
      </x:c>
      <x:c r="C855" s="14" t="str">
        <x:v>Heart and Dagger</x:v>
      </x:c>
      <x:c r="D855" s="14" t="str">
        <x:v>home decor and inspirational</x:v>
      </x:c>
      <x:c r="E855" s="14" t="str">
        <x:v>https://res.cloudinary.com/oxygre42/image/upload/f_auto,q_auto,c_pad,b_white,w_1200,h_1200/v1788350402/0968_Heart_and_Dagger.png</x:v>
      </x:c>
      <x:c r="F855" s="14" t="str"/>
      <x:c r="G855" s="14" t="str">
        <x:v>Lifestyle</x:v>
      </x:c>
      <x:c r="H855" s="14" t="str"/>
      <x:c r="I855" s="14" t="str">
        <x:v>Detail</x:v>
      </x:c>
      <x:c r="J855" s="14" t="str"/>
      <x:c r="K855" s="14" t="str">
        <x:v>Scale</x:v>
      </x:c>
      <x:c r="L855" s="14" t="str"/>
      <x:c r="M855" s="14" t="str">
        <x:v>Alternate</x:v>
      </x:c>
      <x:c r="N855" s="14" t="n">
        <x:f>IF(E855&lt;&gt;"",1,0)+IF(F855&lt;&gt;"",1,0)+IF(H855&lt;&gt;"",1,0)+IF(J855&lt;&gt;"",1,0)+IF(L855&lt;&gt;"",1,0)</x:f>
        <x:v>1</x:v>
      </x:c>
      <x:c r="O855" s="14" t="str">
        <x:f>IF(E855="","MISSING MAIN",IF(N855=1,"MAIN ONLY","MULTI-PHOTO"))</x:f>
        <x:v>MAIN ONLY</x:v>
      </x:c>
      <x:c r="P855" s="14" t="str">
        <x:v>0968_</x:v>
      </x:c>
      <x:c r="Q855" s="14" t="str">
        <x:v>https://mb1advancedsolutions.github.io/mb1-catalog/index.html?design=0968</x:v>
      </x:c>
      <x:c r="R855" s="14" t="str"/>
    </x:row>
    <x:row r="856">
      <x:c r="A856" s="13" t="str">
        <x:v>MB1-0969</x:v>
      </x:c>
      <x:c r="B856" s="13" t="str">
        <x:v>MB1-0969</x:v>
      </x:c>
      <x:c r="C856" s="14" t="str">
        <x:v>Home</x:v>
      </x:c>
      <x:c r="D856" s="14" t="str">
        <x:v>home decor and inspirational</x:v>
      </x:c>
      <x:c r="E856" s="14" t="str">
        <x:v>https://res.cloudinary.com/oxygre42/image/upload/f_auto,q_auto,c_pad,b_white,w_1200,h_1200/v1788350404/0969_Home.png</x:v>
      </x:c>
      <x:c r="F856" s="14" t="str"/>
      <x:c r="G856" s="14" t="str">
        <x:v>Lifestyle</x:v>
      </x:c>
      <x:c r="H856" s="14" t="str"/>
      <x:c r="I856" s="14" t="str">
        <x:v>Detail</x:v>
      </x:c>
      <x:c r="J856" s="14" t="str"/>
      <x:c r="K856" s="14" t="str">
        <x:v>Scale</x:v>
      </x:c>
      <x:c r="L856" s="14" t="str"/>
      <x:c r="M856" s="14" t="str">
        <x:v>Alternate</x:v>
      </x:c>
      <x:c r="N856" s="14" t="n">
        <x:f>IF(E856&lt;&gt;"",1,0)+IF(F856&lt;&gt;"",1,0)+IF(H856&lt;&gt;"",1,0)+IF(J856&lt;&gt;"",1,0)+IF(L856&lt;&gt;"",1,0)</x:f>
        <x:v>1</x:v>
      </x:c>
      <x:c r="O856" s="14" t="str">
        <x:f>IF(E856="","MISSING MAIN",IF(N856=1,"MAIN ONLY","MULTI-PHOTO"))</x:f>
        <x:v>MAIN ONLY</x:v>
      </x:c>
      <x:c r="P856" s="14" t="str">
        <x:v>0969_</x:v>
      </x:c>
      <x:c r="Q856" s="14" t="str">
        <x:v>https://mb1advancedsolutions.github.io/mb1-catalog/index.html?design=0969</x:v>
      </x:c>
      <x:c r="R856" s="14" t="str"/>
    </x:row>
    <x:row r="857">
      <x:c r="A857" s="13" t="str">
        <x:v>MB1-0970</x:v>
      </x:c>
      <x:c r="B857" s="13" t="str">
        <x:v>MB1-0970</x:v>
      </x:c>
      <x:c r="C857" s="14" t="str">
        <x:v>Horseshoe Welcome sign</x:v>
      </x:c>
      <x:c r="D857" s="14" t="str">
        <x:v>farm and western</x:v>
      </x:c>
      <x:c r="E857" s="14" t="str">
        <x:v>https://res.cloudinary.com/oxygre42/image/upload/f_auto,q_auto,c_pad,b_white,w_1200,h_1200/v1788350406/0970_Horseshoe_Welcome_sign.png</x:v>
      </x:c>
      <x:c r="F857" s="14" t="str"/>
      <x:c r="G857" s="14" t="str">
        <x:v>Lifestyle</x:v>
      </x:c>
      <x:c r="H857" s="14" t="str"/>
      <x:c r="I857" s="14" t="str">
        <x:v>Detail</x:v>
      </x:c>
      <x:c r="J857" s="14" t="str"/>
      <x:c r="K857" s="14" t="str">
        <x:v>Scale</x:v>
      </x:c>
      <x:c r="L857" s="14" t="str"/>
      <x:c r="M857" s="14" t="str">
        <x:v>Alternate</x:v>
      </x:c>
      <x:c r="N857" s="14" t="n">
        <x:f>IF(E857&lt;&gt;"",1,0)+IF(F857&lt;&gt;"",1,0)+IF(H857&lt;&gt;"",1,0)+IF(J857&lt;&gt;"",1,0)+IF(L857&lt;&gt;"",1,0)</x:f>
        <x:v>1</x:v>
      </x:c>
      <x:c r="O857" s="14" t="str">
        <x:f>IF(E857="","MISSING MAIN",IF(N857=1,"MAIN ONLY","MULTI-PHOTO"))</x:f>
        <x:v>MAIN ONLY</x:v>
      </x:c>
      <x:c r="P857" s="14" t="str">
        <x:v>0970_</x:v>
      </x:c>
      <x:c r="Q857" s="14" t="str">
        <x:v>https://mb1advancedsolutions.github.io/mb1-catalog/index.html?design=0970</x:v>
      </x:c>
      <x:c r="R857" s="14" t="str"/>
    </x:row>
    <x:row r="858">
      <x:c r="A858" s="13" t="str">
        <x:v>MB1-0971</x:v>
      </x:c>
      <x:c r="B858" s="13" t="str">
        <x:v>MB1-0971</x:v>
      </x:c>
      <x:c r="C858" s="14" t="str">
        <x:v>Hot Rod Truck</x:v>
      </x:c>
      <x:c r="D858" s="14" t="str">
        <x:v>garage and workshop</x:v>
      </x:c>
      <x:c r="E858" s="14" t="str">
        <x:v>https://res.cloudinary.com/oxygre42/image/upload/f_auto,q_auto,c_pad,b_white,w_1200,h_1200/v1788350408/0971_Hot_Rod_Truck.jpg</x:v>
      </x:c>
      <x:c r="F858" s="14" t="str"/>
      <x:c r="G858" s="14" t="str">
        <x:v>Lifestyle</x:v>
      </x:c>
      <x:c r="H858" s="14" t="str"/>
      <x:c r="I858" s="14" t="str">
        <x:v>Detail</x:v>
      </x:c>
      <x:c r="J858" s="14" t="str"/>
      <x:c r="K858" s="14" t="str">
        <x:v>Scale</x:v>
      </x:c>
      <x:c r="L858" s="14" t="str"/>
      <x:c r="M858" s="14" t="str">
        <x:v>Alternate</x:v>
      </x:c>
      <x:c r="N858" s="14" t="n">
        <x:f>IF(E858&lt;&gt;"",1,0)+IF(F858&lt;&gt;"",1,0)+IF(H858&lt;&gt;"",1,0)+IF(J858&lt;&gt;"",1,0)+IF(L858&lt;&gt;"",1,0)</x:f>
        <x:v>1</x:v>
      </x:c>
      <x:c r="O858" s="14" t="str">
        <x:f>IF(E858="","MISSING MAIN",IF(N858=1,"MAIN ONLY","MULTI-PHOTO"))</x:f>
        <x:v>MAIN ONLY</x:v>
      </x:c>
      <x:c r="P858" s="14" t="str">
        <x:v>0971_</x:v>
      </x:c>
      <x:c r="Q858" s="14" t="str">
        <x:v>https://mb1advancedsolutions.github.io/mb1-catalog/index.html?design=0971</x:v>
      </x:c>
      <x:c r="R858" s="14" t="str"/>
    </x:row>
    <x:row r="859">
      <x:c r="A859" s="13" t="str">
        <x:v>MB1-0972</x:v>
      </x:c>
      <x:c r="B859" s="13" t="str">
        <x:v>MB1-0972</x:v>
      </x:c>
      <x:c r="C859" s="14" t="str">
        <x:v>Hot Rod with flames</x:v>
      </x:c>
      <x:c r="D859" s="14" t="str">
        <x:v>garage and workshop</x:v>
      </x:c>
      <x:c r="E859" s="14" t="str">
        <x:v>https://res.cloudinary.com/oxygre42/image/upload/f_auto,q_auto,c_pad,b_white,w_1200,h_1200/v1788350410/0972_Hot_Rod_with_flames.png</x:v>
      </x:c>
      <x:c r="F859" s="14" t="str"/>
      <x:c r="G859" s="14" t="str">
        <x:v>Lifestyle</x:v>
      </x:c>
      <x:c r="H859" s="14" t="str"/>
      <x:c r="I859" s="14" t="str">
        <x:v>Detail</x:v>
      </x:c>
      <x:c r="J859" s="14" t="str"/>
      <x:c r="K859" s="14" t="str">
        <x:v>Scale</x:v>
      </x:c>
      <x:c r="L859" s="14" t="str"/>
      <x:c r="M859" s="14" t="str">
        <x:v>Alternate</x:v>
      </x:c>
      <x:c r="N859" s="14" t="n">
        <x:f>IF(E859&lt;&gt;"",1,0)+IF(F859&lt;&gt;"",1,0)+IF(H859&lt;&gt;"",1,0)+IF(J859&lt;&gt;"",1,0)+IF(L859&lt;&gt;"",1,0)</x:f>
        <x:v>1</x:v>
      </x:c>
      <x:c r="O859" s="14" t="str">
        <x:f>IF(E859="","MISSING MAIN",IF(N859=1,"MAIN ONLY","MULTI-PHOTO"))</x:f>
        <x:v>MAIN ONLY</x:v>
      </x:c>
      <x:c r="P859" s="14" t="str">
        <x:v>0972_</x:v>
      </x:c>
      <x:c r="Q859" s="14" t="str">
        <x:v>https://mb1advancedsolutions.github.io/mb1-catalog/index.html?design=0972</x:v>
      </x:c>
      <x:c r="R859" s="14" t="str"/>
    </x:row>
    <x:row r="860">
      <x:c r="A860" s="13" t="str">
        <x:v>MB1-0973</x:v>
      </x:c>
      <x:c r="B860" s="13" t="str">
        <x:v>MB1-0973</x:v>
      </x:c>
      <x:c r="C860" s="14" t="str">
        <x:v>Hot Rod</x:v>
      </x:c>
      <x:c r="D860" s="14" t="str">
        <x:v>garage and workshop</x:v>
      </x:c>
      <x:c r="E860" s="14" t="str">
        <x:v>https://res.cloudinary.com/oxygre42/image/upload/f_auto,q_auto,c_pad,b_white,w_1200,h_1200/v1788350411/0973_Hot_Rod.png</x:v>
      </x:c>
      <x:c r="F860" s="14" t="str"/>
      <x:c r="G860" s="14" t="str">
        <x:v>Lifestyle</x:v>
      </x:c>
      <x:c r="H860" s="14" t="str"/>
      <x:c r="I860" s="14" t="str">
        <x:v>Detail</x:v>
      </x:c>
      <x:c r="J860" s="14" t="str"/>
      <x:c r="K860" s="14" t="str">
        <x:v>Scale</x:v>
      </x:c>
      <x:c r="L860" s="14" t="str"/>
      <x:c r="M860" s="14" t="str">
        <x:v>Alternate</x:v>
      </x:c>
      <x:c r="N860" s="14" t="n">
        <x:f>IF(E860&lt;&gt;"",1,0)+IF(F860&lt;&gt;"",1,0)+IF(H860&lt;&gt;"",1,0)+IF(J860&lt;&gt;"",1,0)+IF(L860&lt;&gt;"",1,0)</x:f>
        <x:v>1</x:v>
      </x:c>
      <x:c r="O860" s="14" t="str">
        <x:f>IF(E860="","MISSING MAIN",IF(N860=1,"MAIN ONLY","MULTI-PHOTO"))</x:f>
        <x:v>MAIN ONLY</x:v>
      </x:c>
      <x:c r="P860" s="14" t="str">
        <x:v>0973_</x:v>
      </x:c>
      <x:c r="Q860" s="14" t="str">
        <x:v>https://mb1advancedsolutions.github.io/mb1-catalog/index.html?design=0973</x:v>
      </x:c>
      <x:c r="R860" s="14" t="str"/>
    </x:row>
    <x:row r="861">
      <x:c r="A861" s="13" t="str">
        <x:v>MB1-0974</x:v>
      </x:c>
      <x:c r="B861" s="13" t="str">
        <x:v>MB1-0974</x:v>
      </x:c>
      <x:c r="C861" s="14" t="str">
        <x:v>Hot rod 2</x:v>
      </x:c>
      <x:c r="D861" s="14" t="str">
        <x:v>garage and workshop</x:v>
      </x:c>
      <x:c r="E861" s="14" t="str">
        <x:v>https://res.cloudinary.com/oxygre42/image/upload/f_auto,q_auto,c_pad,b_white,w_1200,h_1200/v1788350413/0974_Hot_rod_2.png</x:v>
      </x:c>
      <x:c r="F861" s="14" t="str"/>
      <x:c r="G861" s="14" t="str">
        <x:v>Lifestyle</x:v>
      </x:c>
      <x:c r="H861" s="14" t="str"/>
      <x:c r="I861" s="14" t="str">
        <x:v>Detail</x:v>
      </x:c>
      <x:c r="J861" s="14" t="str"/>
      <x:c r="K861" s="14" t="str">
        <x:v>Scale</x:v>
      </x:c>
      <x:c r="L861" s="14" t="str"/>
      <x:c r="M861" s="14" t="str">
        <x:v>Alternate</x:v>
      </x:c>
      <x:c r="N861" s="14" t="n">
        <x:f>IF(E861&lt;&gt;"",1,0)+IF(F861&lt;&gt;"",1,0)+IF(H861&lt;&gt;"",1,0)+IF(J861&lt;&gt;"",1,0)+IF(L861&lt;&gt;"",1,0)</x:f>
        <x:v>1</x:v>
      </x:c>
      <x:c r="O861" s="14" t="str">
        <x:f>IF(E861="","MISSING MAIN",IF(N861=1,"MAIN ONLY","MULTI-PHOTO"))</x:f>
        <x:v>MAIN ONLY</x:v>
      </x:c>
      <x:c r="P861" s="14" t="str">
        <x:v>0974_</x:v>
      </x:c>
      <x:c r="Q861" s="14" t="str">
        <x:v>https://mb1advancedsolutions.github.io/mb1-catalog/index.html?design=0974</x:v>
      </x:c>
      <x:c r="R861" s="14" t="str"/>
    </x:row>
    <x:row r="862">
      <x:c r="A862" s="13" t="str">
        <x:v>MB1-0975</x:v>
      </x:c>
      <x:c r="B862" s="13" t="str">
        <x:v>MB1-0975</x:v>
      </x:c>
      <x:c r="C862" s="14" t="str">
        <x:v>Hot rod front view</x:v>
      </x:c>
      <x:c r="D862" s="14" t="str">
        <x:v>garage and workshop</x:v>
      </x:c>
      <x:c r="E862" s="14" t="str">
        <x:v>https://res.cloudinary.com/oxygre42/image/upload/f_auto,q_auto,c_pad,b_white,w_1200,h_1200/v1788350415/0975_Hot_rod_front_view.png</x:v>
      </x:c>
      <x:c r="F862" s="14" t="str"/>
      <x:c r="G862" s="14" t="str">
        <x:v>Lifestyle</x:v>
      </x:c>
      <x:c r="H862" s="14" t="str"/>
      <x:c r="I862" s="14" t="str">
        <x:v>Detail</x:v>
      </x:c>
      <x:c r="J862" s="14" t="str"/>
      <x:c r="K862" s="14" t="str">
        <x:v>Scale</x:v>
      </x:c>
      <x:c r="L862" s="14" t="str"/>
      <x:c r="M862" s="14" t="str">
        <x:v>Alternate</x:v>
      </x:c>
      <x:c r="N862" s="14" t="n">
        <x:f>IF(E862&lt;&gt;"",1,0)+IF(F862&lt;&gt;"",1,0)+IF(H862&lt;&gt;"",1,0)+IF(J862&lt;&gt;"",1,0)+IF(L862&lt;&gt;"",1,0)</x:f>
        <x:v>1</x:v>
      </x:c>
      <x:c r="O862" s="14" t="str">
        <x:f>IF(E862="","MISSING MAIN",IF(N862=1,"MAIN ONLY","MULTI-PHOTO"))</x:f>
        <x:v>MAIN ONLY</x:v>
      </x:c>
      <x:c r="P862" s="14" t="str">
        <x:v>0975_</x:v>
      </x:c>
      <x:c r="Q862" s="14" t="str">
        <x:v>https://mb1advancedsolutions.github.io/mb1-catalog/index.html?design=0975</x:v>
      </x:c>
      <x:c r="R862" s="14" t="str"/>
    </x:row>
    <x:row r="863">
      <x:c r="A863" s="13" t="str">
        <x:v>MB1-0976</x:v>
      </x:c>
      <x:c r="B863" s="13" t="str">
        <x:v>MB1-0976</x:v>
      </x:c>
      <x:c r="C863" s="14" t="str">
        <x:v>Hunna Dolla Bill</x:v>
      </x:c>
      <x:c r="D863" s="14" t="str">
        <x:v>home decor and inspirational</x:v>
      </x:c>
      <x:c r="E863" s="14" t="str">
        <x:v>https://res.cloudinary.com/oxygre42/image/upload/f_auto,q_auto,c_pad,b_white,w_1200,h_1200/v1788350417/0976_Hunna_Dolla_Bill.png</x:v>
      </x:c>
      <x:c r="F863" s="14" t="str"/>
      <x:c r="G863" s="14" t="str">
        <x:v>Lifestyle</x:v>
      </x:c>
      <x:c r="H863" s="14" t="str"/>
      <x:c r="I863" s="14" t="str">
        <x:v>Detail</x:v>
      </x:c>
      <x:c r="J863" s="14" t="str"/>
      <x:c r="K863" s="14" t="str">
        <x:v>Scale</x:v>
      </x:c>
      <x:c r="L863" s="14" t="str"/>
      <x:c r="M863" s="14" t="str">
        <x:v>Alternate</x:v>
      </x:c>
      <x:c r="N863" s="14" t="n">
        <x:f>IF(E863&lt;&gt;"",1,0)+IF(F863&lt;&gt;"",1,0)+IF(H863&lt;&gt;"",1,0)+IF(J863&lt;&gt;"",1,0)+IF(L863&lt;&gt;"",1,0)</x:f>
        <x:v>1</x:v>
      </x:c>
      <x:c r="O863" s="14" t="str">
        <x:f>IF(E863="","MISSING MAIN",IF(N863=1,"MAIN ONLY","MULTI-PHOTO"))</x:f>
        <x:v>MAIN ONLY</x:v>
      </x:c>
      <x:c r="P863" s="14" t="str">
        <x:v>0976_</x:v>
      </x:c>
      <x:c r="Q863" s="14" t="str">
        <x:v>https://mb1advancedsolutions.github.io/mb1-catalog/index.html?design=0976</x:v>
      </x:c>
      <x:c r="R863" s="14" t="str"/>
    </x:row>
    <x:row r="864">
      <x:c r="A864" s="13" t="str">
        <x:v>MB1-0977</x:v>
      </x:c>
      <x:c r="B864" s="13" t="str">
        <x:v>MB1-0977</x:v>
      </x:c>
      <x:c r="C864" s="14" t="str">
        <x:v>Indian Chief</x:v>
      </x:c>
      <x:c r="D864" s="14" t="str">
        <x:v>home decor and inspirational</x:v>
      </x:c>
      <x:c r="E864" s="14" t="str">
        <x:v>https://res.cloudinary.com/oxygre42/image/upload/f_auto,q_auto,c_pad,b_white,w_1200,h_1200/v1788350419/0977_Indian_Chief.png</x:v>
      </x:c>
      <x:c r="F864" s="14" t="str"/>
      <x:c r="G864" s="14" t="str">
        <x:v>Lifestyle</x:v>
      </x:c>
      <x:c r="H864" s="14" t="str"/>
      <x:c r="I864" s="14" t="str">
        <x:v>Detail</x:v>
      </x:c>
      <x:c r="J864" s="14" t="str"/>
      <x:c r="K864" s="14" t="str">
        <x:v>Scale</x:v>
      </x:c>
      <x:c r="L864" s="14" t="str"/>
      <x:c r="M864" s="14" t="str">
        <x:v>Alternate</x:v>
      </x:c>
      <x:c r="N864" s="14" t="n">
        <x:f>IF(E864&lt;&gt;"",1,0)+IF(F864&lt;&gt;"",1,0)+IF(H864&lt;&gt;"",1,0)+IF(J864&lt;&gt;"",1,0)+IF(L864&lt;&gt;"",1,0)</x:f>
        <x:v>1</x:v>
      </x:c>
      <x:c r="O864" s="14" t="str">
        <x:f>IF(E864="","MISSING MAIN",IF(N864=1,"MAIN ONLY","MULTI-PHOTO"))</x:f>
        <x:v>MAIN ONLY</x:v>
      </x:c>
      <x:c r="P864" s="14" t="str">
        <x:v>0977_</x:v>
      </x:c>
      <x:c r="Q864" s="14" t="str">
        <x:v>https://mb1advancedsolutions.github.io/mb1-catalog/index.html?design=0977</x:v>
      </x:c>
      <x:c r="R864" s="14" t="str"/>
    </x:row>
    <x:row r="865">
      <x:c r="A865" s="13" t="str">
        <x:v>MB1-0978</x:v>
      </x:c>
      <x:c r="B865" s="13" t="str">
        <x:v>MB1-0978</x:v>
      </x:c>
      <x:c r="C865" s="14" t="str">
        <x:v>Infinity Monogram</x:v>
      </x:c>
      <x:c r="D865" s="14" t="str">
        <x:v>family &amp; name</x:v>
      </x:c>
      <x:c r="E865" s="14" t="str">
        <x:v>https://res.cloudinary.com/oxygre42/image/upload/f_auto,q_auto,c_pad,b_white,w_1200,h_1200/v1788350421/0978_Infinity_Monogram.png</x:v>
      </x:c>
      <x:c r="F865" s="14" t="str"/>
      <x:c r="G865" s="14" t="str">
        <x:v>Lifestyle</x:v>
      </x:c>
      <x:c r="H865" s="14" t="str"/>
      <x:c r="I865" s="14" t="str">
        <x:v>Detail</x:v>
      </x:c>
      <x:c r="J865" s="14" t="str"/>
      <x:c r="K865" s="14" t="str">
        <x:v>Scale</x:v>
      </x:c>
      <x:c r="L865" s="14" t="str"/>
      <x:c r="M865" s="14" t="str">
        <x:v>Alternate</x:v>
      </x:c>
      <x:c r="N865" s="14" t="n">
        <x:f>IF(E865&lt;&gt;"",1,0)+IF(F865&lt;&gt;"",1,0)+IF(H865&lt;&gt;"",1,0)+IF(J865&lt;&gt;"",1,0)+IF(L865&lt;&gt;"",1,0)</x:f>
        <x:v>1</x:v>
      </x:c>
      <x:c r="O865" s="14" t="str">
        <x:f>IF(E865="","MISSING MAIN",IF(N865=1,"MAIN ONLY","MULTI-PHOTO"))</x:f>
        <x:v>MAIN ONLY</x:v>
      </x:c>
      <x:c r="P865" s="14" t="str">
        <x:v>0978_</x:v>
      </x:c>
      <x:c r="Q865" s="14" t="str">
        <x:v>https://mb1advancedsolutions.github.io/mb1-catalog/index.html?design=0978</x:v>
      </x:c>
      <x:c r="R865" s="14" t="str"/>
    </x:row>
    <x:row r="866">
      <x:c r="A866" s="13" t="str">
        <x:v>MB1-0979</x:v>
      </x:c>
      <x:c r="B866" s="13" t="str">
        <x:v>MB1-0979</x:v>
      </x:c>
      <x:c r="C866" s="14" t="str">
        <x:v>Intermission</x:v>
      </x:c>
      <x:c r="D866" s="14" t="str">
        <x:v>home decor and inspirational</x:v>
      </x:c>
      <x:c r="E866" s="14" t="str">
        <x:v>https://res.cloudinary.com/oxygre42/image/upload/f_auto,q_auto,c_pad,b_white,w_1200,h_1200/v1788350423/0979_Intermission.jpg</x:v>
      </x:c>
      <x:c r="F866" s="14" t="str"/>
      <x:c r="G866" s="14" t="str">
        <x:v>Lifestyle</x:v>
      </x:c>
      <x:c r="H866" s="14" t="str"/>
      <x:c r="I866" s="14" t="str">
        <x:v>Detail</x:v>
      </x:c>
      <x:c r="J866" s="14" t="str"/>
      <x:c r="K866" s="14" t="str">
        <x:v>Scale</x:v>
      </x:c>
      <x:c r="L866" s="14" t="str"/>
      <x:c r="M866" s="14" t="str">
        <x:v>Alternate</x:v>
      </x:c>
      <x:c r="N866" s="14" t="n">
        <x:f>IF(E866&lt;&gt;"",1,0)+IF(F866&lt;&gt;"",1,0)+IF(H866&lt;&gt;"",1,0)+IF(J866&lt;&gt;"",1,0)+IF(L866&lt;&gt;"",1,0)</x:f>
        <x:v>1</x:v>
      </x:c>
      <x:c r="O866" s="14" t="str">
        <x:f>IF(E866="","MISSING MAIN",IF(N866=1,"MAIN ONLY","MULTI-PHOTO"))</x:f>
        <x:v>MAIN ONLY</x:v>
      </x:c>
      <x:c r="P866" s="14" t="str">
        <x:v>0979_</x:v>
      </x:c>
      <x:c r="Q866" s="14" t="str">
        <x:v>https://mb1advancedsolutions.github.io/mb1-catalog/index.html?design=0979</x:v>
      </x:c>
      <x:c r="R866" s="14" t="str"/>
    </x:row>
    <x:row r="867">
      <x:c r="A867" s="13" t="str">
        <x:v>MB1-0980</x:v>
      </x:c>
      <x:c r="B867" s="13" t="str">
        <x:v>MB1-0980</x:v>
      </x:c>
      <x:c r="C867" s="14" t="str">
        <x:v>Jesus Cross</x:v>
      </x:c>
      <x:c r="D867" s="14" t="str">
        <x:v>home decor and inspirational</x:v>
      </x:c>
      <x:c r="E867" s="14" t="str">
        <x:v>https://res.cloudinary.com/oxygre42/image/upload/f_auto,q_auto,c_pad,b_white,w_1200,h_1200/v1788350425/0980_Jesus_Cross.png</x:v>
      </x:c>
      <x:c r="F867" s="14" t="str"/>
      <x:c r="G867" s="14" t="str">
        <x:v>Lifestyle</x:v>
      </x:c>
      <x:c r="H867" s="14" t="str"/>
      <x:c r="I867" s="14" t="str">
        <x:v>Detail</x:v>
      </x:c>
      <x:c r="J867" s="14" t="str"/>
      <x:c r="K867" s="14" t="str">
        <x:v>Scale</x:v>
      </x:c>
      <x:c r="L867" s="14" t="str"/>
      <x:c r="M867" s="14" t="str">
        <x:v>Alternate</x:v>
      </x:c>
      <x:c r="N867" s="14" t="n">
        <x:f>IF(E867&lt;&gt;"",1,0)+IF(F867&lt;&gt;"",1,0)+IF(H867&lt;&gt;"",1,0)+IF(J867&lt;&gt;"",1,0)+IF(L867&lt;&gt;"",1,0)</x:f>
        <x:v>1</x:v>
      </x:c>
      <x:c r="O867" s="14" t="str">
        <x:f>IF(E867="","MISSING MAIN",IF(N867=1,"MAIN ONLY","MULTI-PHOTO"))</x:f>
        <x:v>MAIN ONLY</x:v>
      </x:c>
      <x:c r="P867" s="14" t="str">
        <x:v>0980_</x:v>
      </x:c>
      <x:c r="Q867" s="14" t="str">
        <x:v>https://mb1advancedsolutions.github.io/mb1-catalog/index.html?design=0980</x:v>
      </x:c>
      <x:c r="R867" s="14" t="str"/>
    </x:row>
    <x:row r="868">
      <x:c r="A868" s="13" t="str">
        <x:v>MB1-0981</x:v>
      </x:c>
      <x:c r="B868" s="13" t="str">
        <x:v>MB1-0981</x:v>
      </x:c>
      <x:c r="C868" s="14" t="str">
        <x:v>Jesus Fish and crosses</x:v>
      </x:c>
      <x:c r="D868" s="14" t="str">
        <x:v>wildlife and outdoors</x:v>
      </x:c>
      <x:c r="E868" s="14" t="str">
        <x:v>https://res.cloudinary.com/oxygre42/image/upload/f_auto,q_auto,c_pad,b_white,w_1200,h_1200/v1788350426/0981_Jesus_Fish_and_crosses.png</x:v>
      </x:c>
      <x:c r="F868" s="14" t="str"/>
      <x:c r="G868" s="14" t="str">
        <x:v>Lifestyle</x:v>
      </x:c>
      <x:c r="H868" s="14" t="str"/>
      <x:c r="I868" s="14" t="str">
        <x:v>Detail</x:v>
      </x:c>
      <x:c r="J868" s="14" t="str"/>
      <x:c r="K868" s="14" t="str">
        <x:v>Scale</x:v>
      </x:c>
      <x:c r="L868" s="14" t="str"/>
      <x:c r="M868" s="14" t="str">
        <x:v>Alternate</x:v>
      </x:c>
      <x:c r="N868" s="14" t="n">
        <x:f>IF(E868&lt;&gt;"",1,0)+IF(F868&lt;&gt;"",1,0)+IF(H868&lt;&gt;"",1,0)+IF(J868&lt;&gt;"",1,0)+IF(L868&lt;&gt;"",1,0)</x:f>
        <x:v>1</x:v>
      </x:c>
      <x:c r="O868" s="14" t="str">
        <x:f>IF(E868="","MISSING MAIN",IF(N868=1,"MAIN ONLY","MULTI-PHOTO"))</x:f>
        <x:v>MAIN ONLY</x:v>
      </x:c>
      <x:c r="P868" s="14" t="str">
        <x:v>0981_</x:v>
      </x:c>
      <x:c r="Q868" s="14" t="str">
        <x:v>https://mb1advancedsolutions.github.io/mb1-catalog/index.html?design=0981</x:v>
      </x:c>
      <x:c r="R868" s="14" t="str"/>
    </x:row>
    <x:row r="869">
      <x:c r="A869" s="13" t="str">
        <x:v>MB1-0982</x:v>
      </x:c>
      <x:c r="B869" s="13" t="str">
        <x:v>MB1-0982</x:v>
      </x:c>
      <x:c r="C869" s="14" t="str">
        <x:v>Jesus Fish w Cross</x:v>
      </x:c>
      <x:c r="D869" s="14" t="str">
        <x:v>wildlife and outdoors</x:v>
      </x:c>
      <x:c r="E869" s="14" t="str">
        <x:v>https://res.cloudinary.com/oxygre42/image/upload/f_auto,q_auto,c_pad,b_white,w_1200,h_1200/v1788350428/0982_Jesus_Fish_w_Cross.png</x:v>
      </x:c>
      <x:c r="F869" s="14" t="str"/>
      <x:c r="G869" s="14" t="str">
        <x:v>Lifestyle</x:v>
      </x:c>
      <x:c r="H869" s="14" t="str"/>
      <x:c r="I869" s="14" t="str">
        <x:v>Detail</x:v>
      </x:c>
      <x:c r="J869" s="14" t="str"/>
      <x:c r="K869" s="14" t="str">
        <x:v>Scale</x:v>
      </x:c>
      <x:c r="L869" s="14" t="str"/>
      <x:c r="M869" s="14" t="str">
        <x:v>Alternate</x:v>
      </x:c>
      <x:c r="N869" s="14" t="n">
        <x:f>IF(E869&lt;&gt;"",1,0)+IF(F869&lt;&gt;"",1,0)+IF(H869&lt;&gt;"",1,0)+IF(J869&lt;&gt;"",1,0)+IF(L869&lt;&gt;"",1,0)</x:f>
        <x:v>1</x:v>
      </x:c>
      <x:c r="O869" s="14" t="str">
        <x:f>IF(E869="","MISSING MAIN",IF(N869=1,"MAIN ONLY","MULTI-PHOTO"))</x:f>
        <x:v>MAIN ONLY</x:v>
      </x:c>
      <x:c r="P869" s="14" t="str">
        <x:v>0982_</x:v>
      </x:c>
      <x:c r="Q869" s="14" t="str">
        <x:v>https://mb1advancedsolutions.github.io/mb1-catalog/index.html?design=0982</x:v>
      </x:c>
      <x:c r="R869" s="14" t="str"/>
    </x:row>
    <x:row r="870">
      <x:c r="A870" s="13" t="str">
        <x:v>MB1-0983</x:v>
      </x:c>
      <x:c r="B870" s="13" t="str">
        <x:v>MB1-0983</x:v>
      </x:c>
      <x:c r="C870" s="14" t="str">
        <x:v>Jesus Fish</x:v>
      </x:c>
      <x:c r="D870" s="14" t="str">
        <x:v>wildlife and outdoors</x:v>
      </x:c>
      <x:c r="E870" s="14" t="str">
        <x:v>https://res.cloudinary.com/oxygre42/image/upload/f_auto,q_auto,c_pad,b_white,w_1200,h_1200/v1788350430/0983_Jesus_Fish.png</x:v>
      </x:c>
      <x:c r="F870" s="14" t="str"/>
      <x:c r="G870" s="14" t="str">
        <x:v>Lifestyle</x:v>
      </x:c>
      <x:c r="H870" s="14" t="str"/>
      <x:c r="I870" s="14" t="str">
        <x:v>Detail</x:v>
      </x:c>
      <x:c r="J870" s="14" t="str"/>
      <x:c r="K870" s="14" t="str">
        <x:v>Scale</x:v>
      </x:c>
      <x:c r="L870" s="14" t="str"/>
      <x:c r="M870" s="14" t="str">
        <x:v>Alternate</x:v>
      </x:c>
      <x:c r="N870" s="14" t="n">
        <x:f>IF(E870&lt;&gt;"",1,0)+IF(F870&lt;&gt;"",1,0)+IF(H870&lt;&gt;"",1,0)+IF(J870&lt;&gt;"",1,0)+IF(L870&lt;&gt;"",1,0)</x:f>
        <x:v>1</x:v>
      </x:c>
      <x:c r="O870" s="14" t="str">
        <x:f>IF(E870="","MISSING MAIN",IF(N870=1,"MAIN ONLY","MULTI-PHOTO"))</x:f>
        <x:v>MAIN ONLY</x:v>
      </x:c>
      <x:c r="P870" s="14" t="str">
        <x:v>0983_</x:v>
      </x:c>
      <x:c r="Q870" s="14" t="str">
        <x:v>https://mb1advancedsolutions.github.io/mb1-catalog/index.html?design=0983</x:v>
      </x:c>
      <x:c r="R870" s="14" t="str"/>
    </x:row>
    <x:row r="871">
      <x:c r="A871" s="13" t="str">
        <x:v>MB1-0984</x:v>
      </x:c>
      <x:c r="B871" s="13" t="str">
        <x:v>MB1-0984</x:v>
      </x:c>
      <x:c r="C871" s="14" t="str">
        <x:v>Kick your boots off</x:v>
      </x:c>
      <x:c r="D871" s="14" t="str">
        <x:v>home decor and inspirational</x:v>
      </x:c>
      <x:c r="E871" s="14" t="str">
        <x:v>https://res.cloudinary.com/oxygre42/image/upload/f_auto,q_auto,c_pad,b_white,w_1200,h_1200/v1788350432/0984_Kick_your_boots_off.png</x:v>
      </x:c>
      <x:c r="F871" s="14" t="str"/>
      <x:c r="G871" s="14" t="str">
        <x:v>Lifestyle</x:v>
      </x:c>
      <x:c r="H871" s="14" t="str"/>
      <x:c r="I871" s="14" t="str">
        <x:v>Detail</x:v>
      </x:c>
      <x:c r="J871" s="14" t="str"/>
      <x:c r="K871" s="14" t="str">
        <x:v>Scale</x:v>
      </x:c>
      <x:c r="L871" s="14" t="str"/>
      <x:c r="M871" s="14" t="str">
        <x:v>Alternate</x:v>
      </x:c>
      <x:c r="N871" s="14" t="n">
        <x:f>IF(E871&lt;&gt;"",1,0)+IF(F871&lt;&gt;"",1,0)+IF(H871&lt;&gt;"",1,0)+IF(J871&lt;&gt;"",1,0)+IF(L871&lt;&gt;"",1,0)</x:f>
        <x:v>1</x:v>
      </x:c>
      <x:c r="O871" s="14" t="str">
        <x:f>IF(E871="","MISSING MAIN",IF(N871=1,"MAIN ONLY","MULTI-PHOTO"))</x:f>
        <x:v>MAIN ONLY</x:v>
      </x:c>
      <x:c r="P871" s="14" t="str">
        <x:v>0984_</x:v>
      </x:c>
      <x:c r="Q871" s="14" t="str">
        <x:v>https://mb1advancedsolutions.github.io/mb1-catalog/index.html?design=0984</x:v>
      </x:c>
      <x:c r="R871" s="14" t="str"/>
    </x:row>
    <x:row r="872">
      <x:c r="A872" s="13" t="str">
        <x:v>MB1-0985</x:v>
      </x:c>
      <x:c r="B872" s="13" t="str">
        <x:v>MB1-0985</x:v>
      </x:c>
      <x:c r="C872" s="14" t="str">
        <x:v>Koi and lotus</x:v>
      </x:c>
      <x:c r="D872" s="14" t="str">
        <x:v>wildlife and outdoors</x:v>
      </x:c>
      <x:c r="E872" s="14" t="str">
        <x:v>https://res.cloudinary.com/oxygre42/image/upload/f_auto,q_auto,c_pad,b_white,w_1200,h_1200/v1788350434/0985_Koi_and_lotus.png</x:v>
      </x:c>
      <x:c r="F872" s="14" t="str"/>
      <x:c r="G872" s="14" t="str">
        <x:v>Lifestyle</x:v>
      </x:c>
      <x:c r="H872" s="14" t="str"/>
      <x:c r="I872" s="14" t="str">
        <x:v>Detail</x:v>
      </x:c>
      <x:c r="J872" s="14" t="str"/>
      <x:c r="K872" s="14" t="str">
        <x:v>Scale</x:v>
      </x:c>
      <x:c r="L872" s="14" t="str"/>
      <x:c r="M872" s="14" t="str">
        <x:v>Alternate</x:v>
      </x:c>
      <x:c r="N872" s="14" t="n">
        <x:f>IF(E872&lt;&gt;"",1,0)+IF(F872&lt;&gt;"",1,0)+IF(H872&lt;&gt;"",1,0)+IF(J872&lt;&gt;"",1,0)+IF(L872&lt;&gt;"",1,0)</x:f>
        <x:v>1</x:v>
      </x:c>
      <x:c r="O872" s="14" t="str">
        <x:f>IF(E872="","MISSING MAIN",IF(N872=1,"MAIN ONLY","MULTI-PHOTO"))</x:f>
        <x:v>MAIN ONLY</x:v>
      </x:c>
      <x:c r="P872" s="14" t="str">
        <x:v>0985_</x:v>
      </x:c>
      <x:c r="Q872" s="14" t="str">
        <x:v>https://mb1advancedsolutions.github.io/mb1-catalog/index.html?design=0985</x:v>
      </x:c>
      <x:c r="R872" s="14" t="str"/>
    </x:row>
    <x:row r="873">
      <x:c r="A873" s="13" t="str">
        <x:v>MB1-0986</x:v>
      </x:c>
      <x:c r="B873" s="13" t="str">
        <x:v>MB1-0986</x:v>
      </x:c>
      <x:c r="C873" s="14" t="str">
        <x:v>Lady Liberty</x:v>
      </x:c>
      <x:c r="D873" s="14" t="str">
        <x:v>seasonal and holiday</x:v>
      </x:c>
      <x:c r="E873" s="14" t="str">
        <x:v>https://res.cloudinary.com/oxygre42/image/upload/f_auto,q_auto,c_pad,b_white,w_1200,h_1200/v1788350436/0986_Lady_Liberty.png</x:v>
      </x:c>
      <x:c r="F873" s="14" t="str"/>
      <x:c r="G873" s="14" t="str">
        <x:v>Lifestyle</x:v>
      </x:c>
      <x:c r="H873" s="14" t="str"/>
      <x:c r="I873" s="14" t="str">
        <x:v>Detail</x:v>
      </x:c>
      <x:c r="J873" s="14" t="str"/>
      <x:c r="K873" s="14" t="str">
        <x:v>Scale</x:v>
      </x:c>
      <x:c r="L873" s="14" t="str"/>
      <x:c r="M873" s="14" t="str">
        <x:v>Alternate</x:v>
      </x:c>
      <x:c r="N873" s="14" t="n">
        <x:f>IF(E873&lt;&gt;"",1,0)+IF(F873&lt;&gt;"",1,0)+IF(H873&lt;&gt;"",1,0)+IF(J873&lt;&gt;"",1,0)+IF(L873&lt;&gt;"",1,0)</x:f>
        <x:v>1</x:v>
      </x:c>
      <x:c r="O873" s="14" t="str">
        <x:f>IF(E873="","MISSING MAIN",IF(N873=1,"MAIN ONLY","MULTI-PHOTO"))</x:f>
        <x:v>MAIN ONLY</x:v>
      </x:c>
      <x:c r="P873" s="14" t="str">
        <x:v>0986_</x:v>
      </x:c>
      <x:c r="Q873" s="14" t="str">
        <x:v>https://mb1advancedsolutions.github.io/mb1-catalog/index.html?design=0986</x:v>
      </x:c>
      <x:c r="R873" s="14" t="str"/>
    </x:row>
    <x:row r="874">
      <x:c r="A874" s="13" t="str">
        <x:v>MB1-0987</x:v>
      </x:c>
      <x:c r="B874" s="13" t="str">
        <x:v>MB1-0987</x:v>
      </x:c>
      <x:c r="C874" s="14" t="str">
        <x:v>Las Vegas Poker Chip and Dice</x:v>
      </x:c>
      <x:c r="D874" s="14" t="str">
        <x:v>sports and hobbies</x:v>
      </x:c>
      <x:c r="E874" s="14" t="str">
        <x:v>https://res.cloudinary.com/oxygre42/image/upload/f_auto,q_auto,c_pad,b_white,w_1200,h_1200/v1788350438/0987_Las_Vegas_Poker_Chip_and_Dice.png</x:v>
      </x:c>
      <x:c r="F874" s="14" t="str"/>
      <x:c r="G874" s="14" t="str">
        <x:v>Lifestyle</x:v>
      </x:c>
      <x:c r="H874" s="14" t="str"/>
      <x:c r="I874" s="14" t="str">
        <x:v>Detail</x:v>
      </x:c>
      <x:c r="J874" s="14" t="str"/>
      <x:c r="K874" s="14" t="str">
        <x:v>Scale</x:v>
      </x:c>
      <x:c r="L874" s="14" t="str"/>
      <x:c r="M874" s="14" t="str">
        <x:v>Alternate</x:v>
      </x:c>
      <x:c r="N874" s="14" t="n">
        <x:f>IF(E874&lt;&gt;"",1,0)+IF(F874&lt;&gt;"",1,0)+IF(H874&lt;&gt;"",1,0)+IF(J874&lt;&gt;"",1,0)+IF(L874&lt;&gt;"",1,0)</x:f>
        <x:v>1</x:v>
      </x:c>
      <x:c r="O874" s="14" t="str">
        <x:f>IF(E874="","MISSING MAIN",IF(N874=1,"MAIN ONLY","MULTI-PHOTO"))</x:f>
        <x:v>MAIN ONLY</x:v>
      </x:c>
      <x:c r="P874" s="14" t="str">
        <x:v>0987_</x:v>
      </x:c>
      <x:c r="Q874" s="14" t="str">
        <x:v>https://mb1advancedsolutions.github.io/mb1-catalog/index.html?design=0987</x:v>
      </x:c>
      <x:c r="R874" s="14" t="str"/>
    </x:row>
    <x:row r="875">
      <x:c r="A875" s="13" t="str">
        <x:v>MB1-0988</x:v>
      </x:c>
      <x:c r="B875" s="13" t="str">
        <x:v>MB1-0988</x:v>
      </x:c>
      <x:c r="C875" s="14" t="str">
        <x:v>Laundry Loads of Fun</x:v>
      </x:c>
      <x:c r="D875" s="14" t="str">
        <x:v>home decor and inspirational</x:v>
      </x:c>
      <x:c r="E875" s="14" t="str">
        <x:v>https://res.cloudinary.com/oxygre42/image/upload/f_auto,q_auto,c_pad,b_white,w_1200,h_1200/v1788350439/0988_Laundry_Loads_of_Fun.png</x:v>
      </x:c>
      <x:c r="F875" s="14" t="str"/>
      <x:c r="G875" s="14" t="str">
        <x:v>Lifestyle</x:v>
      </x:c>
      <x:c r="H875" s="14" t="str"/>
      <x:c r="I875" s="14" t="str">
        <x:v>Detail</x:v>
      </x:c>
      <x:c r="J875" s="14" t="str"/>
      <x:c r="K875" s="14" t="str">
        <x:v>Scale</x:v>
      </x:c>
      <x:c r="L875" s="14" t="str"/>
      <x:c r="M875" s="14" t="str">
        <x:v>Alternate</x:v>
      </x:c>
      <x:c r="N875" s="14" t="n">
        <x:f>IF(E875&lt;&gt;"",1,0)+IF(F875&lt;&gt;"",1,0)+IF(H875&lt;&gt;"",1,0)+IF(J875&lt;&gt;"",1,0)+IF(L875&lt;&gt;"",1,0)</x:f>
        <x:v>1</x:v>
      </x:c>
      <x:c r="O875" s="14" t="str">
        <x:f>IF(E875="","MISSING MAIN",IF(N875=1,"MAIN ONLY","MULTI-PHOTO"))</x:f>
        <x:v>MAIN ONLY</x:v>
      </x:c>
      <x:c r="P875" s="14" t="str">
        <x:v>0988_</x:v>
      </x:c>
      <x:c r="Q875" s="14" t="str">
        <x:v>https://mb1advancedsolutions.github.io/mb1-catalog/index.html?design=0988</x:v>
      </x:c>
      <x:c r="R875" s="14" t="str"/>
    </x:row>
    <x:row r="876">
      <x:c r="A876" s="13" t="str">
        <x:v>MB1-0989</x:v>
      </x:c>
      <x:c r="B876" s="13" t="str">
        <x:v>MB1-0989</x:v>
      </x:c>
      <x:c r="C876" s="14" t="str">
        <x:v>Laundry room dirty duds</x:v>
      </x:c>
      <x:c r="D876" s="14" t="str">
        <x:v>home decor and inspirational</x:v>
      </x:c>
      <x:c r="E876" s="14" t="str">
        <x:v>https://res.cloudinary.com/oxygre42/image/upload/f_auto,q_auto,c_pad,b_white,w_1200,h_1200/v1788350441/0989_Laundry_room_dirty_duds.png</x:v>
      </x:c>
      <x:c r="F876" s="14" t="str"/>
      <x:c r="G876" s="14" t="str">
        <x:v>Lifestyle</x:v>
      </x:c>
      <x:c r="H876" s="14" t="str"/>
      <x:c r="I876" s="14" t="str">
        <x:v>Detail</x:v>
      </x:c>
      <x:c r="J876" s="14" t="str"/>
      <x:c r="K876" s="14" t="str">
        <x:v>Scale</x:v>
      </x:c>
      <x:c r="L876" s="14" t="str"/>
      <x:c r="M876" s="14" t="str">
        <x:v>Alternate</x:v>
      </x:c>
      <x:c r="N876" s="14" t="n">
        <x:f>IF(E876&lt;&gt;"",1,0)+IF(F876&lt;&gt;"",1,0)+IF(H876&lt;&gt;"",1,0)+IF(J876&lt;&gt;"",1,0)+IF(L876&lt;&gt;"",1,0)</x:f>
        <x:v>1</x:v>
      </x:c>
      <x:c r="O876" s="14" t="str">
        <x:f>IF(E876="","MISSING MAIN",IF(N876=1,"MAIN ONLY","MULTI-PHOTO"))</x:f>
        <x:v>MAIN ONLY</x:v>
      </x:c>
      <x:c r="P876" s="14" t="str">
        <x:v>0989_</x:v>
      </x:c>
      <x:c r="Q876" s="14" t="str">
        <x:v>https://mb1advancedsolutions.github.io/mb1-catalog/index.html?design=0989</x:v>
      </x:c>
      <x:c r="R876" s="14" t="str"/>
    </x:row>
    <x:row r="877">
      <x:c r="A877" s="13" t="str">
        <x:v>MB1-0990</x:v>
      </x:c>
      <x:c r="B877" s="13" t="str">
        <x:v>MB1-0990</x:v>
      </x:c>
      <x:c r="C877" s="14" t="str">
        <x:v>Let_s Eat</x:v>
      </x:c>
      <x:c r="D877" s="14" t="str">
        <x:v>home decor and inspirational</x:v>
      </x:c>
      <x:c r="E877" s="14" t="str">
        <x:v>https://res.cloudinary.com/oxygre42/image/upload/f_auto,q_auto,c_pad,b_white,w_1200,h_1200/v1788350443/0990_Let_s_Eat.png</x:v>
      </x:c>
      <x:c r="F877" s="14" t="str"/>
      <x:c r="G877" s="14" t="str">
        <x:v>Lifestyle</x:v>
      </x:c>
      <x:c r="H877" s="14" t="str"/>
      <x:c r="I877" s="14" t="str">
        <x:v>Detail</x:v>
      </x:c>
      <x:c r="J877" s="14" t="str"/>
      <x:c r="K877" s="14" t="str">
        <x:v>Scale</x:v>
      </x:c>
      <x:c r="L877" s="14" t="str"/>
      <x:c r="M877" s="14" t="str">
        <x:v>Alternate</x:v>
      </x:c>
      <x:c r="N877" s="14" t="n">
        <x:f>IF(E877&lt;&gt;"",1,0)+IF(F877&lt;&gt;"",1,0)+IF(H877&lt;&gt;"",1,0)+IF(J877&lt;&gt;"",1,0)+IF(L877&lt;&gt;"",1,0)</x:f>
        <x:v>1</x:v>
      </x:c>
      <x:c r="O877" s="14" t="str">
        <x:f>IF(E877="","MISSING MAIN",IF(N877=1,"MAIN ONLY","MULTI-PHOTO"))</x:f>
        <x:v>MAIN ONLY</x:v>
      </x:c>
      <x:c r="P877" s="14" t="str">
        <x:v>0990_</x:v>
      </x:c>
      <x:c r="Q877" s="14" t="str">
        <x:v>https://mb1advancedsolutions.github.io/mb1-catalog/index.html?design=0990</x:v>
      </x:c>
      <x:c r="R877" s="14" t="str"/>
    </x:row>
    <x:row r="878">
      <x:c r="A878" s="13" t="str">
        <x:v>MB1-0991</x:v>
      </x:c>
      <x:c r="B878" s="13" t="str">
        <x:v>MB1-0991</x:v>
      </x:c>
      <x:c r="C878" s="14" t="str">
        <x:v>Life gives you lemons</x:v>
      </x:c>
      <x:c r="D878" s="14" t="str">
        <x:v>home decor and inspirational</x:v>
      </x:c>
      <x:c r="E878" s="14" t="str">
        <x:v>https://res.cloudinary.com/oxygre42/image/upload/f_auto,q_auto,c_pad,b_white,w_1200,h_1200/v1788350445/0991_Life_gives_you_lemons.png</x:v>
      </x:c>
      <x:c r="F878" s="14" t="str"/>
      <x:c r="G878" s="14" t="str">
        <x:v>Lifestyle</x:v>
      </x:c>
      <x:c r="H878" s="14" t="str"/>
      <x:c r="I878" s="14" t="str">
        <x:v>Detail</x:v>
      </x:c>
      <x:c r="J878" s="14" t="str"/>
      <x:c r="K878" s="14" t="str">
        <x:v>Scale</x:v>
      </x:c>
      <x:c r="L878" s="14" t="str"/>
      <x:c r="M878" s="14" t="str">
        <x:v>Alternate</x:v>
      </x:c>
      <x:c r="N878" s="14" t="n">
        <x:f>IF(E878&lt;&gt;"",1,0)+IF(F878&lt;&gt;"",1,0)+IF(H878&lt;&gt;"",1,0)+IF(J878&lt;&gt;"",1,0)+IF(L878&lt;&gt;"",1,0)</x:f>
        <x:v>1</x:v>
      </x:c>
      <x:c r="O878" s="14" t="str">
        <x:f>IF(E878="","MISSING MAIN",IF(N878=1,"MAIN ONLY","MULTI-PHOTO"))</x:f>
        <x:v>MAIN ONLY</x:v>
      </x:c>
      <x:c r="P878" s="14" t="str">
        <x:v>0991_</x:v>
      </x:c>
      <x:c r="Q878" s="14" t="str">
        <x:v>https://mb1advancedsolutions.github.io/mb1-catalog/index.html?design=0991</x:v>
      </x:c>
      <x:c r="R878" s="14" t="str"/>
    </x:row>
    <x:row r="879">
      <x:c r="A879" s="13" t="str">
        <x:v>MB1-0992</x:v>
      </x:c>
      <x:c r="B879" s="13" t="str">
        <x:v>MB1-0992</x:v>
      </x:c>
      <x:c r="C879" s="14" t="str">
        <x:v>Lifes a beach surf board</x:v>
      </x:c>
      <x:c r="D879" s="14" t="str">
        <x:v>beach and coastal</x:v>
      </x:c>
      <x:c r="E879" s="14" t="str">
        <x:v>https://res.cloudinary.com/oxygre42/image/upload/f_auto,q_auto,c_pad,b_white,w_1200,h_1200/v1788350447/0992_Lifes_a_beach_surf_board.png</x:v>
      </x:c>
      <x:c r="F879" s="14" t="str"/>
      <x:c r="G879" s="14" t="str">
        <x:v>Lifestyle</x:v>
      </x:c>
      <x:c r="H879" s="14" t="str"/>
      <x:c r="I879" s="14" t="str">
        <x:v>Detail</x:v>
      </x:c>
      <x:c r="J879" s="14" t="str"/>
      <x:c r="K879" s="14" t="str">
        <x:v>Scale</x:v>
      </x:c>
      <x:c r="L879" s="14" t="str"/>
      <x:c r="M879" s="14" t="str">
        <x:v>Alternate</x:v>
      </x:c>
      <x:c r="N879" s="14" t="n">
        <x:f>IF(E879&lt;&gt;"",1,0)+IF(F879&lt;&gt;"",1,0)+IF(H879&lt;&gt;"",1,0)+IF(J879&lt;&gt;"",1,0)+IF(L879&lt;&gt;"",1,0)</x:f>
        <x:v>1</x:v>
      </x:c>
      <x:c r="O879" s="14" t="str">
        <x:f>IF(E879="","MISSING MAIN",IF(N879=1,"MAIN ONLY","MULTI-PHOTO"))</x:f>
        <x:v>MAIN ONLY</x:v>
      </x:c>
      <x:c r="P879" s="14" t="str">
        <x:v>0992_</x:v>
      </x:c>
      <x:c r="Q879" s="14" t="str">
        <x:v>https://mb1advancedsolutions.github.io/mb1-catalog/index.html?design=0992</x:v>
      </x:c>
      <x:c r="R879" s="14" t="str"/>
    </x:row>
    <x:row r="880">
      <x:c r="A880" s="13" t="str">
        <x:v>MB1-0994</x:v>
      </x:c>
      <x:c r="B880" s="13" t="str">
        <x:v>MB1-0994</x:v>
      </x:c>
      <x:c r="C880" s="14" t="str">
        <x:v>Lineman Electrician skull</x:v>
      </x:c>
      <x:c r="D880" s="14" t="str">
        <x:v>garage and workshop</x:v>
      </x:c>
      <x:c r="E880" s="14" t="str">
        <x:v>https://res.cloudinary.com/oxygre42/image/upload/f_auto,q_auto,c_pad,b_white,w_1200,h_1200/v1788350449/0994_Lineman_Electrician_skull.png</x:v>
      </x:c>
      <x:c r="F880" s="14" t="str"/>
      <x:c r="G880" s="14" t="str">
        <x:v>Lifestyle</x:v>
      </x:c>
      <x:c r="H880" s="14" t="str"/>
      <x:c r="I880" s="14" t="str">
        <x:v>Detail</x:v>
      </x:c>
      <x:c r="J880" s="14" t="str"/>
      <x:c r="K880" s="14" t="str">
        <x:v>Scale</x:v>
      </x:c>
      <x:c r="L880" s="14" t="str"/>
      <x:c r="M880" s="14" t="str">
        <x:v>Alternate</x:v>
      </x:c>
      <x:c r="N880" s="14" t="n">
        <x:f>IF(E880&lt;&gt;"",1,0)+IF(F880&lt;&gt;"",1,0)+IF(H880&lt;&gt;"",1,0)+IF(J880&lt;&gt;"",1,0)+IF(L880&lt;&gt;"",1,0)</x:f>
        <x:v>1</x:v>
      </x:c>
      <x:c r="O880" s="14" t="str">
        <x:f>IF(E880="","MISSING MAIN",IF(N880=1,"MAIN ONLY","MULTI-PHOTO"))</x:f>
        <x:v>MAIN ONLY</x:v>
      </x:c>
      <x:c r="P880" s="14" t="str">
        <x:v>0994_</x:v>
      </x:c>
      <x:c r="Q880" s="14" t="str">
        <x:v>https://mb1advancedsolutions.github.io/mb1-catalog/index.html?design=0994</x:v>
      </x:c>
      <x:c r="R880" s="14" t="str"/>
    </x:row>
    <x:row r="881">
      <x:c r="A881" s="13" t="str">
        <x:v>MB1-0995</x:v>
      </x:c>
      <x:c r="B881" s="13" t="str">
        <x:v>MB1-0995</x:v>
      </x:c>
      <x:c r="C881" s="14" t="str">
        <x:v>Lion Head</x:v>
      </x:c>
      <x:c r="D881" s="14" t="str">
        <x:v>wildlife and outdoors</x:v>
      </x:c>
      <x:c r="E881" s="14" t="str">
        <x:v>https://res.cloudinary.com/oxygre42/image/upload/f_auto,q_auto,c_pad,b_white,w_1200,h_1200/v1788350451/0995_Lion_Head.png</x:v>
      </x:c>
      <x:c r="F881" s="14" t="str"/>
      <x:c r="G881" s="14" t="str">
        <x:v>Lifestyle</x:v>
      </x:c>
      <x:c r="H881" s="14" t="str"/>
      <x:c r="I881" s="14" t="str">
        <x:v>Detail</x:v>
      </x:c>
      <x:c r="J881" s="14" t="str"/>
      <x:c r="K881" s="14" t="str">
        <x:v>Scale</x:v>
      </x:c>
      <x:c r="L881" s="14" t="str"/>
      <x:c r="M881" s="14" t="str">
        <x:v>Alternate</x:v>
      </x:c>
      <x:c r="N881" s="14" t="n">
        <x:f>IF(E881&lt;&gt;"",1,0)+IF(F881&lt;&gt;"",1,0)+IF(H881&lt;&gt;"",1,0)+IF(J881&lt;&gt;"",1,0)+IF(L881&lt;&gt;"",1,0)</x:f>
        <x:v>1</x:v>
      </x:c>
      <x:c r="O881" s="14" t="str">
        <x:f>IF(E881="","MISSING MAIN",IF(N881=1,"MAIN ONLY","MULTI-PHOTO"))</x:f>
        <x:v>MAIN ONLY</x:v>
      </x:c>
      <x:c r="P881" s="14" t="str">
        <x:v>0995_</x:v>
      </x:c>
      <x:c r="Q881" s="14" t="str">
        <x:v>https://mb1advancedsolutions.github.io/mb1-catalog/index.html?design=0995</x:v>
      </x:c>
      <x:c r="R881" s="14" t="str"/>
    </x:row>
    <x:row r="882">
      <x:c r="A882" s="13" t="str">
        <x:v>MB1-0996</x:v>
      </x:c>
      <x:c r="B882" s="13" t="str">
        <x:v>MB1-0996</x:v>
      </x:c>
      <x:c r="C882" s="14" t="str">
        <x:v>Live laugh poop</x:v>
      </x:c>
      <x:c r="D882" s="14" t="str">
        <x:v>home decor and inspirational</x:v>
      </x:c>
      <x:c r="E882" s="14" t="str">
        <x:v>https://res.cloudinary.com/oxygre42/image/upload/f_auto,q_auto,c_pad,b_white,w_1200,h_1200/v1788350453/0996_Live_laugh_poop.png</x:v>
      </x:c>
      <x:c r="F882" s="14" t="str"/>
      <x:c r="G882" s="14" t="str">
        <x:v>Lifestyle</x:v>
      </x:c>
      <x:c r="H882" s="14" t="str"/>
      <x:c r="I882" s="14" t="str">
        <x:v>Detail</x:v>
      </x:c>
      <x:c r="J882" s="14" t="str"/>
      <x:c r="K882" s="14" t="str">
        <x:v>Scale</x:v>
      </x:c>
      <x:c r="L882" s="14" t="str"/>
      <x:c r="M882" s="14" t="str">
        <x:v>Alternate</x:v>
      </x:c>
      <x:c r="N882" s="14" t="n">
        <x:f>IF(E882&lt;&gt;"",1,0)+IF(F882&lt;&gt;"",1,0)+IF(H882&lt;&gt;"",1,0)+IF(J882&lt;&gt;"",1,0)+IF(L882&lt;&gt;"",1,0)</x:f>
        <x:v>1</x:v>
      </x:c>
      <x:c r="O882" s="14" t="str">
        <x:f>IF(E882="","MISSING MAIN",IF(N882=1,"MAIN ONLY","MULTI-PHOTO"))</x:f>
        <x:v>MAIN ONLY</x:v>
      </x:c>
      <x:c r="P882" s="14" t="str">
        <x:v>0996_</x:v>
      </x:c>
      <x:c r="Q882" s="14" t="str">
        <x:v>https://mb1advancedsolutions.github.io/mb1-catalog/index.html?design=0996</x:v>
      </x:c>
      <x:c r="R882" s="14" t="str"/>
    </x:row>
    <x:row r="883">
      <x:c r="A883" s="13" t="str">
        <x:v>MB1-0997</x:v>
      </x:c>
      <x:c r="B883" s="13" t="str">
        <x:v>MB1-0997</x:v>
      </x:c>
      <x:c r="C883" s="14" t="str">
        <x:v>Love 420</x:v>
      </x:c>
      <x:c r="D883" s="14" t="str">
        <x:v>home decor and inspirational</x:v>
      </x:c>
      <x:c r="E883" s="14" t="str">
        <x:v>https://res.cloudinary.com/oxygre42/image/upload/f_auto,q_auto,c_pad,b_white,w_1200,h_1200/v1788350454/0997_Love_420.png</x:v>
      </x:c>
      <x:c r="F883" s="14" t="str"/>
      <x:c r="G883" s="14" t="str">
        <x:v>Lifestyle</x:v>
      </x:c>
      <x:c r="H883" s="14" t="str"/>
      <x:c r="I883" s="14" t="str">
        <x:v>Detail</x:v>
      </x:c>
      <x:c r="J883" s="14" t="str"/>
      <x:c r="K883" s="14" t="str">
        <x:v>Scale</x:v>
      </x:c>
      <x:c r="L883" s="14" t="str"/>
      <x:c r="M883" s="14" t="str">
        <x:v>Alternate</x:v>
      </x:c>
      <x:c r="N883" s="14" t="n">
        <x:f>IF(E883&lt;&gt;"",1,0)+IF(F883&lt;&gt;"",1,0)+IF(H883&lt;&gt;"",1,0)+IF(J883&lt;&gt;"",1,0)+IF(L883&lt;&gt;"",1,0)</x:f>
        <x:v>1</x:v>
      </x:c>
      <x:c r="O883" s="14" t="str">
        <x:f>IF(E883="","MISSING MAIN",IF(N883=1,"MAIN ONLY","MULTI-PHOTO"))</x:f>
        <x:v>MAIN ONLY</x:v>
      </x:c>
      <x:c r="P883" s="14" t="str">
        <x:v>0997_</x:v>
      </x:c>
      <x:c r="Q883" s="14" t="str">
        <x:v>https://mb1advancedsolutions.github.io/mb1-catalog/index.html?design=0997</x:v>
      </x:c>
      <x:c r="R883" s="14" t="str"/>
    </x:row>
    <x:row r="884">
      <x:c r="A884" s="13" t="str">
        <x:v>MB1-0998</x:v>
      </x:c>
      <x:c r="B884" s="13" t="str">
        <x:v>MB1-0998</x:v>
      </x:c>
      <x:c r="C884" s="14" t="str">
        <x:v>Machinist Skull</x:v>
      </x:c>
      <x:c r="D884" s="14" t="str">
        <x:v>garage and workshop</x:v>
      </x:c>
      <x:c r="E884" s="14" t="str">
        <x:v>https://res.cloudinary.com/oxygre42/image/upload/f_auto,q_auto,c_pad,b_white,w_1200,h_1200/v1788350456/0998_Machinist_Skull.png</x:v>
      </x:c>
      <x:c r="F884" s="14" t="str"/>
      <x:c r="G884" s="14" t="str">
        <x:v>Lifestyle</x:v>
      </x:c>
      <x:c r="H884" s="14" t="str"/>
      <x:c r="I884" s="14" t="str">
        <x:v>Detail</x:v>
      </x:c>
      <x:c r="J884" s="14" t="str"/>
      <x:c r="K884" s="14" t="str">
        <x:v>Scale</x:v>
      </x:c>
      <x:c r="L884" s="14" t="str"/>
      <x:c r="M884" s="14" t="str">
        <x:v>Alternate</x:v>
      </x:c>
      <x:c r="N884" s="14" t="n">
        <x:f>IF(E884&lt;&gt;"",1,0)+IF(F884&lt;&gt;"",1,0)+IF(H884&lt;&gt;"",1,0)+IF(J884&lt;&gt;"",1,0)+IF(L884&lt;&gt;"",1,0)</x:f>
        <x:v>1</x:v>
      </x:c>
      <x:c r="O884" s="14" t="str">
        <x:f>IF(E884="","MISSING MAIN",IF(N884=1,"MAIN ONLY","MULTI-PHOTO"))</x:f>
        <x:v>MAIN ONLY</x:v>
      </x:c>
      <x:c r="P884" s="14" t="str">
        <x:v>0998_</x:v>
      </x:c>
      <x:c r="Q884" s="14" t="str">
        <x:v>https://mb1advancedsolutions.github.io/mb1-catalog/index.html?design=0998</x:v>
      </x:c>
      <x:c r="R884" s="14" t="str"/>
    </x:row>
    <x:row r="885">
      <x:c r="A885" s="13" t="str">
        <x:v>MB1-1000</x:v>
      </x:c>
      <x:c r="B885" s="13" t="str">
        <x:v>MB1-1000</x:v>
      </x:c>
      <x:c r="C885" s="14" t="str">
        <x:v>Man Cave Poker Chip and Dice</x:v>
      </x:c>
      <x:c r="D885" s="14" t="str">
        <x:v>sports and hobbies</x:v>
      </x:c>
      <x:c r="E885" s="14" t="str">
        <x:v>https://res.cloudinary.com/oxygre42/image/upload/f_auto,q_auto,c_pad,b_white,w_1200,h_1200/v1788350460/1000_Man_Cave_Poker_Chip_and_Dice.png</x:v>
      </x:c>
      <x:c r="F885" s="14" t="str"/>
      <x:c r="G885" s="14" t="str">
        <x:v>Lifestyle</x:v>
      </x:c>
      <x:c r="H885" s="14" t="str"/>
      <x:c r="I885" s="14" t="str">
        <x:v>Detail</x:v>
      </x:c>
      <x:c r="J885" s="14" t="str"/>
      <x:c r="K885" s="14" t="str">
        <x:v>Scale</x:v>
      </x:c>
      <x:c r="L885" s="14" t="str"/>
      <x:c r="M885" s="14" t="str">
        <x:v>Alternate</x:v>
      </x:c>
      <x:c r="N885" s="14" t="n">
        <x:f>IF(E885&lt;&gt;"",1,0)+IF(F885&lt;&gt;"",1,0)+IF(H885&lt;&gt;"",1,0)+IF(J885&lt;&gt;"",1,0)+IF(L885&lt;&gt;"",1,0)</x:f>
        <x:v>1</x:v>
      </x:c>
      <x:c r="O885" s="14" t="str">
        <x:f>IF(E885="","MISSING MAIN",IF(N885=1,"MAIN ONLY","MULTI-PHOTO"))</x:f>
        <x:v>MAIN ONLY</x:v>
      </x:c>
      <x:c r="P885" s="14" t="str">
        <x:v>1000_</x:v>
      </x:c>
      <x:c r="Q885" s="14" t="str">
        <x:v>https://mb1advancedsolutions.github.io/mb1-catalog/index.html?design=1000</x:v>
      </x:c>
      <x:c r="R885" s="14" t="str"/>
    </x:row>
    <x:row r="886">
      <x:c r="A886" s="13" t="str">
        <x:v>MB1-1001</x:v>
      </x:c>
      <x:c r="B886" s="13" t="str">
        <x:v>MB1-1001</x:v>
      </x:c>
      <x:c r="C886" s="14" t="str">
        <x:v>Man Cave Saw blade</x:v>
      </x:c>
      <x:c r="D886" s="14" t="str">
        <x:v>home decor and inspirational</x:v>
      </x:c>
      <x:c r="E886" s="14" t="str">
        <x:v>https://res.cloudinary.com/oxygre42/image/upload/f_auto,q_auto,c_pad,b_white,w_1200,h_1200/v1788350462/1001_Man_Cave_Saw_blade.jpg</x:v>
      </x:c>
      <x:c r="F886" s="14" t="str"/>
      <x:c r="G886" s="14" t="str">
        <x:v>Lifestyle</x:v>
      </x:c>
      <x:c r="H886" s="14" t="str"/>
      <x:c r="I886" s="14" t="str">
        <x:v>Detail</x:v>
      </x:c>
      <x:c r="J886" s="14" t="str"/>
      <x:c r="K886" s="14" t="str">
        <x:v>Scale</x:v>
      </x:c>
      <x:c r="L886" s="14" t="str"/>
      <x:c r="M886" s="14" t="str">
        <x:v>Alternate</x:v>
      </x:c>
      <x:c r="N886" s="14" t="n">
        <x:f>IF(E886&lt;&gt;"",1,0)+IF(F886&lt;&gt;"",1,0)+IF(H886&lt;&gt;"",1,0)+IF(J886&lt;&gt;"",1,0)+IF(L886&lt;&gt;"",1,0)</x:f>
        <x:v>1</x:v>
      </x:c>
      <x:c r="O886" s="14" t="str">
        <x:f>IF(E886="","MISSING MAIN",IF(N886=1,"MAIN ONLY","MULTI-PHOTO"))</x:f>
        <x:v>MAIN ONLY</x:v>
      </x:c>
      <x:c r="P886" s="14" t="str">
        <x:v>1001_</x:v>
      </x:c>
      <x:c r="Q886" s="14" t="str">
        <x:v>https://mb1advancedsolutions.github.io/mb1-catalog/index.html?design=1001</x:v>
      </x:c>
      <x:c r="R886" s="14" t="str"/>
    </x:row>
    <x:row r="887">
      <x:c r="A887" s="13" t="str">
        <x:v>MB1-1005</x:v>
      </x:c>
      <x:c r="B887" s="13" t="str">
        <x:v>MB1-1005</x:v>
      </x:c>
      <x:c r="C887" s="14" t="str">
        <x:v>Marlin and Compass</x:v>
      </x:c>
      <x:c r="D887" s="14" t="str">
        <x:v>lake house and nautical</x:v>
      </x:c>
      <x:c r="E887" s="14" t="str">
        <x:v>https://res.cloudinary.com/oxygre42/image/upload/f_auto,q_auto,c_pad,b_white,w_1200,h_1200/v1788350468/1005_Marlin_and_Compass.jpg</x:v>
      </x:c>
      <x:c r="F887" s="14" t="str"/>
      <x:c r="G887" s="14" t="str">
        <x:v>Lifestyle</x:v>
      </x:c>
      <x:c r="H887" s="14" t="str"/>
      <x:c r="I887" s="14" t="str">
        <x:v>Detail</x:v>
      </x:c>
      <x:c r="J887" s="14" t="str"/>
      <x:c r="K887" s="14" t="str">
        <x:v>Scale</x:v>
      </x:c>
      <x:c r="L887" s="14" t="str"/>
      <x:c r="M887" s="14" t="str">
        <x:v>Alternate</x:v>
      </x:c>
      <x:c r="N887" s="14" t="n">
        <x:f>IF(E887&lt;&gt;"",1,0)+IF(F887&lt;&gt;"",1,0)+IF(H887&lt;&gt;"",1,0)+IF(J887&lt;&gt;"",1,0)+IF(L887&lt;&gt;"",1,0)</x:f>
        <x:v>1</x:v>
      </x:c>
      <x:c r="O887" s="14" t="str">
        <x:f>IF(E887="","MISSING MAIN",IF(N887=1,"MAIN ONLY","MULTI-PHOTO"))</x:f>
        <x:v>MAIN ONLY</x:v>
      </x:c>
      <x:c r="P887" s="14" t="str">
        <x:v>1005_</x:v>
      </x:c>
      <x:c r="Q887" s="14" t="str">
        <x:v>https://mb1advancedsolutions.github.io/mb1-catalog/index.html?design=1005</x:v>
      </x:c>
      <x:c r="R887" s="14" t="str"/>
    </x:row>
    <x:row r="888">
      <x:c r="A888" s="13" t="str">
        <x:v>MB1-1006</x:v>
      </x:c>
      <x:c r="B888" s="13" t="str">
        <x:v>MB1-1006</x:v>
      </x:c>
      <x:c r="C888" s="14" t="str">
        <x:v>Mary Jane</x:v>
      </x:c>
      <x:c r="D888" s="14" t="str">
        <x:v>home decor and inspirational</x:v>
      </x:c>
      <x:c r="E888" s="14" t="str">
        <x:v>https://res.cloudinary.com/oxygre42/image/upload/f_auto,q_auto,c_pad,b_white,w_1200,h_1200/v1788350469/1006_Mary_Jane.png</x:v>
      </x:c>
      <x:c r="F888" s="14" t="str"/>
      <x:c r="G888" s="14" t="str">
        <x:v>Lifestyle</x:v>
      </x:c>
      <x:c r="H888" s="14" t="str"/>
      <x:c r="I888" s="14" t="str">
        <x:v>Detail</x:v>
      </x:c>
      <x:c r="J888" s="14" t="str"/>
      <x:c r="K888" s="14" t="str">
        <x:v>Scale</x:v>
      </x:c>
      <x:c r="L888" s="14" t="str"/>
      <x:c r="M888" s="14" t="str">
        <x:v>Alternate</x:v>
      </x:c>
      <x:c r="N888" s="14" t="n">
        <x:f>IF(E888&lt;&gt;"",1,0)+IF(F888&lt;&gt;"",1,0)+IF(H888&lt;&gt;"",1,0)+IF(J888&lt;&gt;"",1,0)+IF(L888&lt;&gt;"",1,0)</x:f>
        <x:v>1</x:v>
      </x:c>
      <x:c r="O888" s="14" t="str">
        <x:f>IF(E888="","MISSING MAIN",IF(N888=1,"MAIN ONLY","MULTI-PHOTO"))</x:f>
        <x:v>MAIN ONLY</x:v>
      </x:c>
      <x:c r="P888" s="14" t="str">
        <x:v>1006_</x:v>
      </x:c>
      <x:c r="Q888" s="14" t="str">
        <x:v>https://mb1advancedsolutions.github.io/mb1-catalog/index.html?design=1006</x:v>
      </x:c>
      <x:c r="R888" s="14" t="str"/>
    </x:row>
    <x:row r="889">
      <x:c r="A889" s="13" t="str">
        <x:v>MB1-1007</x:v>
      </x:c>
      <x:c r="B889" s="13" t="str">
        <x:v>MB1-1007</x:v>
      </x:c>
      <x:c r="C889" s="14" t="str">
        <x:v>Mary Janes killer chronic</x:v>
      </x:c>
      <x:c r="D889" s="14" t="str">
        <x:v>home decor and inspirational</x:v>
      </x:c>
      <x:c r="E889" s="14" t="str">
        <x:v>https://res.cloudinary.com/oxygre42/image/upload/f_auto,q_auto,c_pad,b_white,w_1200,h_1200/v1788350471/1007_Mary_Janes_killer_chronic.png</x:v>
      </x:c>
      <x:c r="F889" s="14" t="str"/>
      <x:c r="G889" s="14" t="str">
        <x:v>Lifestyle</x:v>
      </x:c>
      <x:c r="H889" s="14" t="str"/>
      <x:c r="I889" s="14" t="str">
        <x:v>Detail</x:v>
      </x:c>
      <x:c r="J889" s="14" t="str"/>
      <x:c r="K889" s="14" t="str">
        <x:v>Scale</x:v>
      </x:c>
      <x:c r="L889" s="14" t="str"/>
      <x:c r="M889" s="14" t="str">
        <x:v>Alternate</x:v>
      </x:c>
      <x:c r="N889" s="14" t="n">
        <x:f>IF(E889&lt;&gt;"",1,0)+IF(F889&lt;&gt;"",1,0)+IF(H889&lt;&gt;"",1,0)+IF(J889&lt;&gt;"",1,0)+IF(L889&lt;&gt;"",1,0)</x:f>
        <x:v>1</x:v>
      </x:c>
      <x:c r="O889" s="14" t="str">
        <x:f>IF(E889="","MISSING MAIN",IF(N889=1,"MAIN ONLY","MULTI-PHOTO"))</x:f>
        <x:v>MAIN ONLY</x:v>
      </x:c>
      <x:c r="P889" s="14" t="str">
        <x:v>1007_</x:v>
      </x:c>
      <x:c r="Q889" s="14" t="str">
        <x:v>https://mb1advancedsolutions.github.io/mb1-catalog/index.html?design=1007</x:v>
      </x:c>
      <x:c r="R889" s="14" t="str"/>
    </x:row>
    <x:row r="890">
      <x:c r="A890" s="13" t="str">
        <x:v>MB1-1008</x:v>
      </x:c>
      <x:c r="B890" s="13" t="str">
        <x:v>MB1-1008</x:v>
      </x:c>
      <x:c r="C890" s="14" t="str">
        <x:v>Mechanic</x:v>
      </x:c>
      <x:c r="D890" s="14" t="str">
        <x:v>garage and workshop</x:v>
      </x:c>
      <x:c r="E890" s="14" t="str">
        <x:v>https://res.cloudinary.com/oxygre42/image/upload/f_auto,q_auto,c_pad,b_white,w_1200,h_1200/v1788350473/1008_Mechanic.png</x:v>
      </x:c>
      <x:c r="F890" s="14" t="str"/>
      <x:c r="G890" s="14" t="str">
        <x:v>Lifestyle</x:v>
      </x:c>
      <x:c r="H890" s="14" t="str"/>
      <x:c r="I890" s="14" t="str">
        <x:v>Detail</x:v>
      </x:c>
      <x:c r="J890" s="14" t="str"/>
      <x:c r="K890" s="14" t="str">
        <x:v>Scale</x:v>
      </x:c>
      <x:c r="L890" s="14" t="str"/>
      <x:c r="M890" s="14" t="str">
        <x:v>Alternate</x:v>
      </x:c>
      <x:c r="N890" s="14" t="n">
        <x:f>IF(E890&lt;&gt;"",1,0)+IF(F890&lt;&gt;"",1,0)+IF(H890&lt;&gt;"",1,0)+IF(J890&lt;&gt;"",1,0)+IF(L890&lt;&gt;"",1,0)</x:f>
        <x:v>1</x:v>
      </x:c>
      <x:c r="O890" s="14" t="str">
        <x:f>IF(E890="","MISSING MAIN",IF(N890=1,"MAIN ONLY","MULTI-PHOTO"))</x:f>
        <x:v>MAIN ONLY</x:v>
      </x:c>
      <x:c r="P890" s="14" t="str">
        <x:v>1008_</x:v>
      </x:c>
      <x:c r="Q890" s="14" t="str">
        <x:v>https://mb1advancedsolutions.github.io/mb1-catalog/index.html?design=1008</x:v>
      </x:c>
      <x:c r="R890" s="14" t="str"/>
    </x:row>
    <x:row r="891">
      <x:c r="A891" s="13" t="str">
        <x:v>MB1-1012</x:v>
      </x:c>
      <x:c r="B891" s="13" t="str">
        <x:v>MB1-1012</x:v>
      </x:c>
      <x:c r="C891" s="14" t="str">
        <x:v>Memorial Design Palatino Linotype font</x:v>
      </x:c>
      <x:c r="D891" s="14" t="str">
        <x:v>memorial and tribute</x:v>
      </x:c>
      <x:c r="E891" s="14" t="str">
        <x:v>https://res.cloudinary.com/oxygre42/image/upload/f_auto,q_auto,c_pad,b_white,w_1200,h_1200/v1788350475/1012_Memorial_Design_Palatino_Linotype_font.png</x:v>
      </x:c>
      <x:c r="F891" s="14" t="str"/>
      <x:c r="G891" s="14" t="str">
        <x:v>Lifestyle</x:v>
      </x:c>
      <x:c r="H891" s="14" t="str"/>
      <x:c r="I891" s="14" t="str">
        <x:v>Detail</x:v>
      </x:c>
      <x:c r="J891" s="14" t="str"/>
      <x:c r="K891" s="14" t="str">
        <x:v>Scale</x:v>
      </x:c>
      <x:c r="L891" s="14" t="str"/>
      <x:c r="M891" s="14" t="str">
        <x:v>Alternate</x:v>
      </x:c>
      <x:c r="N891" s="14" t="n">
        <x:f>IF(E891&lt;&gt;"",1,0)+IF(F891&lt;&gt;"",1,0)+IF(H891&lt;&gt;"",1,0)+IF(J891&lt;&gt;"",1,0)+IF(L891&lt;&gt;"",1,0)</x:f>
        <x:v>1</x:v>
      </x:c>
      <x:c r="O891" s="14" t="str">
        <x:f>IF(E891="","MISSING MAIN",IF(N891=1,"MAIN ONLY","MULTI-PHOTO"))</x:f>
        <x:v>MAIN ONLY</x:v>
      </x:c>
      <x:c r="P891" s="14" t="str">
        <x:v>1012_</x:v>
      </x:c>
      <x:c r="Q891" s="14" t="str">
        <x:v>https://mb1advancedsolutions.github.io/mb1-catalog/index.html?design=1012</x:v>
      </x:c>
      <x:c r="R891" s="14" t="str"/>
    </x:row>
    <x:row r="892">
      <x:c r="A892" s="13" t="str">
        <x:v>MB1-1013</x:v>
      </x:c>
      <x:c r="B892" s="13" t="str">
        <x:v>MB1-1013</x:v>
      </x:c>
      <x:c r="C892" s="14" t="str">
        <x:v>Merry Christmas</x:v>
      </x:c>
      <x:c r="D892" s="14" t="str">
        <x:v>seasonal and holiday</x:v>
      </x:c>
      <x:c r="E892" s="14" t="str">
        <x:v>https://res.cloudinary.com/oxygre42/image/upload/f_auto,q_auto,c_pad,b_white,w_1200,h_1200/v1788350477/1013_Merry_Christmas.png</x:v>
      </x:c>
      <x:c r="F892" s="14" t="str"/>
      <x:c r="G892" s="14" t="str">
        <x:v>Lifestyle</x:v>
      </x:c>
      <x:c r="H892" s="14" t="str"/>
      <x:c r="I892" s="14" t="str">
        <x:v>Detail</x:v>
      </x:c>
      <x:c r="J892" s="14" t="str"/>
      <x:c r="K892" s="14" t="str">
        <x:v>Scale</x:v>
      </x:c>
      <x:c r="L892" s="14" t="str"/>
      <x:c r="M892" s="14" t="str">
        <x:v>Alternate</x:v>
      </x:c>
      <x:c r="N892" s="14" t="n">
        <x:f>IF(E892&lt;&gt;"",1,0)+IF(F892&lt;&gt;"",1,0)+IF(H892&lt;&gt;"",1,0)+IF(J892&lt;&gt;"",1,0)+IF(L892&lt;&gt;"",1,0)</x:f>
        <x:v>1</x:v>
      </x:c>
      <x:c r="O892" s="14" t="str">
        <x:f>IF(E892="","MISSING MAIN",IF(N892=1,"MAIN ONLY","MULTI-PHOTO"))</x:f>
        <x:v>MAIN ONLY</x:v>
      </x:c>
      <x:c r="P892" s="14" t="str">
        <x:v>1013_</x:v>
      </x:c>
      <x:c r="Q892" s="14" t="str">
        <x:v>https://mb1advancedsolutions.github.io/mb1-catalog/index.html?design=1013</x:v>
      </x:c>
      <x:c r="R892" s="14" t="str"/>
    </x:row>
    <x:row r="893">
      <x:c r="A893" s="13" t="str">
        <x:v>MB1-1014</x:v>
      </x:c>
      <x:c r="B893" s="13" t="str">
        <x:v>MB1-1014</x:v>
      </x:c>
      <x:c r="C893" s="14" t="str">
        <x:v>Moms She Shed</x:v>
      </x:c>
      <x:c r="D893" s="14" t="str">
        <x:v>home decor and inspirational</x:v>
      </x:c>
      <x:c r="E893" s="14" t="str">
        <x:v>https://res.cloudinary.com/oxygre42/image/upload/f_auto,q_auto,c_pad,b_white,w_1200,h_1200/v1788350479/1014_Moms_She_Shed.png</x:v>
      </x:c>
      <x:c r="F893" s="14" t="str"/>
      <x:c r="G893" s="14" t="str">
        <x:v>Lifestyle</x:v>
      </x:c>
      <x:c r="H893" s="14" t="str"/>
      <x:c r="I893" s="14" t="str">
        <x:v>Detail</x:v>
      </x:c>
      <x:c r="J893" s="14" t="str"/>
      <x:c r="K893" s="14" t="str">
        <x:v>Scale</x:v>
      </x:c>
      <x:c r="L893" s="14" t="str"/>
      <x:c r="M893" s="14" t="str">
        <x:v>Alternate</x:v>
      </x:c>
      <x:c r="N893" s="14" t="n">
        <x:f>IF(E893&lt;&gt;"",1,0)+IF(F893&lt;&gt;"",1,0)+IF(H893&lt;&gt;"",1,0)+IF(J893&lt;&gt;"",1,0)+IF(L893&lt;&gt;"",1,0)</x:f>
        <x:v>1</x:v>
      </x:c>
      <x:c r="O893" s="14" t="str">
        <x:f>IF(E893="","MISSING MAIN",IF(N893=1,"MAIN ONLY","MULTI-PHOTO"))</x:f>
        <x:v>MAIN ONLY</x:v>
      </x:c>
      <x:c r="P893" s="14" t="str">
        <x:v>1014_</x:v>
      </x:c>
      <x:c r="Q893" s="14" t="str">
        <x:v>https://mb1advancedsolutions.github.io/mb1-catalog/index.html?design=1014</x:v>
      </x:c>
      <x:c r="R893" s="14" t="str"/>
    </x:row>
    <x:row r="894">
      <x:c r="A894" s="13" t="str">
        <x:v>MB1-1015</x:v>
      </x:c>
      <x:c r="B894" s="13" t="str">
        <x:v>MB1-1015</x:v>
      </x:c>
      <x:c r="C894" s="14" t="str">
        <x:v>Monogram Mason Jar</x:v>
      </x:c>
      <x:c r="D894" s="14" t="str">
        <x:v>family &amp; name</x:v>
      </x:c>
      <x:c r="E894" s="14" t="str">
        <x:v>https://res.cloudinary.com/oxygre42/image/upload/f_auto,q_auto,c_pad,b_white,w_1200,h_1200/v1788350481/1015_Monogram_Mason_Jar.png</x:v>
      </x:c>
      <x:c r="F894" s="14" t="str"/>
      <x:c r="G894" s="14" t="str">
        <x:v>Lifestyle</x:v>
      </x:c>
      <x:c r="H894" s="14" t="str"/>
      <x:c r="I894" s="14" t="str">
        <x:v>Detail</x:v>
      </x:c>
      <x:c r="J894" s="14" t="str"/>
      <x:c r="K894" s="14" t="str">
        <x:v>Scale</x:v>
      </x:c>
      <x:c r="L894" s="14" t="str"/>
      <x:c r="M894" s="14" t="str">
        <x:v>Alternate</x:v>
      </x:c>
      <x:c r="N894" s="14" t="n">
        <x:f>IF(E894&lt;&gt;"",1,0)+IF(F894&lt;&gt;"",1,0)+IF(H894&lt;&gt;"",1,0)+IF(J894&lt;&gt;"",1,0)+IF(L894&lt;&gt;"",1,0)</x:f>
        <x:v>1</x:v>
      </x:c>
      <x:c r="O894" s="14" t="str">
        <x:f>IF(E894="","MISSING MAIN",IF(N894=1,"MAIN ONLY","MULTI-PHOTO"))</x:f>
        <x:v>MAIN ONLY</x:v>
      </x:c>
      <x:c r="P894" s="14" t="str">
        <x:v>1015_</x:v>
      </x:c>
      <x:c r="Q894" s="14" t="str">
        <x:v>https://mb1advancedsolutions.github.io/mb1-catalog/index.html?design=1015</x:v>
      </x:c>
      <x:c r="R894" s="14" t="str"/>
    </x:row>
    <x:row r="895">
      <x:c r="A895" s="13" t="str">
        <x:v>MB1-1016</x:v>
      </x:c>
      <x:c r="B895" s="13" t="str">
        <x:v>MB1-1016</x:v>
      </x:c>
      <x:c r="C895" s="14" t="str">
        <x:v>Monogram Round deco</x:v>
      </x:c>
      <x:c r="D895" s="14" t="str">
        <x:v>family &amp; name</x:v>
      </x:c>
      <x:c r="E895" s="14" t="str">
        <x:v>https://res.cloudinary.com/oxygre42/image/upload/f_auto,q_auto,c_pad,b_white,w_1200,h_1200/v1788350482/1016_Monogram_Round_deco.png</x:v>
      </x:c>
      <x:c r="F895" s="14" t="str"/>
      <x:c r="G895" s="14" t="str">
        <x:v>Lifestyle</x:v>
      </x:c>
      <x:c r="H895" s="14" t="str"/>
      <x:c r="I895" s="14" t="str">
        <x:v>Detail</x:v>
      </x:c>
      <x:c r="J895" s="14" t="str"/>
      <x:c r="K895" s="14" t="str">
        <x:v>Scale</x:v>
      </x:c>
      <x:c r="L895" s="14" t="str"/>
      <x:c r="M895" s="14" t="str">
        <x:v>Alternate</x:v>
      </x:c>
      <x:c r="N895" s="14" t="n">
        <x:f>IF(E895&lt;&gt;"",1,0)+IF(F895&lt;&gt;"",1,0)+IF(H895&lt;&gt;"",1,0)+IF(J895&lt;&gt;"",1,0)+IF(L895&lt;&gt;"",1,0)</x:f>
        <x:v>1</x:v>
      </x:c>
      <x:c r="O895" s="14" t="str">
        <x:f>IF(E895="","MISSING MAIN",IF(N895=1,"MAIN ONLY","MULTI-PHOTO"))</x:f>
        <x:v>MAIN ONLY</x:v>
      </x:c>
      <x:c r="P895" s="14" t="str">
        <x:v>1016_</x:v>
      </x:c>
      <x:c r="Q895" s="14" t="str">
        <x:v>https://mb1advancedsolutions.github.io/mb1-catalog/index.html?design=1016</x:v>
      </x:c>
      <x:c r="R895" s="14" t="str"/>
    </x:row>
    <x:row r="896">
      <x:c r="A896" s="13" t="str">
        <x:v>MB1-1017</x:v>
      </x:c>
      <x:c r="B896" s="13" t="str">
        <x:v>MB1-1017</x:v>
      </x:c>
      <x:c r="C896" s="14" t="str">
        <x:v>Moon and back 18 x 18</x:v>
      </x:c>
      <x:c r="D896" s="14" t="str">
        <x:v>home decor and inspirational</x:v>
      </x:c>
      <x:c r="E896" s="14" t="str">
        <x:v>https://res.cloudinary.com/oxygre42/image/upload/f_auto,q_auto,c_pad,b_white,w_1200,h_1200/v1788350484/1017_Moon_and_back_18_x_18.png</x:v>
      </x:c>
      <x:c r="F896" s="14" t="str"/>
      <x:c r="G896" s="14" t="str">
        <x:v>Lifestyle</x:v>
      </x:c>
      <x:c r="H896" s="14" t="str"/>
      <x:c r="I896" s="14" t="str">
        <x:v>Detail</x:v>
      </x:c>
      <x:c r="J896" s="14" t="str"/>
      <x:c r="K896" s="14" t="str">
        <x:v>Scale</x:v>
      </x:c>
      <x:c r="L896" s="14" t="str"/>
      <x:c r="M896" s="14" t="str">
        <x:v>Alternate</x:v>
      </x:c>
      <x:c r="N896" s="14" t="n">
        <x:f>IF(E896&lt;&gt;"",1,0)+IF(F896&lt;&gt;"",1,0)+IF(H896&lt;&gt;"",1,0)+IF(J896&lt;&gt;"",1,0)+IF(L896&lt;&gt;"",1,0)</x:f>
        <x:v>1</x:v>
      </x:c>
      <x:c r="O896" s="14" t="str">
        <x:f>IF(E896="","MISSING MAIN",IF(N896=1,"MAIN ONLY","MULTI-PHOTO"))</x:f>
        <x:v>MAIN ONLY</x:v>
      </x:c>
      <x:c r="P896" s="14" t="str">
        <x:v>1017_</x:v>
      </x:c>
      <x:c r="Q896" s="14" t="str">
        <x:v>https://mb1advancedsolutions.github.io/mb1-catalog/index.html?design=1017</x:v>
      </x:c>
      <x:c r="R896" s="14" t="str"/>
    </x:row>
    <x:row r="897">
      <x:c r="A897" s="13" t="str">
        <x:v>MB1-1019</x:v>
      </x:c>
      <x:c r="B897" s="13" t="str">
        <x:v>MB1-1019</x:v>
      </x:c>
      <x:c r="C897" s="14" t="str">
        <x:v>Moon and back new</x:v>
      </x:c>
      <x:c r="D897" s="14" t="str">
        <x:v>home decor and inspirational</x:v>
      </x:c>
      <x:c r="E897" s="14" t="str">
        <x:v>https://res.cloudinary.com/oxygre42/image/upload/f_auto,q_auto,c_pad,b_white,w_1200,h_1200/v1788350486/1019_Moon_and_back_new.png</x:v>
      </x:c>
      <x:c r="F897" s="14" t="str"/>
      <x:c r="G897" s="14" t="str">
        <x:v>Lifestyle</x:v>
      </x:c>
      <x:c r="H897" s="14" t="str"/>
      <x:c r="I897" s="14" t="str">
        <x:v>Detail</x:v>
      </x:c>
      <x:c r="J897" s="14" t="str"/>
      <x:c r="K897" s="14" t="str">
        <x:v>Scale</x:v>
      </x:c>
      <x:c r="L897" s="14" t="str"/>
      <x:c r="M897" s="14" t="str">
        <x:v>Alternate</x:v>
      </x:c>
      <x:c r="N897" s="14" t="n">
        <x:f>IF(E897&lt;&gt;"",1,0)+IF(F897&lt;&gt;"",1,0)+IF(H897&lt;&gt;"",1,0)+IF(J897&lt;&gt;"",1,0)+IF(L897&lt;&gt;"",1,0)</x:f>
        <x:v>1</x:v>
      </x:c>
      <x:c r="O897" s="14" t="str">
        <x:f>IF(E897="","MISSING MAIN",IF(N897=1,"MAIN ONLY","MULTI-PHOTO"))</x:f>
        <x:v>MAIN ONLY</x:v>
      </x:c>
      <x:c r="P897" s="14" t="str">
        <x:v>1019_</x:v>
      </x:c>
      <x:c r="Q897" s="14" t="str">
        <x:v>https://mb1advancedsolutions.github.io/mb1-catalog/index.html?design=1019</x:v>
      </x:c>
      <x:c r="R897" s="14" t="str"/>
    </x:row>
    <x:row r="898">
      <x:c r="A898" s="13" t="str">
        <x:v>MB1-1020</x:v>
      </x:c>
      <x:c r="B898" s="13" t="str">
        <x:v>MB1-1020</x:v>
      </x:c>
      <x:c r="C898" s="14" t="str">
        <x:v>Moon to my Shine</x:v>
      </x:c>
      <x:c r="D898" s="14" t="str">
        <x:v>home decor and inspirational</x:v>
      </x:c>
      <x:c r="E898" s="14" t="str">
        <x:v>https://res.cloudinary.com/oxygre42/image/upload/f_auto,q_auto,c_pad,b_white,w_1200,h_1200/v1788350488/1020_Moon_to_my_Shine.png</x:v>
      </x:c>
      <x:c r="F898" s="14" t="str"/>
      <x:c r="G898" s="14" t="str">
        <x:v>Lifestyle</x:v>
      </x:c>
      <x:c r="H898" s="14" t="str"/>
      <x:c r="I898" s="14" t="str">
        <x:v>Detail</x:v>
      </x:c>
      <x:c r="J898" s="14" t="str"/>
      <x:c r="K898" s="14" t="str">
        <x:v>Scale</x:v>
      </x:c>
      <x:c r="L898" s="14" t="str"/>
      <x:c r="M898" s="14" t="str">
        <x:v>Alternate</x:v>
      </x:c>
      <x:c r="N898" s="14" t="n">
        <x:f>IF(E898&lt;&gt;"",1,0)+IF(F898&lt;&gt;"",1,0)+IF(H898&lt;&gt;"",1,0)+IF(J898&lt;&gt;"",1,0)+IF(L898&lt;&gt;"",1,0)</x:f>
        <x:v>1</x:v>
      </x:c>
      <x:c r="O898" s="14" t="str">
        <x:f>IF(E898="","MISSING MAIN",IF(N898=1,"MAIN ONLY","MULTI-PHOTO"))</x:f>
        <x:v>MAIN ONLY</x:v>
      </x:c>
      <x:c r="P898" s="14" t="str">
        <x:v>1020_</x:v>
      </x:c>
      <x:c r="Q898" s="14" t="str">
        <x:v>https://mb1advancedsolutions.github.io/mb1-catalog/index.html?design=1020</x:v>
      </x:c>
      <x:c r="R898" s="14" t="str"/>
    </x:row>
    <x:row r="899">
      <x:c r="A899" s="13" t="str">
        <x:v>MB1-1021</x:v>
      </x:c>
      <x:c r="B899" s="13" t="str">
        <x:v>MB1-1021</x:v>
      </x:c>
      <x:c r="C899" s="14" t="str">
        <x:v>Moon to my shine old</x:v>
      </x:c>
      <x:c r="D899" s="14" t="str">
        <x:v>home decor and inspirational</x:v>
      </x:c>
      <x:c r="E899" s="14" t="str">
        <x:v>https://res.cloudinary.com/oxygre42/image/upload/f_auto,q_auto,c_pad,b_white,w_1200,h_1200/v1788350490/1021_Moon_to_my_shine_old.png</x:v>
      </x:c>
      <x:c r="F899" s="14" t="str"/>
      <x:c r="G899" s="14" t="str">
        <x:v>Lifestyle</x:v>
      </x:c>
      <x:c r="H899" s="14" t="str"/>
      <x:c r="I899" s="14" t="str">
        <x:v>Detail</x:v>
      </x:c>
      <x:c r="J899" s="14" t="str"/>
      <x:c r="K899" s="14" t="str">
        <x:v>Scale</x:v>
      </x:c>
      <x:c r="L899" s="14" t="str"/>
      <x:c r="M899" s="14" t="str">
        <x:v>Alternate</x:v>
      </x:c>
      <x:c r="N899" s="14" t="n">
        <x:f>IF(E899&lt;&gt;"",1,0)+IF(F899&lt;&gt;"",1,0)+IF(H899&lt;&gt;"",1,0)+IF(J899&lt;&gt;"",1,0)+IF(L899&lt;&gt;"",1,0)</x:f>
        <x:v>1</x:v>
      </x:c>
      <x:c r="O899" s="14" t="str">
        <x:f>IF(E899="","MISSING MAIN",IF(N899=1,"MAIN ONLY","MULTI-PHOTO"))</x:f>
        <x:v>MAIN ONLY</x:v>
      </x:c>
      <x:c r="P899" s="14" t="str">
        <x:v>1021_</x:v>
      </x:c>
      <x:c r="Q899" s="14" t="str">
        <x:v>https://mb1advancedsolutions.github.io/mb1-catalog/index.html?design=1021</x:v>
      </x:c>
      <x:c r="R899" s="14" t="str"/>
    </x:row>
    <x:row r="900">
      <x:c r="A900" s="13" t="str">
        <x:v>MB1-1022</x:v>
      </x:c>
      <x:c r="B900" s="13" t="str">
        <x:v>MB1-1022</x:v>
      </x:c>
      <x:c r="C900" s="14" t="str">
        <x:v>Moonshine in a Mason Jar</x:v>
      </x:c>
      <x:c r="D900" s="14" t="str">
        <x:v>home decor and inspirational</x:v>
      </x:c>
      <x:c r="E900" s="14" t="str">
        <x:v>https://res.cloudinary.com/oxygre42/image/upload/f_auto,q_auto,c_pad,b_white,w_1200,h_1200/v1788350492/1022_Moonshine_in_a_Mason_Jar.png</x:v>
      </x:c>
      <x:c r="F900" s="14" t="str"/>
      <x:c r="G900" s="14" t="str">
        <x:v>Lifestyle</x:v>
      </x:c>
      <x:c r="H900" s="14" t="str"/>
      <x:c r="I900" s="14" t="str">
        <x:v>Detail</x:v>
      </x:c>
      <x:c r="J900" s="14" t="str"/>
      <x:c r="K900" s="14" t="str">
        <x:v>Scale</x:v>
      </x:c>
      <x:c r="L900" s="14" t="str"/>
      <x:c r="M900" s="14" t="str">
        <x:v>Alternate</x:v>
      </x:c>
      <x:c r="N900" s="14" t="n">
        <x:f>IF(E900&lt;&gt;"",1,0)+IF(F900&lt;&gt;"",1,0)+IF(H900&lt;&gt;"",1,0)+IF(J900&lt;&gt;"",1,0)+IF(L900&lt;&gt;"",1,0)</x:f>
        <x:v>1</x:v>
      </x:c>
      <x:c r="O900" s="14" t="str">
        <x:f>IF(E900="","MISSING MAIN",IF(N900=1,"MAIN ONLY","MULTI-PHOTO"))</x:f>
        <x:v>MAIN ONLY</x:v>
      </x:c>
      <x:c r="P900" s="14" t="str">
        <x:v>1022_</x:v>
      </x:c>
      <x:c r="Q900" s="14" t="str">
        <x:v>https://mb1advancedsolutions.github.io/mb1-catalog/index.html?design=1022</x:v>
      </x:c>
      <x:c r="R900" s="14" t="str"/>
    </x:row>
    <x:row r="901">
      <x:c r="A901" s="13" t="str">
        <x:v>MB1-1023</x:v>
      </x:c>
      <x:c r="B901" s="13" t="str">
        <x:v>MB1-1023</x:v>
      </x:c>
      <x:c r="C901" s="14" t="str">
        <x:v>Movie Ticket</x:v>
      </x:c>
      <x:c r="D901" s="14" t="str">
        <x:v>sports and hobbies</x:v>
      </x:c>
      <x:c r="E901" s="14" t="str">
        <x:v>https://res.cloudinary.com/oxygre42/image/upload/f_auto,q_auto,c_pad,b_white,w_1200,h_1200/v1788350494/1023_Movie_Ticket.png</x:v>
      </x:c>
      <x:c r="F901" s="14" t="str"/>
      <x:c r="G901" s="14" t="str">
        <x:v>Lifestyle</x:v>
      </x:c>
      <x:c r="H901" s="14" t="str"/>
      <x:c r="I901" s="14" t="str">
        <x:v>Detail</x:v>
      </x:c>
      <x:c r="J901" s="14" t="str"/>
      <x:c r="K901" s="14" t="str">
        <x:v>Scale</x:v>
      </x:c>
      <x:c r="L901" s="14" t="str"/>
      <x:c r="M901" s="14" t="str">
        <x:v>Alternate</x:v>
      </x:c>
      <x:c r="N901" s="14" t="n">
        <x:f>IF(E901&lt;&gt;"",1,0)+IF(F901&lt;&gt;"",1,0)+IF(H901&lt;&gt;"",1,0)+IF(J901&lt;&gt;"",1,0)+IF(L901&lt;&gt;"",1,0)</x:f>
        <x:v>1</x:v>
      </x:c>
      <x:c r="O901" s="14" t="str">
        <x:f>IF(E901="","MISSING MAIN",IF(N901=1,"MAIN ONLY","MULTI-PHOTO"))</x:f>
        <x:v>MAIN ONLY</x:v>
      </x:c>
      <x:c r="P901" s="14" t="str">
        <x:v>1023_</x:v>
      </x:c>
      <x:c r="Q901" s="14" t="str">
        <x:v>https://mb1advancedsolutions.github.io/mb1-catalog/index.html?design=1023</x:v>
      </x:c>
      <x:c r="R901" s="14" t="str"/>
    </x:row>
    <x:row r="902">
      <x:c r="A902" s="13" t="str">
        <x:v>MB1-1024</x:v>
      </x:c>
      <x:c r="B902" s="13" t="str">
        <x:v>MB1-1024</x:v>
      </x:c>
      <x:c r="C902" s="14" t="str">
        <x:v>Mr _ Mrs wine glasses monogram</x:v>
      </x:c>
      <x:c r="D902" s="14" t="str">
        <x:v>wedding and events</x:v>
      </x:c>
      <x:c r="E902" s="14" t="str">
        <x:v>https://res.cloudinary.com/oxygre42/image/upload/f_auto,q_auto,c_pad,b_white,w_1200,h_1200/v1788350496/1024_Mr___Mrs_wine_glasses_monogram.png</x:v>
      </x:c>
      <x:c r="F902" s="14" t="str"/>
      <x:c r="G902" s="14" t="str">
        <x:v>Lifestyle</x:v>
      </x:c>
      <x:c r="H902" s="14" t="str"/>
      <x:c r="I902" s="14" t="str">
        <x:v>Detail</x:v>
      </x:c>
      <x:c r="J902" s="14" t="str"/>
      <x:c r="K902" s="14" t="str">
        <x:v>Scale</x:v>
      </x:c>
      <x:c r="L902" s="14" t="str"/>
      <x:c r="M902" s="14" t="str">
        <x:v>Alternate</x:v>
      </x:c>
      <x:c r="N902" s="14" t="n">
        <x:f>IF(E902&lt;&gt;"",1,0)+IF(F902&lt;&gt;"",1,0)+IF(H902&lt;&gt;"",1,0)+IF(J902&lt;&gt;"",1,0)+IF(L902&lt;&gt;"",1,0)</x:f>
        <x:v>1</x:v>
      </x:c>
      <x:c r="O902" s="14" t="str">
        <x:f>IF(E902="","MISSING MAIN",IF(N902=1,"MAIN ONLY","MULTI-PHOTO"))</x:f>
        <x:v>MAIN ONLY</x:v>
      </x:c>
      <x:c r="P902" s="14" t="str">
        <x:v>1024_</x:v>
      </x:c>
      <x:c r="Q902" s="14" t="str">
        <x:v>https://mb1advancedsolutions.github.io/mb1-catalog/index.html?design=1024</x:v>
      </x:c>
      <x:c r="R902" s="14" t="str"/>
    </x:row>
    <x:row r="903">
      <x:c r="A903" s="13" t="str">
        <x:v>MB1-1025</x:v>
      </x:c>
      <x:c r="B903" s="13" t="str">
        <x:v>MB1-1025</x:v>
      </x:c>
      <x:c r="C903" s="14" t="str">
        <x:v>Mr _ Mrs</x:v>
      </x:c>
      <x:c r="D903" s="14" t="str">
        <x:v>wedding and events</x:v>
      </x:c>
      <x:c r="E903" s="14" t="str">
        <x:v>https://res.cloudinary.com/oxygre42/image/upload/f_auto,q_auto,c_pad,b_white,w_1200,h_1200/v1788350497/1025_Mr___Mrs.png</x:v>
      </x:c>
      <x:c r="F903" s="14" t="str"/>
      <x:c r="G903" s="14" t="str">
        <x:v>Lifestyle</x:v>
      </x:c>
      <x:c r="H903" s="14" t="str"/>
      <x:c r="I903" s="14" t="str">
        <x:v>Detail</x:v>
      </x:c>
      <x:c r="J903" s="14" t="str"/>
      <x:c r="K903" s="14" t="str">
        <x:v>Scale</x:v>
      </x:c>
      <x:c r="L903" s="14" t="str"/>
      <x:c r="M903" s="14" t="str">
        <x:v>Alternate</x:v>
      </x:c>
      <x:c r="N903" s="14" t="n">
        <x:f>IF(E903&lt;&gt;"",1,0)+IF(F903&lt;&gt;"",1,0)+IF(H903&lt;&gt;"",1,0)+IF(J903&lt;&gt;"",1,0)+IF(L903&lt;&gt;"",1,0)</x:f>
        <x:v>1</x:v>
      </x:c>
      <x:c r="O903" s="14" t="str">
        <x:f>IF(E903="","MISSING MAIN",IF(N903=1,"MAIN ONLY","MULTI-PHOTO"))</x:f>
        <x:v>MAIN ONLY</x:v>
      </x:c>
      <x:c r="P903" s="14" t="str">
        <x:v>1025_</x:v>
      </x:c>
      <x:c r="Q903" s="14" t="str">
        <x:v>https://mb1advancedsolutions.github.io/mb1-catalog/index.html?design=1025</x:v>
      </x:c>
      <x:c r="R903" s="14" t="str"/>
    </x:row>
    <x:row r="904">
      <x:c r="A904" s="13" t="str">
        <x:v>MB1-1026</x:v>
      </x:c>
      <x:c r="B904" s="13" t="str">
        <x:v>MB1-1026</x:v>
      </x:c>
      <x:c r="C904" s="14" t="str">
        <x:v>Mr and Mrs with Est</x:v>
      </x:c>
      <x:c r="D904" s="14" t="str">
        <x:v>wedding and events</x:v>
      </x:c>
      <x:c r="E904" s="14" t="str">
        <x:v>https://res.cloudinary.com/oxygre42/image/upload/f_auto,q_auto,c_pad,b_white,w_1200,h_1200/v1788350499/1026_Mr_and_Mrs_with_Est.png</x:v>
      </x:c>
      <x:c r="F904" s="14" t="str"/>
      <x:c r="G904" s="14" t="str">
        <x:v>Lifestyle</x:v>
      </x:c>
      <x:c r="H904" s="14" t="str"/>
      <x:c r="I904" s="14" t="str">
        <x:v>Detail</x:v>
      </x:c>
      <x:c r="J904" s="14" t="str"/>
      <x:c r="K904" s="14" t="str">
        <x:v>Scale</x:v>
      </x:c>
      <x:c r="L904" s="14" t="str"/>
      <x:c r="M904" s="14" t="str">
        <x:v>Alternate</x:v>
      </x:c>
      <x:c r="N904" s="14" t="n">
        <x:f>IF(E904&lt;&gt;"",1,0)+IF(F904&lt;&gt;"",1,0)+IF(H904&lt;&gt;"",1,0)+IF(J904&lt;&gt;"",1,0)+IF(L904&lt;&gt;"",1,0)</x:f>
        <x:v>1</x:v>
      </x:c>
      <x:c r="O904" s="14" t="str">
        <x:f>IF(E904="","MISSING MAIN",IF(N904=1,"MAIN ONLY","MULTI-PHOTO"))</x:f>
        <x:v>MAIN ONLY</x:v>
      </x:c>
      <x:c r="P904" s="14" t="str">
        <x:v>1026_</x:v>
      </x:c>
      <x:c r="Q904" s="14" t="str">
        <x:v>https://mb1advancedsolutions.github.io/mb1-catalog/index.html?design=1026</x:v>
      </x:c>
      <x:c r="R904" s="14" t="str"/>
    </x:row>
    <x:row r="905">
      <x:c r="A905" s="13" t="str">
        <x:v>MB1-1027</x:v>
      </x:c>
      <x:c r="B905" s="13" t="str">
        <x:v>MB1-1027</x:v>
      </x:c>
      <x:c r="C905" s="14" t="str">
        <x:v>Name Sign Date Established Blank</x:v>
      </x:c>
      <x:c r="D905" s="14" t="str">
        <x:v>family &amp; name</x:v>
      </x:c>
      <x:c r="E905" s="14" t="str">
        <x:v>https://res.cloudinary.com/oxygre42/image/upload/f_auto,q_auto,c_pad,b_white,w_1200,h_1200/v1788350501/1027_Name_Sign_Date_Established_Blank.png</x:v>
      </x:c>
      <x:c r="F905" s="14" t="str"/>
      <x:c r="G905" s="14" t="str">
        <x:v>Lifestyle</x:v>
      </x:c>
      <x:c r="H905" s="14" t="str"/>
      <x:c r="I905" s="14" t="str">
        <x:v>Detail</x:v>
      </x:c>
      <x:c r="J905" s="14" t="str"/>
      <x:c r="K905" s="14" t="str">
        <x:v>Scale</x:v>
      </x:c>
      <x:c r="L905" s="14" t="str"/>
      <x:c r="M905" s="14" t="str">
        <x:v>Alternate</x:v>
      </x:c>
      <x:c r="N905" s="14" t="n">
        <x:f>IF(E905&lt;&gt;"",1,0)+IF(F905&lt;&gt;"",1,0)+IF(H905&lt;&gt;"",1,0)+IF(J905&lt;&gt;"",1,0)+IF(L905&lt;&gt;"",1,0)</x:f>
        <x:v>1</x:v>
      </x:c>
      <x:c r="O905" s="14" t="str">
        <x:f>IF(E905="","MISSING MAIN",IF(N905=1,"MAIN ONLY","MULTI-PHOTO"))</x:f>
        <x:v>MAIN ONLY</x:v>
      </x:c>
      <x:c r="P905" s="14" t="str">
        <x:v>1027_</x:v>
      </x:c>
      <x:c r="Q905" s="14" t="str">
        <x:v>https://mb1advancedsolutions.github.io/mb1-catalog/index.html?design=1027</x:v>
      </x:c>
      <x:c r="R905" s="14" t="str"/>
    </x:row>
    <x:row r="906">
      <x:c r="A906" s="13" t="str">
        <x:v>MB1-1028</x:v>
      </x:c>
      <x:c r="B906" s="13" t="str">
        <x:v>MB1-1028</x:v>
      </x:c>
      <x:c r="C906" s="14" t="str">
        <x:v>Nautical compass roses</x:v>
      </x:c>
      <x:c r="D906" s="14" t="str">
        <x:v>lake house and nautical</x:v>
      </x:c>
      <x:c r="E906" s="14" t="str">
        <x:v>https://res.cloudinary.com/oxygre42/image/upload/f_auto,q_auto,c_pad,b_white,w_1200,h_1200/v1788350503/1028_Nautical_compass_roses.png</x:v>
      </x:c>
      <x:c r="F906" s="14" t="str"/>
      <x:c r="G906" s="14" t="str">
        <x:v>Lifestyle</x:v>
      </x:c>
      <x:c r="H906" s="14" t="str"/>
      <x:c r="I906" s="14" t="str">
        <x:v>Detail</x:v>
      </x:c>
      <x:c r="J906" s="14" t="str"/>
      <x:c r="K906" s="14" t="str">
        <x:v>Scale</x:v>
      </x:c>
      <x:c r="L906" s="14" t="str"/>
      <x:c r="M906" s="14" t="str">
        <x:v>Alternate</x:v>
      </x:c>
      <x:c r="N906" s="14" t="n">
        <x:f>IF(E906&lt;&gt;"",1,0)+IF(F906&lt;&gt;"",1,0)+IF(H906&lt;&gt;"",1,0)+IF(J906&lt;&gt;"",1,0)+IF(L906&lt;&gt;"",1,0)</x:f>
        <x:v>1</x:v>
      </x:c>
      <x:c r="O906" s="14" t="str">
        <x:f>IF(E906="","MISSING MAIN",IF(N906=1,"MAIN ONLY","MULTI-PHOTO"))</x:f>
        <x:v>MAIN ONLY</x:v>
      </x:c>
      <x:c r="P906" s="14" t="str">
        <x:v>1028_</x:v>
      </x:c>
      <x:c r="Q906" s="14" t="str">
        <x:v>https://mb1advancedsolutions.github.io/mb1-catalog/index.html?design=1028</x:v>
      </x:c>
      <x:c r="R906" s="14" t="str"/>
    </x:row>
    <x:row r="907">
      <x:c r="A907" s="13" t="str">
        <x:v>MB1-1029</x:v>
      </x:c>
      <x:c r="B907" s="13" t="str">
        <x:v>MB1-1029</x:v>
      </x:c>
      <x:c r="C907" s="14" t="str">
        <x:v>No Pain No GainTattoo gun</x:v>
      </x:c>
      <x:c r="D907" s="14" t="str">
        <x:v>sports and hobbies</x:v>
      </x:c>
      <x:c r="E907" s="14" t="str">
        <x:v>https://res.cloudinary.com/oxygre42/image/upload/f_auto,q_auto,c_pad,b_white,w_1200,h_1200/v1788350505/1029_No_Pain_No_GainTattoo_gun.png</x:v>
      </x:c>
      <x:c r="F907" s="14" t="str"/>
      <x:c r="G907" s="14" t="str">
        <x:v>Lifestyle</x:v>
      </x:c>
      <x:c r="H907" s="14" t="str"/>
      <x:c r="I907" s="14" t="str">
        <x:v>Detail</x:v>
      </x:c>
      <x:c r="J907" s="14" t="str"/>
      <x:c r="K907" s="14" t="str">
        <x:v>Scale</x:v>
      </x:c>
      <x:c r="L907" s="14" t="str"/>
      <x:c r="M907" s="14" t="str">
        <x:v>Alternate</x:v>
      </x:c>
      <x:c r="N907" s="14" t="n">
        <x:f>IF(E907&lt;&gt;"",1,0)+IF(F907&lt;&gt;"",1,0)+IF(H907&lt;&gt;"",1,0)+IF(J907&lt;&gt;"",1,0)+IF(L907&lt;&gt;"",1,0)</x:f>
        <x:v>1</x:v>
      </x:c>
      <x:c r="O907" s="14" t="str">
        <x:f>IF(E907="","MISSING MAIN",IF(N907=1,"MAIN ONLY","MULTI-PHOTO"))</x:f>
        <x:v>MAIN ONLY</x:v>
      </x:c>
      <x:c r="P907" s="14" t="str">
        <x:v>1029_</x:v>
      </x:c>
      <x:c r="Q907" s="14" t="str">
        <x:v>https://mb1advancedsolutions.github.io/mb1-catalog/index.html?design=1029</x:v>
      </x:c>
      <x:c r="R907" s="14" t="str"/>
    </x:row>
    <x:row r="908">
      <x:c r="A908" s="13" t="str">
        <x:v>MB1-1030</x:v>
      </x:c>
      <x:c r="B908" s="13" t="str">
        <x:v>MB1-1030</x:v>
      </x:c>
      <x:c r="C908" s="14" t="str">
        <x:v>No Trespassing target</x:v>
      </x:c>
      <x:c r="D908" s="14" t="str">
        <x:v>address and property</x:v>
      </x:c>
      <x:c r="E908" s="14" t="str">
        <x:v>https://res.cloudinary.com/oxygre42/image/upload/f_auto,q_auto,c_pad,b_white,w_1200,h_1200/v1788350507/1030_No_Trespassing_target.png</x:v>
      </x:c>
      <x:c r="F908" s="14" t="str"/>
      <x:c r="G908" s="14" t="str">
        <x:v>Lifestyle</x:v>
      </x:c>
      <x:c r="H908" s="14" t="str"/>
      <x:c r="I908" s="14" t="str">
        <x:v>Detail</x:v>
      </x:c>
      <x:c r="J908" s="14" t="str"/>
      <x:c r="K908" s="14" t="str">
        <x:v>Scale</x:v>
      </x:c>
      <x:c r="L908" s="14" t="str"/>
      <x:c r="M908" s="14" t="str">
        <x:v>Alternate</x:v>
      </x:c>
      <x:c r="N908" s="14" t="n">
        <x:f>IF(E908&lt;&gt;"",1,0)+IF(F908&lt;&gt;"",1,0)+IF(H908&lt;&gt;"",1,0)+IF(J908&lt;&gt;"",1,0)+IF(L908&lt;&gt;"",1,0)</x:f>
        <x:v>1</x:v>
      </x:c>
      <x:c r="O908" s="14" t="str">
        <x:f>IF(E908="","MISSING MAIN",IF(N908=1,"MAIN ONLY","MULTI-PHOTO"))</x:f>
        <x:v>MAIN ONLY</x:v>
      </x:c>
      <x:c r="P908" s="14" t="str">
        <x:v>1030_</x:v>
      </x:c>
      <x:c r="Q908" s="14" t="str">
        <x:v>https://mb1advancedsolutions.github.io/mb1-catalog/index.html?design=1030</x:v>
      </x:c>
      <x:c r="R908" s="14" t="str"/>
    </x:row>
    <x:row r="909">
      <x:c r="A909" s="13" t="str">
        <x:v>MB1-1031</x:v>
      </x:c>
      <x:c r="B909" s="13" t="str">
        <x:v>MB1-1031</x:v>
      </x:c>
      <x:c r="C909" s="14" t="str">
        <x:v>No coffee no workee</x:v>
      </x:c>
      <x:c r="D909" s="14" t="str">
        <x:v>home decor and inspirational</x:v>
      </x:c>
      <x:c r="E909" s="14" t="str">
        <x:v>https://res.cloudinary.com/oxygre42/image/upload/f_auto,q_auto,c_pad,b_white,w_1200,h_1200/v1788350509/1031_No_coffee_no_workee.png</x:v>
      </x:c>
      <x:c r="F909" s="14" t="str"/>
      <x:c r="G909" s="14" t="str">
        <x:v>Lifestyle</x:v>
      </x:c>
      <x:c r="H909" s="14" t="str"/>
      <x:c r="I909" s="14" t="str">
        <x:v>Detail</x:v>
      </x:c>
      <x:c r="J909" s="14" t="str"/>
      <x:c r="K909" s="14" t="str">
        <x:v>Scale</x:v>
      </x:c>
      <x:c r="L909" s="14" t="str"/>
      <x:c r="M909" s="14" t="str">
        <x:v>Alternate</x:v>
      </x:c>
      <x:c r="N909" s="14" t="n">
        <x:f>IF(E909&lt;&gt;"",1,0)+IF(F909&lt;&gt;"",1,0)+IF(H909&lt;&gt;"",1,0)+IF(J909&lt;&gt;"",1,0)+IF(L909&lt;&gt;"",1,0)</x:f>
        <x:v>1</x:v>
      </x:c>
      <x:c r="O909" s="14" t="str">
        <x:f>IF(E909="","MISSING MAIN",IF(N909=1,"MAIN ONLY","MULTI-PHOTO"))</x:f>
        <x:v>MAIN ONLY</x:v>
      </x:c>
      <x:c r="P909" s="14" t="str">
        <x:v>1031_</x:v>
      </x:c>
      <x:c r="Q909" s="14" t="str">
        <x:v>https://mb1advancedsolutions.github.io/mb1-catalog/index.html?design=1031</x:v>
      </x:c>
      <x:c r="R909" s="14" t="str"/>
    </x:row>
    <x:row r="910">
      <x:c r="A910" s="13" t="str">
        <x:v>MB1-1032</x:v>
      </x:c>
      <x:c r="B910" s="13" t="str">
        <x:v>MB1-1032</x:v>
      </x:c>
      <x:c r="C910" s="14" t="str">
        <x:v>North Carolina Roots</x:v>
      </x:c>
      <x:c r="D910" s="14" t="str">
        <x:v>wildlife and outdoors</x:v>
      </x:c>
      <x:c r="E910" s="14" t="str">
        <x:v>https://res.cloudinary.com/oxygre42/image/upload/f_auto,q_auto,c_pad,b_white,w_1200,h_1200/v1788350511/1032_North_Carolina_Roots.png</x:v>
      </x:c>
      <x:c r="F910" s="14" t="str"/>
      <x:c r="G910" s="14" t="str">
        <x:v>Lifestyle</x:v>
      </x:c>
      <x:c r="H910" s="14" t="str"/>
      <x:c r="I910" s="14" t="str">
        <x:v>Detail</x:v>
      </x:c>
      <x:c r="J910" s="14" t="str"/>
      <x:c r="K910" s="14" t="str">
        <x:v>Scale</x:v>
      </x:c>
      <x:c r="L910" s="14" t="str"/>
      <x:c r="M910" s="14" t="str">
        <x:v>Alternate</x:v>
      </x:c>
      <x:c r="N910" s="14" t="n">
        <x:f>IF(E910&lt;&gt;"",1,0)+IF(F910&lt;&gt;"",1,0)+IF(H910&lt;&gt;"",1,0)+IF(J910&lt;&gt;"",1,0)+IF(L910&lt;&gt;"",1,0)</x:f>
        <x:v>1</x:v>
      </x:c>
      <x:c r="O910" s="14" t="str">
        <x:f>IF(E910="","MISSING MAIN",IF(N910=1,"MAIN ONLY","MULTI-PHOTO"))</x:f>
        <x:v>MAIN ONLY</x:v>
      </x:c>
      <x:c r="P910" s="14" t="str">
        <x:v>1032_</x:v>
      </x:c>
      <x:c r="Q910" s="14" t="str">
        <x:v>https://mb1advancedsolutions.github.io/mb1-catalog/index.html?design=1032</x:v>
      </x:c>
      <x:c r="R910" s="14" t="str"/>
    </x:row>
    <x:row r="911">
      <x:c r="A911" s="13" t="str">
        <x:v>MB1-1033</x:v>
      </x:c>
      <x:c r="B911" s="13" t="str">
        <x:v>MB1-1033</x:v>
      </x:c>
      <x:c r="C911" s="14" t="str">
        <x:v>North Carolina home</x:v>
      </x:c>
      <x:c r="D911" s="14" t="str">
        <x:v>home decor and inspirational</x:v>
      </x:c>
      <x:c r="E911" s="14" t="str">
        <x:v>https://res.cloudinary.com/oxygre42/image/upload/f_auto,q_auto,c_pad,b_white,w_1200,h_1200/v1788350512/1033_North_Carolina_home.png</x:v>
      </x:c>
      <x:c r="F911" s="14" t="str"/>
      <x:c r="G911" s="14" t="str">
        <x:v>Lifestyle</x:v>
      </x:c>
      <x:c r="H911" s="14" t="str"/>
      <x:c r="I911" s="14" t="str">
        <x:v>Detail</x:v>
      </x:c>
      <x:c r="J911" s="14" t="str"/>
      <x:c r="K911" s="14" t="str">
        <x:v>Scale</x:v>
      </x:c>
      <x:c r="L911" s="14" t="str"/>
      <x:c r="M911" s="14" t="str">
        <x:v>Alternate</x:v>
      </x:c>
      <x:c r="N911" s="14" t="n">
        <x:f>IF(E911&lt;&gt;"",1,0)+IF(F911&lt;&gt;"",1,0)+IF(H911&lt;&gt;"",1,0)+IF(J911&lt;&gt;"",1,0)+IF(L911&lt;&gt;"",1,0)</x:f>
        <x:v>1</x:v>
      </x:c>
      <x:c r="O911" s="14" t="str">
        <x:f>IF(E911="","MISSING MAIN",IF(N911=1,"MAIN ONLY","MULTI-PHOTO"))</x:f>
        <x:v>MAIN ONLY</x:v>
      </x:c>
      <x:c r="P911" s="14" t="str">
        <x:v>1033_</x:v>
      </x:c>
      <x:c r="Q911" s="14" t="str">
        <x:v>https://mb1advancedsolutions.github.io/mb1-catalog/index.html?design=1033</x:v>
      </x:c>
      <x:c r="R911" s="14" t="str"/>
    </x:row>
    <x:row r="912">
      <x:c r="A912" s="13" t="str">
        <x:v>MB1-1035</x:v>
      </x:c>
      <x:c r="B912" s="13" t="str">
        <x:v>MB1-1035</x:v>
      </x:c>
      <x:c r="C912" s="14" t="str">
        <x:v>North pole air mail</x:v>
      </x:c>
      <x:c r="D912" s="14" t="str">
        <x:v>seasonal and holiday</x:v>
      </x:c>
      <x:c r="E912" s="14" t="str">
        <x:v>https://res.cloudinary.com/oxygre42/image/upload/f_auto,q_auto,c_pad,b_white,w_1200,h_1200/v1788350514/1035_North_pole_air_mail.png</x:v>
      </x:c>
      <x:c r="F912" s="14" t="str"/>
      <x:c r="G912" s="14" t="str">
        <x:v>Lifestyle</x:v>
      </x:c>
      <x:c r="H912" s="14" t="str"/>
      <x:c r="I912" s="14" t="str">
        <x:v>Detail</x:v>
      </x:c>
      <x:c r="J912" s="14" t="str"/>
      <x:c r="K912" s="14" t="str">
        <x:v>Scale</x:v>
      </x:c>
      <x:c r="L912" s="14" t="str"/>
      <x:c r="M912" s="14" t="str">
        <x:v>Alternate</x:v>
      </x:c>
      <x:c r="N912" s="14" t="n">
        <x:f>IF(E912&lt;&gt;"",1,0)+IF(F912&lt;&gt;"",1,0)+IF(H912&lt;&gt;"",1,0)+IF(J912&lt;&gt;"",1,0)+IF(L912&lt;&gt;"",1,0)</x:f>
        <x:v>1</x:v>
      </x:c>
      <x:c r="O912" s="14" t="str">
        <x:f>IF(E912="","MISSING MAIN",IF(N912=1,"MAIN ONLY","MULTI-PHOTO"))</x:f>
        <x:v>MAIN ONLY</x:v>
      </x:c>
      <x:c r="P912" s="14" t="str">
        <x:v>1035_</x:v>
      </x:c>
      <x:c r="Q912" s="14" t="str">
        <x:v>https://mb1advancedsolutions.github.io/mb1-catalog/index.html?design=1035</x:v>
      </x:c>
      <x:c r="R912" s="14" t="str"/>
    </x:row>
    <x:row r="913">
      <x:c r="A913" s="13" t="str">
        <x:v>MB1-1037</x:v>
      </x:c>
      <x:c r="B913" s="13" t="str">
        <x:v>MB1-1037</x:v>
      </x:c>
      <x:c r="C913" s="14" t="str">
        <x:v>OLD GLORY</x:v>
      </x:c>
      <x:c r="D913" s="14" t="str">
        <x:v>seasonal and holiday</x:v>
      </x:c>
      <x:c r="E913" s="14" t="str">
        <x:v>https://res.cloudinary.com/oxygre42/image/upload/f_auto,q_auto,c_pad,b_white,w_1200,h_1200/v1788350518/1037_OLD_GLORY.jpg</x:v>
      </x:c>
      <x:c r="F913" s="14" t="str"/>
      <x:c r="G913" s="14" t="str">
        <x:v>Lifestyle</x:v>
      </x:c>
      <x:c r="H913" s="14" t="str"/>
      <x:c r="I913" s="14" t="str">
        <x:v>Detail</x:v>
      </x:c>
      <x:c r="J913" s="14" t="str"/>
      <x:c r="K913" s="14" t="str">
        <x:v>Scale</x:v>
      </x:c>
      <x:c r="L913" s="14" t="str"/>
      <x:c r="M913" s="14" t="str">
        <x:v>Alternate</x:v>
      </x:c>
      <x:c r="N913" s="14" t="n">
        <x:f>IF(E913&lt;&gt;"",1,0)+IF(F913&lt;&gt;"",1,0)+IF(H913&lt;&gt;"",1,0)+IF(J913&lt;&gt;"",1,0)+IF(L913&lt;&gt;"",1,0)</x:f>
        <x:v>1</x:v>
      </x:c>
      <x:c r="O913" s="14" t="str">
        <x:f>IF(E913="","MISSING MAIN",IF(N913=1,"MAIN ONLY","MULTI-PHOTO"))</x:f>
        <x:v>MAIN ONLY</x:v>
      </x:c>
      <x:c r="P913" s="14" t="str">
        <x:v>1037_</x:v>
      </x:c>
      <x:c r="Q913" s="14" t="str">
        <x:v>https://mb1advancedsolutions.github.io/mb1-catalog/index.html?design=1037</x:v>
      </x:c>
      <x:c r="R913" s="14" t="str"/>
    </x:row>
    <x:row r="914">
      <x:c r="A914" s="13" t="str">
        <x:v>MB1-1038</x:v>
      </x:c>
      <x:c r="B914" s="13" t="str">
        <x:v>MB1-1038</x:v>
      </x:c>
      <x:c r="C914" s="14" t="str">
        <x:v>Octopus</x:v>
      </x:c>
      <x:c r="D914" s="14" t="str">
        <x:v>wildlife and outdoors</x:v>
      </x:c>
      <x:c r="E914" s="14" t="str">
        <x:v>https://res.cloudinary.com/oxygre42/image/upload/f_auto,q_auto,c_pad,b_white,w_1200,h_1200/v1788350520/1038_Octopus.jpg</x:v>
      </x:c>
      <x:c r="F914" s="14" t="str"/>
      <x:c r="G914" s="14" t="str">
        <x:v>Lifestyle</x:v>
      </x:c>
      <x:c r="H914" s="14" t="str"/>
      <x:c r="I914" s="14" t="str">
        <x:v>Detail</x:v>
      </x:c>
      <x:c r="J914" s="14" t="str"/>
      <x:c r="K914" s="14" t="str">
        <x:v>Scale</x:v>
      </x:c>
      <x:c r="L914" s="14" t="str"/>
      <x:c r="M914" s="14" t="str">
        <x:v>Alternate</x:v>
      </x:c>
      <x:c r="N914" s="14" t="n">
        <x:f>IF(E914&lt;&gt;"",1,0)+IF(F914&lt;&gt;"",1,0)+IF(H914&lt;&gt;"",1,0)+IF(J914&lt;&gt;"",1,0)+IF(L914&lt;&gt;"",1,0)</x:f>
        <x:v>1</x:v>
      </x:c>
      <x:c r="O914" s="14" t="str">
        <x:f>IF(E914="","MISSING MAIN",IF(N914=1,"MAIN ONLY","MULTI-PHOTO"))</x:f>
        <x:v>MAIN ONLY</x:v>
      </x:c>
      <x:c r="P914" s="14" t="str">
        <x:v>1038_</x:v>
      </x:c>
      <x:c r="Q914" s="14" t="str">
        <x:v>https://mb1advancedsolutions.github.io/mb1-catalog/index.html?design=1038</x:v>
      </x:c>
      <x:c r="R914" s="14" t="str"/>
    </x:row>
    <x:row r="915">
      <x:c r="A915" s="13" t="str">
        <x:v>MB1-1039</x:v>
      </x:c>
      <x:c r="B915" s="13" t="str">
        <x:v>MB1-1039</x:v>
      </x:c>
      <x:c r="C915" s="14" t="str">
        <x:v>Owl and Key</x:v>
      </x:c>
      <x:c r="D915" s="14" t="str">
        <x:v>wildlife and outdoors</x:v>
      </x:c>
      <x:c r="E915" s="14" t="str">
        <x:v>https://res.cloudinary.com/oxygre42/image/upload/f_auto,q_auto,c_pad,b_white,w_1200,h_1200/v1788350522/1039_Owl_and_Key.png</x:v>
      </x:c>
      <x:c r="F915" s="14" t="str"/>
      <x:c r="G915" s="14" t="str">
        <x:v>Lifestyle</x:v>
      </x:c>
      <x:c r="H915" s="14" t="str"/>
      <x:c r="I915" s="14" t="str">
        <x:v>Detail</x:v>
      </x:c>
      <x:c r="J915" s="14" t="str"/>
      <x:c r="K915" s="14" t="str">
        <x:v>Scale</x:v>
      </x:c>
      <x:c r="L915" s="14" t="str"/>
      <x:c r="M915" s="14" t="str">
        <x:v>Alternate</x:v>
      </x:c>
      <x:c r="N915" s="14" t="n">
        <x:f>IF(E915&lt;&gt;"",1,0)+IF(F915&lt;&gt;"",1,0)+IF(H915&lt;&gt;"",1,0)+IF(J915&lt;&gt;"",1,0)+IF(L915&lt;&gt;"",1,0)</x:f>
        <x:v>1</x:v>
      </x:c>
      <x:c r="O915" s="14" t="str">
        <x:f>IF(E915="","MISSING MAIN",IF(N915=1,"MAIN ONLY","MULTI-PHOTO"))</x:f>
        <x:v>MAIN ONLY</x:v>
      </x:c>
      <x:c r="P915" s="14" t="str">
        <x:v>1039_</x:v>
      </x:c>
      <x:c r="Q915" s="14" t="str">
        <x:v>https://mb1advancedsolutions.github.io/mb1-catalog/index.html?design=1039</x:v>
      </x:c>
      <x:c r="R915" s="14" t="str"/>
    </x:row>
    <x:row r="916">
      <x:c r="A916" s="13" t="str">
        <x:v>MB1-1040</x:v>
      </x:c>
      <x:c r="B916" s="13" t="str">
        <x:v>MB1-1040</x:v>
      </x:c>
      <x:c r="C916" s="14" t="str">
        <x:v>POW MIA Eagle 36 inch</x:v>
      </x:c>
      <x:c r="D916" s="14" t="str">
        <x:v>wildlife and outdoors</x:v>
      </x:c>
      <x:c r="E916" s="14" t="str">
        <x:v>https://res.cloudinary.com/oxygre42/image/upload/f_auto,q_auto,c_pad,b_white,w_1200,h_1200/v1788350524/1040_POW_MIA_Eagle_36_inch.png</x:v>
      </x:c>
      <x:c r="F916" s="14" t="str"/>
      <x:c r="G916" s="14" t="str">
        <x:v>Lifestyle</x:v>
      </x:c>
      <x:c r="H916" s="14" t="str"/>
      <x:c r="I916" s="14" t="str">
        <x:v>Detail</x:v>
      </x:c>
      <x:c r="J916" s="14" t="str"/>
      <x:c r="K916" s="14" t="str">
        <x:v>Scale</x:v>
      </x:c>
      <x:c r="L916" s="14" t="str"/>
      <x:c r="M916" s="14" t="str">
        <x:v>Alternate</x:v>
      </x:c>
      <x:c r="N916" s="14" t="n">
        <x:f>IF(E916&lt;&gt;"",1,0)+IF(F916&lt;&gt;"",1,0)+IF(H916&lt;&gt;"",1,0)+IF(J916&lt;&gt;"",1,0)+IF(L916&lt;&gt;"",1,0)</x:f>
        <x:v>1</x:v>
      </x:c>
      <x:c r="O916" s="14" t="str">
        <x:f>IF(E916="","MISSING MAIN",IF(N916=1,"MAIN ONLY","MULTI-PHOTO"))</x:f>
        <x:v>MAIN ONLY</x:v>
      </x:c>
      <x:c r="P916" s="14" t="str">
        <x:v>1040_</x:v>
      </x:c>
      <x:c r="Q916" s="14" t="str">
        <x:v>https://mb1advancedsolutions.github.io/mb1-catalog/index.html?design=1040</x:v>
      </x:c>
      <x:c r="R916" s="14" t="str"/>
    </x:row>
    <x:row r="917">
      <x:c r="A917" s="13" t="str">
        <x:v>MB1-1041</x:v>
      </x:c>
      <x:c r="B917" s="13" t="str">
        <x:v>MB1-1041</x:v>
      </x:c>
      <x:c r="C917" s="14" t="str">
        <x:v>Pantry</x:v>
      </x:c>
      <x:c r="D917" s="14" t="str">
        <x:v>home decor and inspirational</x:v>
      </x:c>
      <x:c r="E917" s="14" t="str">
        <x:v>https://res.cloudinary.com/oxygre42/image/upload/f_auto,q_auto,c_pad,b_white,w_1200,h_1200/v1788350525/1041_Pantry.png</x:v>
      </x:c>
      <x:c r="F917" s="14" t="str"/>
      <x:c r="G917" s="14" t="str">
        <x:v>Lifestyle</x:v>
      </x:c>
      <x:c r="H917" s="14" t="str"/>
      <x:c r="I917" s="14" t="str">
        <x:v>Detail</x:v>
      </x:c>
      <x:c r="J917" s="14" t="str"/>
      <x:c r="K917" s="14" t="str">
        <x:v>Scale</x:v>
      </x:c>
      <x:c r="L917" s="14" t="str"/>
      <x:c r="M917" s="14" t="str">
        <x:v>Alternate</x:v>
      </x:c>
      <x:c r="N917" s="14" t="n">
        <x:f>IF(E917&lt;&gt;"",1,0)+IF(F917&lt;&gt;"",1,0)+IF(H917&lt;&gt;"",1,0)+IF(J917&lt;&gt;"",1,0)+IF(L917&lt;&gt;"",1,0)</x:f>
        <x:v>1</x:v>
      </x:c>
      <x:c r="O917" s="14" t="str">
        <x:f>IF(E917="","MISSING MAIN",IF(N917=1,"MAIN ONLY","MULTI-PHOTO"))</x:f>
        <x:v>MAIN ONLY</x:v>
      </x:c>
      <x:c r="P917" s="14" t="str">
        <x:v>1041_</x:v>
      </x:c>
      <x:c r="Q917" s="14" t="str">
        <x:v>https://mb1advancedsolutions.github.io/mb1-catalog/index.html?design=1041</x:v>
      </x:c>
      <x:c r="R917" s="14" t="str"/>
    </x:row>
    <x:row r="918">
      <x:c r="A918" s="13" t="str">
        <x:v>MB1-1042</x:v>
      </x:c>
      <x:c r="B918" s="13" t="str">
        <x:v>MB1-1042</x:v>
      </x:c>
      <x:c r="C918" s="14" t="str">
        <x:v>Papas Hangar</x:v>
      </x:c>
      <x:c r="D918" s="14" t="str">
        <x:v>garage and workshop</x:v>
      </x:c>
      <x:c r="E918" s="14" t="str">
        <x:v>https://res.cloudinary.com/oxygre42/image/upload/f_auto,q_auto,c_pad,b_white,w_1200,h_1200/v1788350527/1042_Papas_Hangar.png</x:v>
      </x:c>
      <x:c r="F918" s="14" t="str"/>
      <x:c r="G918" s="14" t="str">
        <x:v>Lifestyle</x:v>
      </x:c>
      <x:c r="H918" s="14" t="str"/>
      <x:c r="I918" s="14" t="str">
        <x:v>Detail</x:v>
      </x:c>
      <x:c r="J918" s="14" t="str"/>
      <x:c r="K918" s="14" t="str">
        <x:v>Scale</x:v>
      </x:c>
      <x:c r="L918" s="14" t="str"/>
      <x:c r="M918" s="14" t="str">
        <x:v>Alternate</x:v>
      </x:c>
      <x:c r="N918" s="14" t="n">
        <x:f>IF(E918&lt;&gt;"",1,0)+IF(F918&lt;&gt;"",1,0)+IF(H918&lt;&gt;"",1,0)+IF(J918&lt;&gt;"",1,0)+IF(L918&lt;&gt;"",1,0)</x:f>
        <x:v>1</x:v>
      </x:c>
      <x:c r="O918" s="14" t="str">
        <x:f>IF(E918="","MISSING MAIN",IF(N918=1,"MAIN ONLY","MULTI-PHOTO"))</x:f>
        <x:v>MAIN ONLY</x:v>
      </x:c>
      <x:c r="P918" s="14" t="str">
        <x:v>1042_</x:v>
      </x:c>
      <x:c r="Q918" s="14" t="str">
        <x:v>https://mb1advancedsolutions.github.io/mb1-catalog/index.html?design=1042</x:v>
      </x:c>
      <x:c r="R918" s="14" t="str"/>
    </x:row>
    <x:row r="919">
      <x:c r="A919" s="13" t="str">
        <x:v>MB1-1043</x:v>
      </x:c>
      <x:c r="B919" s="13" t="str">
        <x:v>MB1-1043</x:v>
      </x:c>
      <x:c r="C919" s="14" t="str">
        <x:v>Papas Man Cave</x:v>
      </x:c>
      <x:c r="D919" s="14" t="str">
        <x:v>home decor and inspirational</x:v>
      </x:c>
      <x:c r="E919" s="14" t="str">
        <x:v>https://res.cloudinary.com/oxygre42/image/upload/f_auto,q_auto,c_pad,b_white,w_1200,h_1200/v1788350529/1043_Papas_Man_Cave.png</x:v>
      </x:c>
      <x:c r="F919" s="14" t="str"/>
      <x:c r="G919" s="14" t="str">
        <x:v>Lifestyle</x:v>
      </x:c>
      <x:c r="H919" s="14" t="str"/>
      <x:c r="I919" s="14" t="str">
        <x:v>Detail</x:v>
      </x:c>
      <x:c r="J919" s="14" t="str"/>
      <x:c r="K919" s="14" t="str">
        <x:v>Scale</x:v>
      </x:c>
      <x:c r="L919" s="14" t="str"/>
      <x:c r="M919" s="14" t="str">
        <x:v>Alternate</x:v>
      </x:c>
      <x:c r="N919" s="14" t="n">
        <x:f>IF(E919&lt;&gt;"",1,0)+IF(F919&lt;&gt;"",1,0)+IF(H919&lt;&gt;"",1,0)+IF(J919&lt;&gt;"",1,0)+IF(L919&lt;&gt;"",1,0)</x:f>
        <x:v>1</x:v>
      </x:c>
      <x:c r="O919" s="14" t="str">
        <x:f>IF(E919="","MISSING MAIN",IF(N919=1,"MAIN ONLY","MULTI-PHOTO"))</x:f>
        <x:v>MAIN ONLY</x:v>
      </x:c>
      <x:c r="P919" s="14" t="str">
        <x:v>1043_</x:v>
      </x:c>
      <x:c r="Q919" s="14" t="str">
        <x:v>https://mb1advancedsolutions.github.io/mb1-catalog/index.html?design=1043</x:v>
      </x:c>
      <x:c r="R919" s="14" t="str"/>
    </x:row>
    <x:row r="920">
      <x:c r="A920" s="13" t="str">
        <x:v>MB1-1044</x:v>
      </x:c>
      <x:c r="B920" s="13" t="str">
        <x:v>MB1-1044</x:v>
      </x:c>
      <x:c r="C920" s="14" t="str">
        <x:v>Penny</x:v>
      </x:c>
      <x:c r="D920" s="14" t="str">
        <x:v>sports and hobbies</x:v>
      </x:c>
      <x:c r="E920" s="14" t="str">
        <x:v>https://res.cloudinary.com/oxygre42/image/upload/f_auto,q_auto,c_pad,b_white,w_1200,h_1200/v1788350532/1044_Penny.png</x:v>
      </x:c>
      <x:c r="F920" s="14" t="str"/>
      <x:c r="G920" s="14" t="str">
        <x:v>Lifestyle</x:v>
      </x:c>
      <x:c r="H920" s="14" t="str"/>
      <x:c r="I920" s="14" t="str">
        <x:v>Detail</x:v>
      </x:c>
      <x:c r="J920" s="14" t="str"/>
      <x:c r="K920" s="14" t="str">
        <x:v>Scale</x:v>
      </x:c>
      <x:c r="L920" s="14" t="str"/>
      <x:c r="M920" s="14" t="str">
        <x:v>Alternate</x:v>
      </x:c>
      <x:c r="N920" s="14" t="n">
        <x:f>IF(E920&lt;&gt;"",1,0)+IF(F920&lt;&gt;"",1,0)+IF(H920&lt;&gt;"",1,0)+IF(J920&lt;&gt;"",1,0)+IF(L920&lt;&gt;"",1,0)</x:f>
        <x:v>1</x:v>
      </x:c>
      <x:c r="O920" s="14" t="str">
        <x:f>IF(E920="","MISSING MAIN",IF(N920=1,"MAIN ONLY","MULTI-PHOTO"))</x:f>
        <x:v>MAIN ONLY</x:v>
      </x:c>
      <x:c r="P920" s="14" t="str">
        <x:v>1044_</x:v>
      </x:c>
      <x:c r="Q920" s="14" t="str">
        <x:v>https://mb1advancedsolutions.github.io/mb1-catalog/index.html?design=1044</x:v>
      </x:c>
      <x:c r="R920" s="14" t="str"/>
    </x:row>
    <x:row r="921">
      <x:c r="A921" s="13" t="str">
        <x:v>MB1-1045</x:v>
      </x:c>
      <x:c r="B921" s="13" t="str">
        <x:v>MB1-1045</x:v>
      </x:c>
      <x:c r="C921" s="14" t="str">
        <x:v>Piston Skull</x:v>
      </x:c>
      <x:c r="D921" s="14" t="str">
        <x:v>garage and workshop</x:v>
      </x:c>
      <x:c r="E921" s="14" t="str">
        <x:v>https://res.cloudinary.com/oxygre42/image/upload/f_auto,q_auto,c_pad,b_white,w_1200,h_1200/v1788350533/1045_Piston_Skull.png</x:v>
      </x:c>
      <x:c r="F921" s="14" t="str"/>
      <x:c r="G921" s="14" t="str">
        <x:v>Lifestyle</x:v>
      </x:c>
      <x:c r="H921" s="14" t="str"/>
      <x:c r="I921" s="14" t="str">
        <x:v>Detail</x:v>
      </x:c>
      <x:c r="J921" s="14" t="str"/>
      <x:c r="K921" s="14" t="str">
        <x:v>Scale</x:v>
      </x:c>
      <x:c r="L921" s="14" t="str"/>
      <x:c r="M921" s="14" t="str">
        <x:v>Alternate</x:v>
      </x:c>
      <x:c r="N921" s="14" t="n">
        <x:f>IF(E921&lt;&gt;"",1,0)+IF(F921&lt;&gt;"",1,0)+IF(H921&lt;&gt;"",1,0)+IF(J921&lt;&gt;"",1,0)+IF(L921&lt;&gt;"",1,0)</x:f>
        <x:v>1</x:v>
      </x:c>
      <x:c r="O921" s="14" t="str">
        <x:f>IF(E921="","MISSING MAIN",IF(N921=1,"MAIN ONLY","MULTI-PHOTO"))</x:f>
        <x:v>MAIN ONLY</x:v>
      </x:c>
      <x:c r="P921" s="14" t="str">
        <x:v>1045_</x:v>
      </x:c>
      <x:c r="Q921" s="14" t="str">
        <x:v>https://mb1advancedsolutions.github.io/mb1-catalog/index.html?design=1045</x:v>
      </x:c>
      <x:c r="R921" s="14" t="str"/>
    </x:row>
    <x:row r="922">
      <x:c r="A922" s="13" t="str">
        <x:v>MB1-1046</x:v>
      </x:c>
      <x:c r="B922" s="13" t="str">
        <x:v>MB1-1046</x:v>
      </x:c>
      <x:c r="C922" s="14" t="str">
        <x:v>Piston and gear garage sign</x:v>
      </x:c>
      <x:c r="D922" s="14" t="str">
        <x:v>garage and workshop</x:v>
      </x:c>
      <x:c r="E922" s="14" t="str">
        <x:v>https://res.cloudinary.com/oxygre42/image/upload/f_auto,q_auto,c_pad,b_white,w_1200,h_1200/v1788350535/1046_Piston_and_gear_garage_sign.png</x:v>
      </x:c>
      <x:c r="F922" s="14" t="str"/>
      <x:c r="G922" s="14" t="str">
        <x:v>Lifestyle</x:v>
      </x:c>
      <x:c r="H922" s="14" t="str"/>
      <x:c r="I922" s="14" t="str">
        <x:v>Detail</x:v>
      </x:c>
      <x:c r="J922" s="14" t="str"/>
      <x:c r="K922" s="14" t="str">
        <x:v>Scale</x:v>
      </x:c>
      <x:c r="L922" s="14" t="str"/>
      <x:c r="M922" s="14" t="str">
        <x:v>Alternate</x:v>
      </x:c>
      <x:c r="N922" s="14" t="n">
        <x:f>IF(E922&lt;&gt;"",1,0)+IF(F922&lt;&gt;"",1,0)+IF(H922&lt;&gt;"",1,0)+IF(J922&lt;&gt;"",1,0)+IF(L922&lt;&gt;"",1,0)</x:f>
        <x:v>1</x:v>
      </x:c>
      <x:c r="O922" s="14" t="str">
        <x:f>IF(E922="","MISSING MAIN",IF(N922=1,"MAIN ONLY","MULTI-PHOTO"))</x:f>
        <x:v>MAIN ONLY</x:v>
      </x:c>
      <x:c r="P922" s="14" t="str">
        <x:v>1046_</x:v>
      </x:c>
      <x:c r="Q922" s="14" t="str">
        <x:v>https://mb1advancedsolutions.github.io/mb1-catalog/index.html?design=1046</x:v>
      </x:c>
      <x:c r="R922" s="14" t="str"/>
    </x:row>
    <x:row r="923">
      <x:c r="A923" s="13" t="str">
        <x:v>MB1-1047</x:v>
      </x:c>
      <x:c r="B923" s="13" t="str">
        <x:v>MB1-1047</x:v>
      </x:c>
      <x:c r="C923" s="14" t="str">
        <x:v>Planchette</x:v>
      </x:c>
      <x:c r="D923" s="14" t="str">
        <x:v>home decor and inspirational</x:v>
      </x:c>
      <x:c r="E923" s="14" t="str">
        <x:v>https://res.cloudinary.com/oxygre42/image/upload/f_auto,q_auto,c_pad,b_white,w_1200,h_1200/v1788350537/1047_Planchette.png</x:v>
      </x:c>
      <x:c r="F923" s="14" t="str"/>
      <x:c r="G923" s="14" t="str">
        <x:v>Lifestyle</x:v>
      </x:c>
      <x:c r="H923" s="14" t="str"/>
      <x:c r="I923" s="14" t="str">
        <x:v>Detail</x:v>
      </x:c>
      <x:c r="J923" s="14" t="str"/>
      <x:c r="K923" s="14" t="str">
        <x:v>Scale</x:v>
      </x:c>
      <x:c r="L923" s="14" t="str"/>
      <x:c r="M923" s="14" t="str">
        <x:v>Alternate</x:v>
      </x:c>
      <x:c r="N923" s="14" t="n">
        <x:f>IF(E923&lt;&gt;"",1,0)+IF(F923&lt;&gt;"",1,0)+IF(H923&lt;&gt;"",1,0)+IF(J923&lt;&gt;"",1,0)+IF(L923&lt;&gt;"",1,0)</x:f>
        <x:v>1</x:v>
      </x:c>
      <x:c r="O923" s="14" t="str">
        <x:f>IF(E923="","MISSING MAIN",IF(N923=1,"MAIN ONLY","MULTI-PHOTO"))</x:f>
        <x:v>MAIN ONLY</x:v>
      </x:c>
      <x:c r="P923" s="14" t="str">
        <x:v>1047_</x:v>
      </x:c>
      <x:c r="Q923" s="14" t="str">
        <x:v>https://mb1advancedsolutions.github.io/mb1-catalog/index.html?design=1047</x:v>
      </x:c>
      <x:c r="R923" s="14" t="str"/>
    </x:row>
    <x:row r="924">
      <x:c r="A924" s="13" t="str">
        <x:v>MB1-1049</x:v>
      </x:c>
      <x:c r="B924" s="13" t="str">
        <x:v>MB1-1049</x:v>
      </x:c>
      <x:c r="C924" s="14" t="str">
        <x:v>Pork cuts butchers diagram</x:v>
      </x:c>
      <x:c r="D924" s="14" t="str">
        <x:v>farm and western</x:v>
      </x:c>
      <x:c r="E924" s="14" t="str">
        <x:v>https://res.cloudinary.com/oxygre42/image/upload/f_auto,q_auto,c_pad,b_white,w_1200,h_1200/v1788350539/1049_Pork_cuts_butchers_diagram.png</x:v>
      </x:c>
      <x:c r="F924" s="14" t="str"/>
      <x:c r="G924" s="14" t="str">
        <x:v>Lifestyle</x:v>
      </x:c>
      <x:c r="H924" s="14" t="str"/>
      <x:c r="I924" s="14" t="str">
        <x:v>Detail</x:v>
      </x:c>
      <x:c r="J924" s="14" t="str"/>
      <x:c r="K924" s="14" t="str">
        <x:v>Scale</x:v>
      </x:c>
      <x:c r="L924" s="14" t="str"/>
      <x:c r="M924" s="14" t="str">
        <x:v>Alternate</x:v>
      </x:c>
      <x:c r="N924" s="14" t="n">
        <x:f>IF(E924&lt;&gt;"",1,0)+IF(F924&lt;&gt;"",1,0)+IF(H924&lt;&gt;"",1,0)+IF(J924&lt;&gt;"",1,0)+IF(L924&lt;&gt;"",1,0)</x:f>
        <x:v>1</x:v>
      </x:c>
      <x:c r="O924" s="14" t="str">
        <x:f>IF(E924="","MISSING MAIN",IF(N924=1,"MAIN ONLY","MULTI-PHOTO"))</x:f>
        <x:v>MAIN ONLY</x:v>
      </x:c>
      <x:c r="P924" s="14" t="str">
        <x:v>1049_</x:v>
      </x:c>
      <x:c r="Q924" s="14" t="str">
        <x:v>https://mb1advancedsolutions.github.io/mb1-catalog/index.html?design=1049</x:v>
      </x:c>
      <x:c r="R924" s="14" t="str"/>
    </x:row>
    <x:row r="925">
      <x:c r="A925" s="13" t="str">
        <x:v>MB1-1050</x:v>
      </x:c>
      <x:c r="B925" s="13" t="str">
        <x:v>MB1-1050</x:v>
      </x:c>
      <x:c r="C925" s="14" t="str">
        <x:v>Protected by the Lord and a Gun</x:v>
      </x:c>
      <x:c r="D925" s="14" t="str">
        <x:v>sports and hobbies</x:v>
      </x:c>
      <x:c r="E925" s="14" t="str">
        <x:v>https://res.cloudinary.com/oxygre42/image/upload/f_auto,q_auto,c_pad,b_white,w_1200,h_1200/v1788350540/1050_Protected_by_the_Lord_and_a_Gun.png</x:v>
      </x:c>
      <x:c r="F925" s="14" t="str"/>
      <x:c r="G925" s="14" t="str">
        <x:v>Lifestyle</x:v>
      </x:c>
      <x:c r="H925" s="14" t="str"/>
      <x:c r="I925" s="14" t="str">
        <x:v>Detail</x:v>
      </x:c>
      <x:c r="J925" s="14" t="str"/>
      <x:c r="K925" s="14" t="str">
        <x:v>Scale</x:v>
      </x:c>
      <x:c r="L925" s="14" t="str"/>
      <x:c r="M925" s="14" t="str">
        <x:v>Alternate</x:v>
      </x:c>
      <x:c r="N925" s="14" t="n">
        <x:f>IF(E925&lt;&gt;"",1,0)+IF(F925&lt;&gt;"",1,0)+IF(H925&lt;&gt;"",1,0)+IF(J925&lt;&gt;"",1,0)+IF(L925&lt;&gt;"",1,0)</x:f>
        <x:v>1</x:v>
      </x:c>
      <x:c r="O925" s="14" t="str">
        <x:f>IF(E925="","MISSING MAIN",IF(N925=1,"MAIN ONLY","MULTI-PHOTO"))</x:f>
        <x:v>MAIN ONLY</x:v>
      </x:c>
      <x:c r="P925" s="14" t="str">
        <x:v>1050_</x:v>
      </x:c>
      <x:c r="Q925" s="14" t="str">
        <x:v>https://mb1advancedsolutions.github.io/mb1-catalog/index.html?design=1050</x:v>
      </x:c>
      <x:c r="R925" s="14" t="str"/>
    </x:row>
    <x:row r="926">
      <x:c r="A926" s="13" t="str">
        <x:v>MB1-1051</x:v>
      </x:c>
      <x:c r="B926" s="13" t="str">
        <x:v>MB1-1051</x:v>
      </x:c>
      <x:c r="C926" s="14" t="str">
        <x:v>Pumpkin 3</x:v>
      </x:c>
      <x:c r="D926" s="14" t="str">
        <x:v>seasonal and holiday</x:v>
      </x:c>
      <x:c r="E926" s="14" t="str">
        <x:v>https://res.cloudinary.com/oxygre42/image/upload/f_auto,q_auto,c_pad,b_white,w_1200,h_1200/v1788350542/1051_Pumpkin_3.png</x:v>
      </x:c>
      <x:c r="F926" s="14" t="str"/>
      <x:c r="G926" s="14" t="str">
        <x:v>Lifestyle</x:v>
      </x:c>
      <x:c r="H926" s="14" t="str"/>
      <x:c r="I926" s="14" t="str">
        <x:v>Detail</x:v>
      </x:c>
      <x:c r="J926" s="14" t="str"/>
      <x:c r="K926" s="14" t="str">
        <x:v>Scale</x:v>
      </x:c>
      <x:c r="L926" s="14" t="str"/>
      <x:c r="M926" s="14" t="str">
        <x:v>Alternate</x:v>
      </x:c>
      <x:c r="N926" s="14" t="n">
        <x:f>IF(E926&lt;&gt;"",1,0)+IF(F926&lt;&gt;"",1,0)+IF(H926&lt;&gt;"",1,0)+IF(J926&lt;&gt;"",1,0)+IF(L926&lt;&gt;"",1,0)</x:f>
        <x:v>1</x:v>
      </x:c>
      <x:c r="O926" s="14" t="str">
        <x:f>IF(E926="","MISSING MAIN",IF(N926=1,"MAIN ONLY","MULTI-PHOTO"))</x:f>
        <x:v>MAIN ONLY</x:v>
      </x:c>
      <x:c r="P926" s="14" t="str">
        <x:v>1051_</x:v>
      </x:c>
      <x:c r="Q926" s="14" t="str">
        <x:v>https://mb1advancedsolutions.github.io/mb1-catalog/index.html?design=1051</x:v>
      </x:c>
      <x:c r="R926" s="14" t="str"/>
    </x:row>
    <x:row r="927">
      <x:c r="A927" s="13" t="str">
        <x:v>MB1-1052</x:v>
      </x:c>
      <x:c r="B927" s="13" t="str">
        <x:v>MB1-1052</x:v>
      </x:c>
      <x:c r="C927" s="14" t="str">
        <x:v>Pumpkin Monogram Frame</x:v>
      </x:c>
      <x:c r="D927" s="14" t="str">
        <x:v>seasonal and holiday</x:v>
      </x:c>
      <x:c r="E927" s="14" t="str">
        <x:v>https://res.cloudinary.com/oxygre42/image/upload/f_auto,q_auto,c_pad,b_white,w_1200,h_1200/v1788350544/1052_Pumpkin_Monogram_Frame.png</x:v>
      </x:c>
      <x:c r="F927" s="14" t="str"/>
      <x:c r="G927" s="14" t="str">
        <x:v>Lifestyle</x:v>
      </x:c>
      <x:c r="H927" s="14" t="str"/>
      <x:c r="I927" s="14" t="str">
        <x:v>Detail</x:v>
      </x:c>
      <x:c r="J927" s="14" t="str"/>
      <x:c r="K927" s="14" t="str">
        <x:v>Scale</x:v>
      </x:c>
      <x:c r="L927" s="14" t="str"/>
      <x:c r="M927" s="14" t="str">
        <x:v>Alternate</x:v>
      </x:c>
      <x:c r="N927" s="14" t="n">
        <x:f>IF(E927&lt;&gt;"",1,0)+IF(F927&lt;&gt;"",1,0)+IF(H927&lt;&gt;"",1,0)+IF(J927&lt;&gt;"",1,0)+IF(L927&lt;&gt;"",1,0)</x:f>
        <x:v>1</x:v>
      </x:c>
      <x:c r="O927" s="14" t="str">
        <x:f>IF(E927="","MISSING MAIN",IF(N927=1,"MAIN ONLY","MULTI-PHOTO"))</x:f>
        <x:v>MAIN ONLY</x:v>
      </x:c>
      <x:c r="P927" s="14" t="str">
        <x:v>1052_</x:v>
      </x:c>
      <x:c r="Q927" s="14" t="str">
        <x:v>https://mb1advancedsolutions.github.io/mb1-catalog/index.html?design=1052</x:v>
      </x:c>
      <x:c r="R927" s="14" t="str"/>
    </x:row>
    <x:row r="928">
      <x:c r="A928" s="13" t="str">
        <x:v>MB1-1053</x:v>
      </x:c>
      <x:c r="B928" s="13" t="str">
        <x:v>MB1-1053</x:v>
      </x:c>
      <x:c r="C928" s="14" t="str">
        <x:v>Quarter pound</x:v>
      </x:c>
      <x:c r="D928" s="14" t="str">
        <x:v>sports and hobbies</x:v>
      </x:c>
      <x:c r="E928" s="14" t="str">
        <x:v>https://res.cloudinary.com/oxygre42/image/upload/f_auto,q_auto,c_pad,b_white,w_1200,h_1200/v1788350546/1053_Quarter_pound.png</x:v>
      </x:c>
      <x:c r="F928" s="14" t="str"/>
      <x:c r="G928" s="14" t="str">
        <x:v>Lifestyle</x:v>
      </x:c>
      <x:c r="H928" s="14" t="str"/>
      <x:c r="I928" s="14" t="str">
        <x:v>Detail</x:v>
      </x:c>
      <x:c r="J928" s="14" t="str"/>
      <x:c r="K928" s="14" t="str">
        <x:v>Scale</x:v>
      </x:c>
      <x:c r="L928" s="14" t="str"/>
      <x:c r="M928" s="14" t="str">
        <x:v>Alternate</x:v>
      </x:c>
      <x:c r="N928" s="14" t="n">
        <x:f>IF(E928&lt;&gt;"",1,0)+IF(F928&lt;&gt;"",1,0)+IF(H928&lt;&gt;"",1,0)+IF(J928&lt;&gt;"",1,0)+IF(L928&lt;&gt;"",1,0)</x:f>
        <x:v>1</x:v>
      </x:c>
      <x:c r="O928" s="14" t="str">
        <x:f>IF(E928="","MISSING MAIN",IF(N928=1,"MAIN ONLY","MULTI-PHOTO"))</x:f>
        <x:v>MAIN ONLY</x:v>
      </x:c>
      <x:c r="P928" s="14" t="str">
        <x:v>1053_</x:v>
      </x:c>
      <x:c r="Q928" s="14" t="str">
        <x:v>https://mb1advancedsolutions.github.io/mb1-catalog/index.html?design=1053</x:v>
      </x:c>
      <x:c r="R928" s="14" t="str"/>
    </x:row>
    <x:row r="929">
      <x:c r="A929" s="13" t="str">
        <x:v>MB1-1056</x:v>
      </x:c>
      <x:c r="B929" s="13" t="str">
        <x:v>MB1-1056</x:v>
      </x:c>
      <x:c r="C929" s="14" t="str">
        <x:v>Rat Rod</x:v>
      </x:c>
      <x:c r="D929" s="14" t="str">
        <x:v>garage and workshop</x:v>
      </x:c>
      <x:c r="E929" s="14" t="str">
        <x:v>https://res.cloudinary.com/oxygre42/image/upload/f_auto,q_auto,c_pad,b_white,w_1200,h_1200/v1788350552/1056_Rat_Rod.png</x:v>
      </x:c>
      <x:c r="F929" s="14" t="str"/>
      <x:c r="G929" s="14" t="str">
        <x:v>Lifestyle</x:v>
      </x:c>
      <x:c r="H929" s="14" t="str"/>
      <x:c r="I929" s="14" t="str">
        <x:v>Detail</x:v>
      </x:c>
      <x:c r="J929" s="14" t="str"/>
      <x:c r="K929" s="14" t="str">
        <x:v>Scale</x:v>
      </x:c>
      <x:c r="L929" s="14" t="str"/>
      <x:c r="M929" s="14" t="str">
        <x:v>Alternate</x:v>
      </x:c>
      <x:c r="N929" s="14" t="n">
        <x:f>IF(E929&lt;&gt;"",1,0)+IF(F929&lt;&gt;"",1,0)+IF(H929&lt;&gt;"",1,0)+IF(J929&lt;&gt;"",1,0)+IF(L929&lt;&gt;"",1,0)</x:f>
        <x:v>1</x:v>
      </x:c>
      <x:c r="O929" s="14" t="str">
        <x:f>IF(E929="","MISSING MAIN",IF(N929=1,"MAIN ONLY","MULTI-PHOTO"))</x:f>
        <x:v>MAIN ONLY</x:v>
      </x:c>
      <x:c r="P929" s="14" t="str">
        <x:v>1056_</x:v>
      </x:c>
      <x:c r="Q929" s="14" t="str">
        <x:v>https://mb1advancedsolutions.github.io/mb1-catalog/index.html?design=1056</x:v>
      </x:c>
      <x:c r="R929" s="14" t="str"/>
    </x:row>
    <x:row r="930">
      <x:c r="A930" s="13" t="str">
        <x:v>MB1-1058</x:v>
      </x:c>
      <x:c r="B930" s="13" t="str">
        <x:v>MB1-1058</x:v>
      </x:c>
      <x:c r="C930" s="14" t="str">
        <x:v>Revelation 1911</x:v>
      </x:c>
      <x:c r="D930" s="14" t="str">
        <x:v>home decor and inspirational</x:v>
      </x:c>
      <x:c r="E930" s="14" t="str">
        <x:v>https://res.cloudinary.com/oxygre42/image/upload/f_auto,q_auto,c_pad,b_white,w_1200,h_1200/v1788350555/1058_Revelation_1911.png</x:v>
      </x:c>
      <x:c r="F930" s="14" t="str"/>
      <x:c r="G930" s="14" t="str">
        <x:v>Lifestyle</x:v>
      </x:c>
      <x:c r="H930" s="14" t="str"/>
      <x:c r="I930" s="14" t="str">
        <x:v>Detail</x:v>
      </x:c>
      <x:c r="J930" s="14" t="str"/>
      <x:c r="K930" s="14" t="str">
        <x:v>Scale</x:v>
      </x:c>
      <x:c r="L930" s="14" t="str"/>
      <x:c r="M930" s="14" t="str">
        <x:v>Alternate</x:v>
      </x:c>
      <x:c r="N930" s="14" t="n">
        <x:f>IF(E930&lt;&gt;"",1,0)+IF(F930&lt;&gt;"",1,0)+IF(H930&lt;&gt;"",1,0)+IF(J930&lt;&gt;"",1,0)+IF(L930&lt;&gt;"",1,0)</x:f>
        <x:v>1</x:v>
      </x:c>
      <x:c r="O930" s="14" t="str">
        <x:f>IF(E930="","MISSING MAIN",IF(N930=1,"MAIN ONLY","MULTI-PHOTO"))</x:f>
        <x:v>MAIN ONLY</x:v>
      </x:c>
      <x:c r="P930" s="14" t="str">
        <x:v>1058_</x:v>
      </x:c>
      <x:c r="Q930" s="14" t="str">
        <x:v>https://mb1advancedsolutions.github.io/mb1-catalog/index.html?design=1058</x:v>
      </x:c>
      <x:c r="R930" s="14" t="str"/>
    </x:row>
    <x:row r="931">
      <x:c r="A931" s="13" t="str">
        <x:v>MB1-1059</x:v>
      </x:c>
      <x:c r="B931" s="13" t="str">
        <x:v>MB1-1059</x:v>
      </x:c>
      <x:c r="C931" s="14" t="str">
        <x:v>Rock _ Roll Guitar</x:v>
      </x:c>
      <x:c r="D931" s="14" t="str">
        <x:v>sports and hobbies</x:v>
      </x:c>
      <x:c r="E931" s="14" t="str">
        <x:v>https://res.cloudinary.com/oxygre42/image/upload/f_auto,q_auto,c_pad,b_white,w_1200,h_1200/v1788350557/1059_Rock___Roll_Guitar.png</x:v>
      </x:c>
      <x:c r="F931" s="14" t="str"/>
      <x:c r="G931" s="14" t="str">
        <x:v>Lifestyle</x:v>
      </x:c>
      <x:c r="H931" s="14" t="str"/>
      <x:c r="I931" s="14" t="str">
        <x:v>Detail</x:v>
      </x:c>
      <x:c r="J931" s="14" t="str"/>
      <x:c r="K931" s="14" t="str">
        <x:v>Scale</x:v>
      </x:c>
      <x:c r="L931" s="14" t="str"/>
      <x:c r="M931" s="14" t="str">
        <x:v>Alternate</x:v>
      </x:c>
      <x:c r="N931" s="14" t="n">
        <x:f>IF(E931&lt;&gt;"",1,0)+IF(F931&lt;&gt;"",1,0)+IF(H931&lt;&gt;"",1,0)+IF(J931&lt;&gt;"",1,0)+IF(L931&lt;&gt;"",1,0)</x:f>
        <x:v>1</x:v>
      </x:c>
      <x:c r="O931" s="14" t="str">
        <x:f>IF(E931="","MISSING MAIN",IF(N931=1,"MAIN ONLY","MULTI-PHOTO"))</x:f>
        <x:v>MAIN ONLY</x:v>
      </x:c>
      <x:c r="P931" s="14" t="str">
        <x:v>1059_</x:v>
      </x:c>
      <x:c r="Q931" s="14" t="str">
        <x:v>https://mb1advancedsolutions.github.io/mb1-catalog/index.html?design=1059</x:v>
      </x:c>
      <x:c r="R931" s="14" t="str"/>
    </x:row>
    <x:row r="932">
      <x:c r="A932" s="13" t="str">
        <x:v>MB1-1060</x:v>
      </x:c>
      <x:c r="B932" s="13" t="str">
        <x:v>MB1-1060</x:v>
      </x:c>
      <x:c r="C932" s="14" t="str">
        <x:v>Rose and skull design</x:v>
      </x:c>
      <x:c r="D932" s="14" t="str">
        <x:v>home decor and inspirational</x:v>
      </x:c>
      <x:c r="E932" s="14" t="str">
        <x:v>https://res.cloudinary.com/oxygre42/image/upload/f_auto,q_auto,c_pad,b_white,w_1200,h_1200/v1788350559/1060_Rose_and_skull_design.png</x:v>
      </x:c>
      <x:c r="F932" s="14" t="str"/>
      <x:c r="G932" s="14" t="str">
        <x:v>Lifestyle</x:v>
      </x:c>
      <x:c r="H932" s="14" t="str"/>
      <x:c r="I932" s="14" t="str">
        <x:v>Detail</x:v>
      </x:c>
      <x:c r="J932" s="14" t="str"/>
      <x:c r="K932" s="14" t="str">
        <x:v>Scale</x:v>
      </x:c>
      <x:c r="L932" s="14" t="str"/>
      <x:c r="M932" s="14" t="str">
        <x:v>Alternate</x:v>
      </x:c>
      <x:c r="N932" s="14" t="n">
        <x:f>IF(E932&lt;&gt;"",1,0)+IF(F932&lt;&gt;"",1,0)+IF(H932&lt;&gt;"",1,0)+IF(J932&lt;&gt;"",1,0)+IF(L932&lt;&gt;"",1,0)</x:f>
        <x:v>1</x:v>
      </x:c>
      <x:c r="O932" s="14" t="str">
        <x:f>IF(E932="","MISSING MAIN",IF(N932=1,"MAIN ONLY","MULTI-PHOTO"))</x:f>
        <x:v>MAIN ONLY</x:v>
      </x:c>
      <x:c r="P932" s="14" t="str">
        <x:v>1060_</x:v>
      </x:c>
      <x:c r="Q932" s="14" t="str">
        <x:v>https://mb1advancedsolutions.github.io/mb1-catalog/index.html?design=1060</x:v>
      </x:c>
      <x:c r="R932" s="14" t="str"/>
    </x:row>
    <x:row r="933">
      <x:c r="A933" s="13" t="str">
        <x:v>MB1-1061</x:v>
      </x:c>
      <x:c r="B933" s="13" t="str">
        <x:v>MB1-1061</x:v>
      </x:c>
      <x:c r="C933" s="14" t="str">
        <x:v>Route 66 Bullet Holes</x:v>
      </x:c>
      <x:c r="D933" s="14" t="str">
        <x:v>home decor and inspirational</x:v>
      </x:c>
      <x:c r="E933" s="14" t="str">
        <x:v>https://res.cloudinary.com/oxygre42/image/upload/f_auto,q_auto,c_pad,b_white,w_1200,h_1200/v1788350561/1061_Route_66_Bullet_Holes.png</x:v>
      </x:c>
      <x:c r="F933" s="14" t="str"/>
      <x:c r="G933" s="14" t="str">
        <x:v>Lifestyle</x:v>
      </x:c>
      <x:c r="H933" s="14" t="str"/>
      <x:c r="I933" s="14" t="str">
        <x:v>Detail</x:v>
      </x:c>
      <x:c r="J933" s="14" t="str"/>
      <x:c r="K933" s="14" t="str">
        <x:v>Scale</x:v>
      </x:c>
      <x:c r="L933" s="14" t="str"/>
      <x:c r="M933" s="14" t="str">
        <x:v>Alternate</x:v>
      </x:c>
      <x:c r="N933" s="14" t="n">
        <x:f>IF(E933&lt;&gt;"",1,0)+IF(F933&lt;&gt;"",1,0)+IF(H933&lt;&gt;"",1,0)+IF(J933&lt;&gt;"",1,0)+IF(L933&lt;&gt;"",1,0)</x:f>
        <x:v>1</x:v>
      </x:c>
      <x:c r="O933" s="14" t="str">
        <x:f>IF(E933="","MISSING MAIN",IF(N933=1,"MAIN ONLY","MULTI-PHOTO"))</x:f>
        <x:v>MAIN ONLY</x:v>
      </x:c>
      <x:c r="P933" s="14" t="str">
        <x:v>1061_</x:v>
      </x:c>
      <x:c r="Q933" s="14" t="str">
        <x:v>https://mb1advancedsolutions.github.io/mb1-catalog/index.html?design=1061</x:v>
      </x:c>
      <x:c r="R933" s="14" t="str"/>
    </x:row>
    <x:row r="934">
      <x:c r="A934" s="13" t="str">
        <x:v>MB1-1062</x:v>
      </x:c>
      <x:c r="B934" s="13" t="str">
        <x:v>MB1-1062</x:v>
      </x:c>
      <x:c r="C934" s="14" t="str">
        <x:v>Route 66</x:v>
      </x:c>
      <x:c r="D934" s="14" t="str">
        <x:v>home decor and inspirational</x:v>
      </x:c>
      <x:c r="E934" s="14" t="str">
        <x:v>https://res.cloudinary.com/oxygre42/image/upload/f_auto,q_auto,c_pad,b_white,w_1200,h_1200/v1788350563/1062_Route_66.png</x:v>
      </x:c>
      <x:c r="F934" s="14" t="str"/>
      <x:c r="G934" s="14" t="str">
        <x:v>Lifestyle</x:v>
      </x:c>
      <x:c r="H934" s="14" t="str"/>
      <x:c r="I934" s="14" t="str">
        <x:v>Detail</x:v>
      </x:c>
      <x:c r="J934" s="14" t="str"/>
      <x:c r="K934" s="14" t="str">
        <x:v>Scale</x:v>
      </x:c>
      <x:c r="L934" s="14" t="str"/>
      <x:c r="M934" s="14" t="str">
        <x:v>Alternate</x:v>
      </x:c>
      <x:c r="N934" s="14" t="n">
        <x:f>IF(E934&lt;&gt;"",1,0)+IF(F934&lt;&gt;"",1,0)+IF(H934&lt;&gt;"",1,0)+IF(J934&lt;&gt;"",1,0)+IF(L934&lt;&gt;"",1,0)</x:f>
        <x:v>1</x:v>
      </x:c>
      <x:c r="O934" s="14" t="str">
        <x:f>IF(E934="","MISSING MAIN",IF(N934=1,"MAIN ONLY","MULTI-PHOTO"))</x:f>
        <x:v>MAIN ONLY</x:v>
      </x:c>
      <x:c r="P934" s="14" t="str">
        <x:v>1062_</x:v>
      </x:c>
      <x:c r="Q934" s="14" t="str">
        <x:v>https://mb1advancedsolutions.github.io/mb1-catalog/index.html?design=1062</x:v>
      </x:c>
      <x:c r="R934" s="14" t="str"/>
    </x:row>
    <x:row r="935">
      <x:c r="A935" s="13" t="str">
        <x:v>MB1-1064</x:v>
      </x:c>
      <x:c r="B935" s="13" t="str">
        <x:v>MB1-1064</x:v>
      </x:c>
      <x:c r="C935" s="14" t="str">
        <x:v>SKULBULB</x:v>
      </x:c>
      <x:c r="D935" s="14" t="str">
        <x:v>home decor and inspirational</x:v>
      </x:c>
      <x:c r="E935" s="14" t="str">
        <x:v>https://res.cloudinary.com/oxygre42/image/upload/f_auto,q_auto,c_pad,b_white,w_1200,h_1200/v1788350567/1064_SKULBULB.png</x:v>
      </x:c>
      <x:c r="F935" s="14" t="str"/>
      <x:c r="G935" s="14" t="str">
        <x:v>Lifestyle</x:v>
      </x:c>
      <x:c r="H935" s="14" t="str"/>
      <x:c r="I935" s="14" t="str">
        <x:v>Detail</x:v>
      </x:c>
      <x:c r="J935" s="14" t="str"/>
      <x:c r="K935" s="14" t="str">
        <x:v>Scale</x:v>
      </x:c>
      <x:c r="L935" s="14" t="str"/>
      <x:c r="M935" s="14" t="str">
        <x:v>Alternate</x:v>
      </x:c>
      <x:c r="N935" s="14" t="n">
        <x:f>IF(E935&lt;&gt;"",1,0)+IF(F935&lt;&gt;"",1,0)+IF(H935&lt;&gt;"",1,0)+IF(J935&lt;&gt;"",1,0)+IF(L935&lt;&gt;"",1,0)</x:f>
        <x:v>1</x:v>
      </x:c>
      <x:c r="O935" s="14" t="str">
        <x:f>IF(E935="","MISSING MAIN",IF(N935=1,"MAIN ONLY","MULTI-PHOTO"))</x:f>
        <x:v>MAIN ONLY</x:v>
      </x:c>
      <x:c r="P935" s="14" t="str">
        <x:v>1064_</x:v>
      </x:c>
      <x:c r="Q935" s="14" t="str">
        <x:v>https://mb1advancedsolutions.github.io/mb1-catalog/index.html?design=1064</x:v>
      </x:c>
      <x:c r="R935" s="14" t="str"/>
    </x:row>
    <x:row r="936">
      <x:c r="A936" s="13" t="str">
        <x:v>MB1-1065</x:v>
      </x:c>
      <x:c r="B936" s="13" t="str">
        <x:v>MB1-1065</x:v>
      </x:c>
      <x:c r="C936" s="14" t="str">
        <x:v>Santa Skull</x:v>
      </x:c>
      <x:c r="D936" s="14" t="str">
        <x:v>seasonal and holiday</x:v>
      </x:c>
      <x:c r="E936" s="14" t="str">
        <x:v>https://res.cloudinary.com/oxygre42/image/upload/f_auto,q_auto,c_pad,b_white,w_1200,h_1200/v1788350569/1065_Santa_Skull.png</x:v>
      </x:c>
      <x:c r="F936" s="14" t="str"/>
      <x:c r="G936" s="14" t="str">
        <x:v>Lifestyle</x:v>
      </x:c>
      <x:c r="H936" s="14" t="str"/>
      <x:c r="I936" s="14" t="str">
        <x:v>Detail</x:v>
      </x:c>
      <x:c r="J936" s="14" t="str"/>
      <x:c r="K936" s="14" t="str">
        <x:v>Scale</x:v>
      </x:c>
      <x:c r="L936" s="14" t="str"/>
      <x:c r="M936" s="14" t="str">
        <x:v>Alternate</x:v>
      </x:c>
      <x:c r="N936" s="14" t="n">
        <x:f>IF(E936&lt;&gt;"",1,0)+IF(F936&lt;&gt;"",1,0)+IF(H936&lt;&gt;"",1,0)+IF(J936&lt;&gt;"",1,0)+IF(L936&lt;&gt;"",1,0)</x:f>
        <x:v>1</x:v>
      </x:c>
      <x:c r="O936" s="14" t="str">
        <x:f>IF(E936="","MISSING MAIN",IF(N936=1,"MAIN ONLY","MULTI-PHOTO"))</x:f>
        <x:v>MAIN ONLY</x:v>
      </x:c>
      <x:c r="P936" s="14" t="str">
        <x:v>1065_</x:v>
      </x:c>
      <x:c r="Q936" s="14" t="str">
        <x:v>https://mb1advancedsolutions.github.io/mb1-catalog/index.html?design=1065</x:v>
      </x:c>
      <x:c r="R936" s="14" t="str"/>
    </x:row>
    <x:row r="937">
      <x:c r="A937" s="13" t="str">
        <x:v>MB1-1066</x:v>
      </x:c>
      <x:c r="B937" s="13" t="str">
        <x:v>MB1-1066</x:v>
      </x:c>
      <x:c r="C937" s="14" t="str">
        <x:v>Sawdust is man glitter</x:v>
      </x:c>
      <x:c r="D937" s="14" t="str">
        <x:v>garage and workshop</x:v>
      </x:c>
      <x:c r="E937" s="14" t="str">
        <x:v>https://res.cloudinary.com/oxygre42/image/upload/f_auto,q_auto,c_pad,b_white,w_1200,h_1200/v1788350571/1066_Sawdust_is_man_glitter.png</x:v>
      </x:c>
      <x:c r="F937" s="14" t="str"/>
      <x:c r="G937" s="14" t="str">
        <x:v>Lifestyle</x:v>
      </x:c>
      <x:c r="H937" s="14" t="str"/>
      <x:c r="I937" s="14" t="str">
        <x:v>Detail</x:v>
      </x:c>
      <x:c r="J937" s="14" t="str"/>
      <x:c r="K937" s="14" t="str">
        <x:v>Scale</x:v>
      </x:c>
      <x:c r="L937" s="14" t="str"/>
      <x:c r="M937" s="14" t="str">
        <x:v>Alternate</x:v>
      </x:c>
      <x:c r="N937" s="14" t="n">
        <x:f>IF(E937&lt;&gt;"",1,0)+IF(F937&lt;&gt;"",1,0)+IF(H937&lt;&gt;"",1,0)+IF(J937&lt;&gt;"",1,0)+IF(L937&lt;&gt;"",1,0)</x:f>
        <x:v>1</x:v>
      </x:c>
      <x:c r="O937" s="14" t="str">
        <x:f>IF(E937="","MISSING MAIN",IF(N937=1,"MAIN ONLY","MULTI-PHOTO"))</x:f>
        <x:v>MAIN ONLY</x:v>
      </x:c>
      <x:c r="P937" s="14" t="str">
        <x:v>1066_</x:v>
      </x:c>
      <x:c r="Q937" s="14" t="str">
        <x:v>https://mb1advancedsolutions.github.io/mb1-catalog/index.html?design=1066</x:v>
      </x:c>
      <x:c r="R937" s="14" t="str"/>
    </x:row>
    <x:row r="938">
      <x:c r="A938" s="13" t="str">
        <x:v>MB1-1067</x:v>
      </x:c>
      <x:c r="B938" s="13" t="str">
        <x:v>MB1-1067</x:v>
      </x:c>
      <x:c r="C938" s="14" t="str">
        <x:v>Scroll cross</x:v>
      </x:c>
      <x:c r="D938" s="14" t="str">
        <x:v>home decor and inspirational</x:v>
      </x:c>
      <x:c r="E938" s="14" t="str">
        <x:v>https://res.cloudinary.com/oxygre42/image/upload/f_auto,q_auto,c_pad,b_white,w_1200,h_1200/v1788350572/1067_Scroll_cross.png</x:v>
      </x:c>
      <x:c r="F938" s="14" t="str"/>
      <x:c r="G938" s="14" t="str">
        <x:v>Lifestyle</x:v>
      </x:c>
      <x:c r="H938" s="14" t="str"/>
      <x:c r="I938" s="14" t="str">
        <x:v>Detail</x:v>
      </x:c>
      <x:c r="J938" s="14" t="str"/>
      <x:c r="K938" s="14" t="str">
        <x:v>Scale</x:v>
      </x:c>
      <x:c r="L938" s="14" t="str"/>
      <x:c r="M938" s="14" t="str">
        <x:v>Alternate</x:v>
      </x:c>
      <x:c r="N938" s="14" t="n">
        <x:f>IF(E938&lt;&gt;"",1,0)+IF(F938&lt;&gt;"",1,0)+IF(H938&lt;&gt;"",1,0)+IF(J938&lt;&gt;"",1,0)+IF(L938&lt;&gt;"",1,0)</x:f>
        <x:v>1</x:v>
      </x:c>
      <x:c r="O938" s="14" t="str">
        <x:f>IF(E938="","MISSING MAIN",IF(N938=1,"MAIN ONLY","MULTI-PHOTO"))</x:f>
        <x:v>MAIN ONLY</x:v>
      </x:c>
      <x:c r="P938" s="14" t="str">
        <x:v>1067_</x:v>
      </x:c>
      <x:c r="Q938" s="14" t="str">
        <x:v>https://mb1advancedsolutions.github.io/mb1-catalog/index.html?design=1067</x:v>
      </x:c>
      <x:c r="R938" s="14" t="str"/>
    </x:row>
    <x:row r="939">
      <x:c r="A939" s="13" t="str">
        <x:v>MB1-1068</x:v>
      </x:c>
      <x:c r="B939" s="13" t="str">
        <x:v>MB1-1068</x:v>
      </x:c>
      <x:c r="C939" s="14" t="str">
        <x:v>Semi front end</x:v>
      </x:c>
      <x:c r="D939" s="14" t="str">
        <x:v>garage and workshop</x:v>
      </x:c>
      <x:c r="E939" s="14" t="str">
        <x:v>https://res.cloudinary.com/oxygre42/image/upload/f_auto,q_auto,c_pad,b_white,w_1200,h_1200/v1788350574/1068_Semi_front_end.png</x:v>
      </x:c>
      <x:c r="F939" s="14" t="str"/>
      <x:c r="G939" s="14" t="str">
        <x:v>Lifestyle</x:v>
      </x:c>
      <x:c r="H939" s="14" t="str"/>
      <x:c r="I939" s="14" t="str">
        <x:v>Detail</x:v>
      </x:c>
      <x:c r="J939" s="14" t="str"/>
      <x:c r="K939" s="14" t="str">
        <x:v>Scale</x:v>
      </x:c>
      <x:c r="L939" s="14" t="str"/>
      <x:c r="M939" s="14" t="str">
        <x:v>Alternate</x:v>
      </x:c>
      <x:c r="N939" s="14" t="n">
        <x:f>IF(E939&lt;&gt;"",1,0)+IF(F939&lt;&gt;"",1,0)+IF(H939&lt;&gt;"",1,0)+IF(J939&lt;&gt;"",1,0)+IF(L939&lt;&gt;"",1,0)</x:f>
        <x:v>1</x:v>
      </x:c>
      <x:c r="O939" s="14" t="str">
        <x:f>IF(E939="","MISSING MAIN",IF(N939=1,"MAIN ONLY","MULTI-PHOTO"))</x:f>
        <x:v>MAIN ONLY</x:v>
      </x:c>
      <x:c r="P939" s="14" t="str">
        <x:v>1068_</x:v>
      </x:c>
      <x:c r="Q939" s="14" t="str">
        <x:v>https://mb1advancedsolutions.github.io/mb1-catalog/index.html?design=1068</x:v>
      </x:c>
      <x:c r="R939" s="14" t="str"/>
    </x:row>
    <x:row r="940">
      <x:c r="A940" s="13" t="str">
        <x:v>MB1-1069</x:v>
      </x:c>
      <x:c r="B940" s="13" t="str">
        <x:v>MB1-1069</x:v>
      </x:c>
      <x:c r="C940" s="14" t="str">
        <x:v>Semi</x:v>
      </x:c>
      <x:c r="D940" s="14" t="str">
        <x:v>garage and workshop</x:v>
      </x:c>
      <x:c r="E940" s="14" t="str">
        <x:v>https://res.cloudinary.com/oxygre42/image/upload/f_auto,q_auto,c_pad,b_white,w_1200,h_1200/v1788350576/1069_Semi.png</x:v>
      </x:c>
      <x:c r="F940" s="14" t="str"/>
      <x:c r="G940" s="14" t="str">
        <x:v>Lifestyle</x:v>
      </x:c>
      <x:c r="H940" s="14" t="str"/>
      <x:c r="I940" s="14" t="str">
        <x:v>Detail</x:v>
      </x:c>
      <x:c r="J940" s="14" t="str"/>
      <x:c r="K940" s="14" t="str">
        <x:v>Scale</x:v>
      </x:c>
      <x:c r="L940" s="14" t="str"/>
      <x:c r="M940" s="14" t="str">
        <x:v>Alternate</x:v>
      </x:c>
      <x:c r="N940" s="14" t="n">
        <x:f>IF(E940&lt;&gt;"",1,0)+IF(F940&lt;&gt;"",1,0)+IF(H940&lt;&gt;"",1,0)+IF(J940&lt;&gt;"",1,0)+IF(L940&lt;&gt;"",1,0)</x:f>
        <x:v>1</x:v>
      </x:c>
      <x:c r="O940" s="14" t="str">
        <x:f>IF(E940="","MISSING MAIN",IF(N940=1,"MAIN ONLY","MULTI-PHOTO"))</x:f>
        <x:v>MAIN ONLY</x:v>
      </x:c>
      <x:c r="P940" s="14" t="str">
        <x:v>1069_</x:v>
      </x:c>
      <x:c r="Q940" s="14" t="str">
        <x:v>https://mb1advancedsolutions.github.io/mb1-catalog/index.html?design=1069</x:v>
      </x:c>
      <x:c r="R940" s="14" t="str"/>
    </x:row>
    <x:row r="941">
      <x:c r="A941" s="13" t="str">
        <x:v>MB1-1070</x:v>
      </x:c>
      <x:c r="B941" s="13" t="str">
        <x:v>MB1-1070</x:v>
      </x:c>
      <x:c r="C941" s="14" t="str">
        <x:v>She Shed saw blade</x:v>
      </x:c>
      <x:c r="D941" s="14" t="str">
        <x:v>home decor and inspirational</x:v>
      </x:c>
      <x:c r="E941" s="14" t="str">
        <x:v>https://res.cloudinary.com/oxygre42/image/upload/f_auto,q_auto,c_pad,b_white,w_1200,h_1200/v1788350578/1070_She_Shed_saw_blade.png</x:v>
      </x:c>
      <x:c r="F941" s="14" t="str"/>
      <x:c r="G941" s="14" t="str">
        <x:v>Lifestyle</x:v>
      </x:c>
      <x:c r="H941" s="14" t="str"/>
      <x:c r="I941" s="14" t="str">
        <x:v>Detail</x:v>
      </x:c>
      <x:c r="J941" s="14" t="str"/>
      <x:c r="K941" s="14" t="str">
        <x:v>Scale</x:v>
      </x:c>
      <x:c r="L941" s="14" t="str"/>
      <x:c r="M941" s="14" t="str">
        <x:v>Alternate</x:v>
      </x:c>
      <x:c r="N941" s="14" t="n">
        <x:f>IF(E941&lt;&gt;"",1,0)+IF(F941&lt;&gt;"",1,0)+IF(H941&lt;&gt;"",1,0)+IF(J941&lt;&gt;"",1,0)+IF(L941&lt;&gt;"",1,0)</x:f>
        <x:v>1</x:v>
      </x:c>
      <x:c r="O941" s="14" t="str">
        <x:f>IF(E941="","MISSING MAIN",IF(N941=1,"MAIN ONLY","MULTI-PHOTO"))</x:f>
        <x:v>MAIN ONLY</x:v>
      </x:c>
      <x:c r="P941" s="14" t="str">
        <x:v>1070_</x:v>
      </x:c>
      <x:c r="Q941" s="14" t="str">
        <x:v>https://mb1advancedsolutions.github.io/mb1-catalog/index.html?design=1070</x:v>
      </x:c>
      <x:c r="R941" s="14" t="str"/>
    </x:row>
    <x:row r="942">
      <x:c r="A942" s="13" t="str">
        <x:v>MB1-1071</x:v>
      </x:c>
      <x:c r="B942" s="13" t="str">
        <x:v>MB1-1071</x:v>
      </x:c>
      <x:c r="C942" s="14" t="str">
        <x:v>Ships wheel and rope</x:v>
      </x:c>
      <x:c r="D942" s="14" t="str">
        <x:v>lake house and nautical</x:v>
      </x:c>
      <x:c r="E942" s="14" t="str">
        <x:v>https://res.cloudinary.com/oxygre42/image/upload/f_auto,q_auto,c_pad,b_white,w_1200,h_1200/v1788350580/1071_Ships_wheel_and_rope.png</x:v>
      </x:c>
      <x:c r="F942" s="14" t="str"/>
      <x:c r="G942" s="14" t="str">
        <x:v>Lifestyle</x:v>
      </x:c>
      <x:c r="H942" s="14" t="str"/>
      <x:c r="I942" s="14" t="str">
        <x:v>Detail</x:v>
      </x:c>
      <x:c r="J942" s="14" t="str"/>
      <x:c r="K942" s="14" t="str">
        <x:v>Scale</x:v>
      </x:c>
      <x:c r="L942" s="14" t="str"/>
      <x:c r="M942" s="14" t="str">
        <x:v>Alternate</x:v>
      </x:c>
      <x:c r="N942" s="14" t="n">
        <x:f>IF(E942&lt;&gt;"",1,0)+IF(F942&lt;&gt;"",1,0)+IF(H942&lt;&gt;"",1,0)+IF(J942&lt;&gt;"",1,0)+IF(L942&lt;&gt;"",1,0)</x:f>
        <x:v>1</x:v>
      </x:c>
      <x:c r="O942" s="14" t="str">
        <x:f>IF(E942="","MISSING MAIN",IF(N942=1,"MAIN ONLY","MULTI-PHOTO"))</x:f>
        <x:v>MAIN ONLY</x:v>
      </x:c>
      <x:c r="P942" s="14" t="str">
        <x:v>1071_</x:v>
      </x:c>
      <x:c r="Q942" s="14" t="str">
        <x:v>https://mb1advancedsolutions.github.io/mb1-catalog/index.html?design=1071</x:v>
      </x:c>
      <x:c r="R942" s="14" t="str"/>
    </x:row>
    <x:row r="943">
      <x:c r="A943" s="13" t="str">
        <x:v>MB1-1072</x:v>
      </x:c>
      <x:c r="B943" s="13" t="str">
        <x:v>MB1-1072</x:v>
      </x:c>
      <x:c r="C943" s="14" t="str">
        <x:v>Shoot your local</x:v>
      </x:c>
      <x:c r="D943" s="14" t="str">
        <x:v>home decor and inspirational</x:v>
      </x:c>
      <x:c r="E943" s="14" t="str">
        <x:v>https://res.cloudinary.com/oxygre42/image/upload/f_auto,q_auto,c_pad,b_white,w_1200,h_1200/v1788350582/1072_Shoot_your_local.png</x:v>
      </x:c>
      <x:c r="F943" s="14" t="str"/>
      <x:c r="G943" s="14" t="str">
        <x:v>Lifestyle</x:v>
      </x:c>
      <x:c r="H943" s="14" t="str"/>
      <x:c r="I943" s="14" t="str">
        <x:v>Detail</x:v>
      </x:c>
      <x:c r="J943" s="14" t="str"/>
      <x:c r="K943" s="14" t="str">
        <x:v>Scale</x:v>
      </x:c>
      <x:c r="L943" s="14" t="str"/>
      <x:c r="M943" s="14" t="str">
        <x:v>Alternate</x:v>
      </x:c>
      <x:c r="N943" s="14" t="n">
        <x:f>IF(E943&lt;&gt;"",1,0)+IF(F943&lt;&gt;"",1,0)+IF(H943&lt;&gt;"",1,0)+IF(J943&lt;&gt;"",1,0)+IF(L943&lt;&gt;"",1,0)</x:f>
        <x:v>1</x:v>
      </x:c>
      <x:c r="O943" s="14" t="str">
        <x:f>IF(E943="","MISSING MAIN",IF(N943=1,"MAIN ONLY","MULTI-PHOTO"))</x:f>
        <x:v>MAIN ONLY</x:v>
      </x:c>
      <x:c r="P943" s="14" t="str">
        <x:v>1072_</x:v>
      </x:c>
      <x:c r="Q943" s="14" t="str">
        <x:v>https://mb1advancedsolutions.github.io/mb1-catalog/index.html?design=1072</x:v>
      </x:c>
      <x:c r="R943" s="14" t="str"/>
    </x:row>
    <x:row r="944">
      <x:c r="A944" s="13" t="str">
        <x:v>MB1-1073</x:v>
      </x:c>
      <x:c r="B944" s="13" t="str">
        <x:v>MB1-1073</x:v>
      </x:c>
      <x:c r="C944" s="14" t="str">
        <x:v>Shotgun skeleton</x:v>
      </x:c>
      <x:c r="D944" s="14" t="str">
        <x:v>sports and hobbies</x:v>
      </x:c>
      <x:c r="E944" s="14" t="str">
        <x:v>https://res.cloudinary.com/oxygre42/image/upload/f_auto,q_auto,c_pad,b_white,w_1200,h_1200/v1788350584/1073_Shotgun_skeleton.png</x:v>
      </x:c>
      <x:c r="F944" s="14" t="str"/>
      <x:c r="G944" s="14" t="str">
        <x:v>Lifestyle</x:v>
      </x:c>
      <x:c r="H944" s="14" t="str"/>
      <x:c r="I944" s="14" t="str">
        <x:v>Detail</x:v>
      </x:c>
      <x:c r="J944" s="14" t="str"/>
      <x:c r="K944" s="14" t="str">
        <x:v>Scale</x:v>
      </x:c>
      <x:c r="L944" s="14" t="str"/>
      <x:c r="M944" s="14" t="str">
        <x:v>Alternate</x:v>
      </x:c>
      <x:c r="N944" s="14" t="n">
        <x:f>IF(E944&lt;&gt;"",1,0)+IF(F944&lt;&gt;"",1,0)+IF(H944&lt;&gt;"",1,0)+IF(J944&lt;&gt;"",1,0)+IF(L944&lt;&gt;"",1,0)</x:f>
        <x:v>1</x:v>
      </x:c>
      <x:c r="O944" s="14" t="str">
        <x:f>IF(E944="","MISSING MAIN",IF(N944=1,"MAIN ONLY","MULTI-PHOTO"))</x:f>
        <x:v>MAIN ONLY</x:v>
      </x:c>
      <x:c r="P944" s="14" t="str">
        <x:v>1073_</x:v>
      </x:c>
      <x:c r="Q944" s="14" t="str">
        <x:v>https://mb1advancedsolutions.github.io/mb1-catalog/index.html?design=1073</x:v>
      </x:c>
      <x:c r="R944" s="14" t="str"/>
    </x:row>
    <x:row r="945">
      <x:c r="A945" s="13" t="str">
        <x:v>MB1-1074</x:v>
      </x:c>
      <x:c r="B945" s="13" t="str">
        <x:v>MB1-1074</x:v>
      </x:c>
      <x:c r="C945" s="14" t="str">
        <x:v>Show Stock</x:v>
      </x:c>
      <x:c r="D945" s="14" t="str">
        <x:v>home decor and inspirational</x:v>
      </x:c>
      <x:c r="E945" s="14" t="str">
        <x:v>https://res.cloudinary.com/oxygre42/image/upload/f_auto,q_auto,c_pad,b_white,w_1200,h_1200/v1788350585/1074_Show_Stock.png</x:v>
      </x:c>
      <x:c r="F945" s="14" t="str"/>
      <x:c r="G945" s="14" t="str">
        <x:v>Lifestyle</x:v>
      </x:c>
      <x:c r="H945" s="14" t="str"/>
      <x:c r="I945" s="14" t="str">
        <x:v>Detail</x:v>
      </x:c>
      <x:c r="J945" s="14" t="str"/>
      <x:c r="K945" s="14" t="str">
        <x:v>Scale</x:v>
      </x:c>
      <x:c r="L945" s="14" t="str"/>
      <x:c r="M945" s="14" t="str">
        <x:v>Alternate</x:v>
      </x:c>
      <x:c r="N945" s="14" t="n">
        <x:f>IF(E945&lt;&gt;"",1,0)+IF(F945&lt;&gt;"",1,0)+IF(H945&lt;&gt;"",1,0)+IF(J945&lt;&gt;"",1,0)+IF(L945&lt;&gt;"",1,0)</x:f>
        <x:v>1</x:v>
      </x:c>
      <x:c r="O945" s="14" t="str">
        <x:f>IF(E945="","MISSING MAIN",IF(N945=1,"MAIN ONLY","MULTI-PHOTO"))</x:f>
        <x:v>MAIN ONLY</x:v>
      </x:c>
      <x:c r="P945" s="14" t="str">
        <x:v>1074_</x:v>
      </x:c>
      <x:c r="Q945" s="14" t="str">
        <x:v>https://mb1advancedsolutions.github.io/mb1-catalog/index.html?design=1074</x:v>
      </x:c>
      <x:c r="R945" s="14" t="str"/>
    </x:row>
    <x:row r="946">
      <x:c r="A946" s="13" t="str">
        <x:v>MB1-1076</x:v>
      </x:c>
      <x:c r="B946" s="13" t="str">
        <x:v>MB1-1076</x:v>
      </x:c>
      <x:c r="C946" s="14" t="str">
        <x:v>Skeleton guitarist with cowboy hat</x:v>
      </x:c>
      <x:c r="D946" s="14" t="str">
        <x:v>farm and western</x:v>
      </x:c>
      <x:c r="E946" s="14" t="str">
        <x:v>https://res.cloudinary.com/oxygre42/image/upload/f_auto,q_auto,c_pad,b_white,w_1200,h_1200/v1788350589/1076_Skeleton_guitarist_with_cowboy_hat.png</x:v>
      </x:c>
      <x:c r="F946" s="14" t="str"/>
      <x:c r="G946" s="14" t="str">
        <x:v>Lifestyle</x:v>
      </x:c>
      <x:c r="H946" s="14" t="str"/>
      <x:c r="I946" s="14" t="str">
        <x:v>Detail</x:v>
      </x:c>
      <x:c r="J946" s="14" t="str"/>
      <x:c r="K946" s="14" t="str">
        <x:v>Scale</x:v>
      </x:c>
      <x:c r="L946" s="14" t="str"/>
      <x:c r="M946" s="14" t="str">
        <x:v>Alternate</x:v>
      </x:c>
      <x:c r="N946" s="14" t="n">
        <x:f>IF(E946&lt;&gt;"",1,0)+IF(F946&lt;&gt;"",1,0)+IF(H946&lt;&gt;"",1,0)+IF(J946&lt;&gt;"",1,0)+IF(L946&lt;&gt;"",1,0)</x:f>
        <x:v>1</x:v>
      </x:c>
      <x:c r="O946" s="14" t="str">
        <x:f>IF(E946="","MISSING MAIN",IF(N946=1,"MAIN ONLY","MULTI-PHOTO"))</x:f>
        <x:v>MAIN ONLY</x:v>
      </x:c>
      <x:c r="P946" s="14" t="str">
        <x:v>1076_</x:v>
      </x:c>
      <x:c r="Q946" s="14" t="str">
        <x:v>https://mb1advancedsolutions.github.io/mb1-catalog/index.html?design=1076</x:v>
      </x:c>
      <x:c r="R946" s="14" t="str"/>
    </x:row>
    <x:row r="947">
      <x:c r="A947" s="13" t="str">
        <x:v>MB1-1077</x:v>
      </x:c>
      <x:c r="B947" s="13" t="str">
        <x:v>MB1-1077</x:v>
      </x:c>
      <x:c r="C947" s="14" t="str">
        <x:v>Smash Your Goals</x:v>
      </x:c>
      <x:c r="D947" s="14" t="str">
        <x:v>home decor and inspirational</x:v>
      </x:c>
      <x:c r="E947" s="14" t="str">
        <x:v>https://res.cloudinary.com/oxygre42/image/upload/f_auto,q_auto,c_pad,b_white,w_1200,h_1200/v1788350591/1077_Smash_Your_Goals.png</x:v>
      </x:c>
      <x:c r="F947" s="14" t="str"/>
      <x:c r="G947" s="14" t="str">
        <x:v>Lifestyle</x:v>
      </x:c>
      <x:c r="H947" s="14" t="str"/>
      <x:c r="I947" s="14" t="str">
        <x:v>Detail</x:v>
      </x:c>
      <x:c r="J947" s="14" t="str"/>
      <x:c r="K947" s="14" t="str">
        <x:v>Scale</x:v>
      </x:c>
      <x:c r="L947" s="14" t="str"/>
      <x:c r="M947" s="14" t="str">
        <x:v>Alternate</x:v>
      </x:c>
      <x:c r="N947" s="14" t="n">
        <x:f>IF(E947&lt;&gt;"",1,0)+IF(F947&lt;&gt;"",1,0)+IF(H947&lt;&gt;"",1,0)+IF(J947&lt;&gt;"",1,0)+IF(L947&lt;&gt;"",1,0)</x:f>
        <x:v>1</x:v>
      </x:c>
      <x:c r="O947" s="14" t="str">
        <x:f>IF(E947="","MISSING MAIN",IF(N947=1,"MAIN ONLY","MULTI-PHOTO"))</x:f>
        <x:v>MAIN ONLY</x:v>
      </x:c>
      <x:c r="P947" s="14" t="str">
        <x:v>1077_</x:v>
      </x:c>
      <x:c r="Q947" s="14" t="str">
        <x:v>https://mb1advancedsolutions.github.io/mb1-catalog/index.html?design=1077</x:v>
      </x:c>
      <x:c r="R947" s="14" t="str"/>
    </x:row>
    <x:row r="948">
      <x:c r="A948" s="13" t="str">
        <x:v>MB1-1080</x:v>
      </x:c>
      <x:c r="B948" s="13" t="str">
        <x:v>MB1-1080</x:v>
      </x:c>
      <x:c r="C948" s="14" t="str">
        <x:v>Spark Plug Bomber Girl</x:v>
      </x:c>
      <x:c r="D948" s="14" t="str">
        <x:v>garage and workshop</x:v>
      </x:c>
      <x:c r="E948" s="14" t="str">
        <x:v>https://res.cloudinary.com/oxygre42/image/upload/f_auto,q_auto,c_pad,b_white,w_1200,h_1200/v1788350597/1080_Spark_Plug_Bomber_Girl.png</x:v>
      </x:c>
      <x:c r="F948" s="14" t="str"/>
      <x:c r="G948" s="14" t="str">
        <x:v>Lifestyle</x:v>
      </x:c>
      <x:c r="H948" s="14" t="str"/>
      <x:c r="I948" s="14" t="str">
        <x:v>Detail</x:v>
      </x:c>
      <x:c r="J948" s="14" t="str"/>
      <x:c r="K948" s="14" t="str">
        <x:v>Scale</x:v>
      </x:c>
      <x:c r="L948" s="14" t="str"/>
      <x:c r="M948" s="14" t="str">
        <x:v>Alternate</x:v>
      </x:c>
      <x:c r="N948" s="14" t="n">
        <x:f>IF(E948&lt;&gt;"",1,0)+IF(F948&lt;&gt;"",1,0)+IF(H948&lt;&gt;"",1,0)+IF(J948&lt;&gt;"",1,0)+IF(L948&lt;&gt;"",1,0)</x:f>
        <x:v>1</x:v>
      </x:c>
      <x:c r="O948" s="14" t="str">
        <x:f>IF(E948="","MISSING MAIN",IF(N948=1,"MAIN ONLY","MULTI-PHOTO"))</x:f>
        <x:v>MAIN ONLY</x:v>
      </x:c>
      <x:c r="P948" s="14" t="str">
        <x:v>1080_</x:v>
      </x:c>
      <x:c r="Q948" s="14" t="str">
        <x:v>https://mb1advancedsolutions.github.io/mb1-catalog/index.html?design=1080</x:v>
      </x:c>
      <x:c r="R948" s="14" t="str"/>
    </x:row>
    <x:row r="949">
      <x:c r="A949" s="13" t="str">
        <x:v>MB1-1081</x:v>
      </x:c>
      <x:c r="B949" s="13" t="str">
        <x:v>MB1-1081</x:v>
      </x:c>
      <x:c r="C949" s="14" t="str">
        <x:v>Speed Shop 2</x:v>
      </x:c>
      <x:c r="D949" s="14" t="str">
        <x:v>home decor and inspirational</x:v>
      </x:c>
      <x:c r="E949" s="14" t="str">
        <x:v>https://res.cloudinary.com/oxygre42/image/upload/f_auto,q_auto,c_pad,b_white,w_1200,h_1200/v1788350599/1081_Speed_Shop_2.png</x:v>
      </x:c>
      <x:c r="F949" s="14" t="str"/>
      <x:c r="G949" s="14" t="str">
        <x:v>Lifestyle</x:v>
      </x:c>
      <x:c r="H949" s="14" t="str"/>
      <x:c r="I949" s="14" t="str">
        <x:v>Detail</x:v>
      </x:c>
      <x:c r="J949" s="14" t="str"/>
      <x:c r="K949" s="14" t="str">
        <x:v>Scale</x:v>
      </x:c>
      <x:c r="L949" s="14" t="str"/>
      <x:c r="M949" s="14" t="str">
        <x:v>Alternate</x:v>
      </x:c>
      <x:c r="N949" s="14" t="n">
        <x:f>IF(E949&lt;&gt;"",1,0)+IF(F949&lt;&gt;"",1,0)+IF(H949&lt;&gt;"",1,0)+IF(J949&lt;&gt;"",1,0)+IF(L949&lt;&gt;"",1,0)</x:f>
        <x:v>1</x:v>
      </x:c>
      <x:c r="O949" s="14" t="str">
        <x:f>IF(E949="","MISSING MAIN",IF(N949=1,"MAIN ONLY","MULTI-PHOTO"))</x:f>
        <x:v>MAIN ONLY</x:v>
      </x:c>
      <x:c r="P949" s="14" t="str">
        <x:v>1081_</x:v>
      </x:c>
      <x:c r="Q949" s="14" t="str">
        <x:v>https://mb1advancedsolutions.github.io/mb1-catalog/index.html?design=1081</x:v>
      </x:c>
      <x:c r="R949" s="14" t="str"/>
    </x:row>
    <x:row r="950">
      <x:c r="A950" s="13" t="str">
        <x:v>MB1-1082</x:v>
      </x:c>
      <x:c r="B950" s="13" t="str">
        <x:v>MB1-1082</x:v>
      </x:c>
      <x:c r="C950" s="14" t="str">
        <x:v>Speed Shop</x:v>
      </x:c>
      <x:c r="D950" s="14" t="str">
        <x:v>home decor and inspirational</x:v>
      </x:c>
      <x:c r="E950" s="14" t="str">
        <x:v>https://res.cloudinary.com/oxygre42/image/upload/f_auto,q_auto,c_pad,b_white,w_1200,h_1200/v1788350601/1082_Speed_Shop.png</x:v>
      </x:c>
      <x:c r="F950" s="14" t="str"/>
      <x:c r="G950" s="14" t="str">
        <x:v>Lifestyle</x:v>
      </x:c>
      <x:c r="H950" s="14" t="str"/>
      <x:c r="I950" s="14" t="str">
        <x:v>Detail</x:v>
      </x:c>
      <x:c r="J950" s="14" t="str"/>
      <x:c r="K950" s="14" t="str">
        <x:v>Scale</x:v>
      </x:c>
      <x:c r="L950" s="14" t="str"/>
      <x:c r="M950" s="14" t="str">
        <x:v>Alternate</x:v>
      </x:c>
      <x:c r="N950" s="14" t="n">
        <x:f>IF(E950&lt;&gt;"",1,0)+IF(F950&lt;&gt;"",1,0)+IF(H950&lt;&gt;"",1,0)+IF(J950&lt;&gt;"",1,0)+IF(L950&lt;&gt;"",1,0)</x:f>
        <x:v>1</x:v>
      </x:c>
      <x:c r="O950" s="14" t="str">
        <x:f>IF(E950="","MISSING MAIN",IF(N950=1,"MAIN ONLY","MULTI-PHOTO"))</x:f>
        <x:v>MAIN ONLY</x:v>
      </x:c>
      <x:c r="P950" s="14" t="str">
        <x:v>1082_</x:v>
      </x:c>
      <x:c r="Q950" s="14" t="str">
        <x:v>https://mb1advancedsolutions.github.io/mb1-catalog/index.html?design=1082</x:v>
      </x:c>
      <x:c r="R950" s="14" t="str"/>
    </x:row>
    <x:row r="951">
      <x:c r="A951" s="13" t="str">
        <x:v>MB1-1083</x:v>
      </x:c>
      <x:c r="B951" s="13" t="str">
        <x:v>MB1-1083</x:v>
      </x:c>
      <x:c r="C951" s="14" t="str">
        <x:v>Spirit Board</x:v>
      </x:c>
      <x:c r="D951" s="14" t="str">
        <x:v>home decor and inspirational</x:v>
      </x:c>
      <x:c r="E951" s="14" t="str">
        <x:v>https://res.cloudinary.com/oxygre42/image/upload/f_auto,q_auto,c_pad,b_white,w_1200,h_1200/v1788350603/1083_Spirit_Board.png</x:v>
      </x:c>
      <x:c r="F951" s="14" t="str"/>
      <x:c r="G951" s="14" t="str">
        <x:v>Lifestyle</x:v>
      </x:c>
      <x:c r="H951" s="14" t="str"/>
      <x:c r="I951" s="14" t="str">
        <x:v>Detail</x:v>
      </x:c>
      <x:c r="J951" s="14" t="str"/>
      <x:c r="K951" s="14" t="str">
        <x:v>Scale</x:v>
      </x:c>
      <x:c r="L951" s="14" t="str"/>
      <x:c r="M951" s="14" t="str">
        <x:v>Alternate</x:v>
      </x:c>
      <x:c r="N951" s="14" t="n">
        <x:f>IF(E951&lt;&gt;"",1,0)+IF(F951&lt;&gt;"",1,0)+IF(H951&lt;&gt;"",1,0)+IF(J951&lt;&gt;"",1,0)+IF(L951&lt;&gt;"",1,0)</x:f>
        <x:v>1</x:v>
      </x:c>
      <x:c r="O951" s="14" t="str">
        <x:f>IF(E951="","MISSING MAIN",IF(N951=1,"MAIN ONLY","MULTI-PHOTO"))</x:f>
        <x:v>MAIN ONLY</x:v>
      </x:c>
      <x:c r="P951" s="14" t="str">
        <x:v>1083_</x:v>
      </x:c>
      <x:c r="Q951" s="14" t="str">
        <x:v>https://mb1advancedsolutions.github.io/mb1-catalog/index.html?design=1083</x:v>
      </x:c>
      <x:c r="R951" s="14" t="str"/>
    </x:row>
    <x:row r="952">
      <x:c r="A952" s="13" t="str">
        <x:v>MB1-1084</x:v>
      </x:c>
      <x:c r="B952" s="13" t="str">
        <x:v>MB1-1084</x:v>
      </x:c>
      <x:c r="C952" s="14" t="str">
        <x:v>Spirit board planchette</x:v>
      </x:c>
      <x:c r="D952" s="14" t="str">
        <x:v>home decor and inspirational</x:v>
      </x:c>
      <x:c r="E952" s="14" t="str">
        <x:v>https://res.cloudinary.com/oxygre42/image/upload/f_auto,q_auto,c_pad,b_white,w_1200,h_1200/v1788350604/1084_Spirit_board_planchette.png</x:v>
      </x:c>
      <x:c r="F952" s="14" t="str"/>
      <x:c r="G952" s="14" t="str">
        <x:v>Lifestyle</x:v>
      </x:c>
      <x:c r="H952" s="14" t="str"/>
      <x:c r="I952" s="14" t="str">
        <x:v>Detail</x:v>
      </x:c>
      <x:c r="J952" s="14" t="str"/>
      <x:c r="K952" s="14" t="str">
        <x:v>Scale</x:v>
      </x:c>
      <x:c r="L952" s="14" t="str"/>
      <x:c r="M952" s="14" t="str">
        <x:v>Alternate</x:v>
      </x:c>
      <x:c r="N952" s="14" t="n">
        <x:f>IF(E952&lt;&gt;"",1,0)+IF(F952&lt;&gt;"",1,0)+IF(H952&lt;&gt;"",1,0)+IF(J952&lt;&gt;"",1,0)+IF(L952&lt;&gt;"",1,0)</x:f>
        <x:v>1</x:v>
      </x:c>
      <x:c r="O952" s="14" t="str">
        <x:f>IF(E952="","MISSING MAIN",IF(N952=1,"MAIN ONLY","MULTI-PHOTO"))</x:f>
        <x:v>MAIN ONLY</x:v>
      </x:c>
      <x:c r="P952" s="14" t="str">
        <x:v>1084_</x:v>
      </x:c>
      <x:c r="Q952" s="14" t="str">
        <x:v>https://mb1advancedsolutions.github.io/mb1-catalog/index.html?design=1084</x:v>
      </x:c>
      <x:c r="R952" s="14" t="str"/>
    </x:row>
    <x:row r="953">
      <x:c r="A953" s="13" t="str">
        <x:v>MB1-1085</x:v>
      </x:c>
      <x:c r="B953" s="13" t="str">
        <x:v>MB1-1085</x:v>
      </x:c>
      <x:c r="C953" s="14" t="str">
        <x:v>Stand for the flag kneel for the cross 3 layer</x:v>
      </x:c>
      <x:c r="D953" s="14" t="str">
        <x:v>seasonal and holiday</x:v>
      </x:c>
      <x:c r="E953" s="14" t="str">
        <x:v>https://res.cloudinary.com/oxygre42/image/upload/f_auto,q_auto,c_pad,b_white,w_1200,h_1200/v1788350606/1085_Stand_for_the_flag_kneel_for_the_cross_3_layer.png</x:v>
      </x:c>
      <x:c r="F953" s="14" t="str"/>
      <x:c r="G953" s="14" t="str">
        <x:v>Lifestyle</x:v>
      </x:c>
      <x:c r="H953" s="14" t="str"/>
      <x:c r="I953" s="14" t="str">
        <x:v>Detail</x:v>
      </x:c>
      <x:c r="J953" s="14" t="str"/>
      <x:c r="K953" s="14" t="str">
        <x:v>Scale</x:v>
      </x:c>
      <x:c r="L953" s="14" t="str"/>
      <x:c r="M953" s="14" t="str">
        <x:v>Alternate</x:v>
      </x:c>
      <x:c r="N953" s="14" t="n">
        <x:f>IF(E953&lt;&gt;"",1,0)+IF(F953&lt;&gt;"",1,0)+IF(H953&lt;&gt;"",1,0)+IF(J953&lt;&gt;"",1,0)+IF(L953&lt;&gt;"",1,0)</x:f>
        <x:v>1</x:v>
      </x:c>
      <x:c r="O953" s="14" t="str">
        <x:f>IF(E953="","MISSING MAIN",IF(N953=1,"MAIN ONLY","MULTI-PHOTO"))</x:f>
        <x:v>MAIN ONLY</x:v>
      </x:c>
      <x:c r="P953" s="14" t="str">
        <x:v>1085_</x:v>
      </x:c>
      <x:c r="Q953" s="14" t="str">
        <x:v>https://mb1advancedsolutions.github.io/mb1-catalog/index.html?design=1085</x:v>
      </x:c>
      <x:c r="R953" s="14" t="str"/>
    </x:row>
    <x:row r="954">
      <x:c r="A954" s="13" t="str">
        <x:v>MB1-1086</x:v>
      </x:c>
      <x:c r="B954" s="13" t="str">
        <x:v>MB1-1086</x:v>
      </x:c>
      <x:c r="C954" s="14" t="str">
        <x:v>Stand for the flag kneel for the cross single layer</x:v>
      </x:c>
      <x:c r="D954" s="14" t="str">
        <x:v>seasonal and holiday</x:v>
      </x:c>
      <x:c r="E954" s="14" t="str">
        <x:v>https://res.cloudinary.com/oxygre42/image/upload/f_auto,q_auto,c_pad,b_white,w_1200,h_1200/v1788350608/1086_Stand_for_the_flag_kneel_for_the_cross_single_layer.png</x:v>
      </x:c>
      <x:c r="F954" s="14" t="str"/>
      <x:c r="G954" s="14" t="str">
        <x:v>Lifestyle</x:v>
      </x:c>
      <x:c r="H954" s="14" t="str"/>
      <x:c r="I954" s="14" t="str">
        <x:v>Detail</x:v>
      </x:c>
      <x:c r="J954" s="14" t="str"/>
      <x:c r="K954" s="14" t="str">
        <x:v>Scale</x:v>
      </x:c>
      <x:c r="L954" s="14" t="str"/>
      <x:c r="M954" s="14" t="str">
        <x:v>Alternate</x:v>
      </x:c>
      <x:c r="N954" s="14" t="n">
        <x:f>IF(E954&lt;&gt;"",1,0)+IF(F954&lt;&gt;"",1,0)+IF(H954&lt;&gt;"",1,0)+IF(J954&lt;&gt;"",1,0)+IF(L954&lt;&gt;"",1,0)</x:f>
        <x:v>1</x:v>
      </x:c>
      <x:c r="O954" s="14" t="str">
        <x:f>IF(E954="","MISSING MAIN",IF(N954=1,"MAIN ONLY","MULTI-PHOTO"))</x:f>
        <x:v>MAIN ONLY</x:v>
      </x:c>
      <x:c r="P954" s="14" t="str">
        <x:v>1086_</x:v>
      </x:c>
      <x:c r="Q954" s="14" t="str">
        <x:v>https://mb1advancedsolutions.github.io/mb1-catalog/index.html?design=1086</x:v>
      </x:c>
      <x:c r="R954" s="14" t="str"/>
    </x:row>
    <x:row r="955">
      <x:c r="A955" s="13" t="str">
        <x:v>MB1-1087</x:v>
      </x:c>
      <x:c r="B955" s="13" t="str">
        <x:v>MB1-1087</x:v>
      </x:c>
      <x:c r="C955" s="14" t="str">
        <x:v>Steampunk Garage</x:v>
      </x:c>
      <x:c r="D955" s="14" t="str">
        <x:v>garage and workshop</x:v>
      </x:c>
      <x:c r="E955" s="14" t="str">
        <x:v>https://res.cloudinary.com/oxygre42/image/upload/f_auto,q_auto,c_pad,b_white,w_1200,h_1200/v1788350610/1087_Steampunk_Garage.png</x:v>
      </x:c>
      <x:c r="F955" s="14" t="str"/>
      <x:c r="G955" s="14" t="str">
        <x:v>Lifestyle</x:v>
      </x:c>
      <x:c r="H955" s="14" t="str"/>
      <x:c r="I955" s="14" t="str">
        <x:v>Detail</x:v>
      </x:c>
      <x:c r="J955" s="14" t="str"/>
      <x:c r="K955" s="14" t="str">
        <x:v>Scale</x:v>
      </x:c>
      <x:c r="L955" s="14" t="str"/>
      <x:c r="M955" s="14" t="str">
        <x:v>Alternate</x:v>
      </x:c>
      <x:c r="N955" s="14" t="n">
        <x:f>IF(E955&lt;&gt;"",1,0)+IF(F955&lt;&gt;"",1,0)+IF(H955&lt;&gt;"",1,0)+IF(J955&lt;&gt;"",1,0)+IF(L955&lt;&gt;"",1,0)</x:f>
        <x:v>1</x:v>
      </x:c>
      <x:c r="O955" s="14" t="str">
        <x:f>IF(E955="","MISSING MAIN",IF(N955=1,"MAIN ONLY","MULTI-PHOTO"))</x:f>
        <x:v>MAIN ONLY</x:v>
      </x:c>
      <x:c r="P955" s="14" t="str">
        <x:v>1087_</x:v>
      </x:c>
      <x:c r="Q955" s="14" t="str">
        <x:v>https://mb1advancedsolutions.github.io/mb1-catalog/index.html?design=1087</x:v>
      </x:c>
      <x:c r="R955" s="14" t="str"/>
    </x:row>
    <x:row r="956">
      <x:c r="A956" s="13" t="str">
        <x:v>MB1-1088</x:v>
      </x:c>
      <x:c r="B956" s="13" t="str">
        <x:v>MB1-1088</x:v>
      </x:c>
      <x:c r="C956" s="14" t="str">
        <x:v>Still Gonna Send It</x:v>
      </x:c>
      <x:c r="D956" s="14" t="str">
        <x:v>home decor and inspirational</x:v>
      </x:c>
      <x:c r="E956" s="14" t="str">
        <x:v>https://res.cloudinary.com/oxygre42/image/upload/f_auto,q_auto,c_pad,b_white,w_1200,h_1200/v1788350612/1088_Still_Gonna_Send_It.png</x:v>
      </x:c>
      <x:c r="F956" s="14" t="str"/>
      <x:c r="G956" s="14" t="str">
        <x:v>Lifestyle</x:v>
      </x:c>
      <x:c r="H956" s="14" t="str"/>
      <x:c r="I956" s="14" t="str">
        <x:v>Detail</x:v>
      </x:c>
      <x:c r="J956" s="14" t="str"/>
      <x:c r="K956" s="14" t="str">
        <x:v>Scale</x:v>
      </x:c>
      <x:c r="L956" s="14" t="str"/>
      <x:c r="M956" s="14" t="str">
        <x:v>Alternate</x:v>
      </x:c>
      <x:c r="N956" s="14" t="n">
        <x:f>IF(E956&lt;&gt;"",1,0)+IF(F956&lt;&gt;"",1,0)+IF(H956&lt;&gt;"",1,0)+IF(J956&lt;&gt;"",1,0)+IF(L956&lt;&gt;"",1,0)</x:f>
        <x:v>1</x:v>
      </x:c>
      <x:c r="O956" s="14" t="str">
        <x:f>IF(E956="","MISSING MAIN",IF(N956=1,"MAIN ONLY","MULTI-PHOTO"))</x:f>
        <x:v>MAIN ONLY</x:v>
      </x:c>
      <x:c r="P956" s="14" t="str">
        <x:v>1088_</x:v>
      </x:c>
      <x:c r="Q956" s="14" t="str">
        <x:v>https://mb1advancedsolutions.github.io/mb1-catalog/index.html?design=1088</x:v>
      </x:c>
      <x:c r="R956" s="14" t="str"/>
    </x:row>
    <x:row r="957">
      <x:c r="A957" s="13" t="str">
        <x:v>MB1-1089</x:v>
      </x:c>
      <x:c r="B957" s="13" t="str">
        <x:v>MB1-1089</x:v>
      </x:c>
      <x:c r="C957" s="14" t="str">
        <x:v>Sun 1</x:v>
      </x:c>
      <x:c r="D957" s="14" t="str">
        <x:v>home decor and inspirational</x:v>
      </x:c>
      <x:c r="E957" s="14" t="str">
        <x:v>https://res.cloudinary.com/oxygre42/image/upload/f_auto,q_auto,c_pad,b_white,w_1200,h_1200/v1788350614/1089_Sun_1.png</x:v>
      </x:c>
      <x:c r="F957" s="14" t="str"/>
      <x:c r="G957" s="14" t="str">
        <x:v>Lifestyle</x:v>
      </x:c>
      <x:c r="H957" s="14" t="str"/>
      <x:c r="I957" s="14" t="str">
        <x:v>Detail</x:v>
      </x:c>
      <x:c r="J957" s="14" t="str"/>
      <x:c r="K957" s="14" t="str">
        <x:v>Scale</x:v>
      </x:c>
      <x:c r="L957" s="14" t="str"/>
      <x:c r="M957" s="14" t="str">
        <x:v>Alternate</x:v>
      </x:c>
      <x:c r="N957" s="14" t="n">
        <x:f>IF(E957&lt;&gt;"",1,0)+IF(F957&lt;&gt;"",1,0)+IF(H957&lt;&gt;"",1,0)+IF(J957&lt;&gt;"",1,0)+IF(L957&lt;&gt;"",1,0)</x:f>
        <x:v>1</x:v>
      </x:c>
      <x:c r="O957" s="14" t="str">
        <x:f>IF(E957="","MISSING MAIN",IF(N957=1,"MAIN ONLY","MULTI-PHOTO"))</x:f>
        <x:v>MAIN ONLY</x:v>
      </x:c>
      <x:c r="P957" s="14" t="str">
        <x:v>1089_</x:v>
      </x:c>
      <x:c r="Q957" s="14" t="str">
        <x:v>https://mb1advancedsolutions.github.io/mb1-catalog/index.html?design=1089</x:v>
      </x:c>
      <x:c r="R957" s="14" t="str"/>
    </x:row>
    <x:row r="958">
      <x:c r="A958" s="13" t="str">
        <x:v>MB1-1090</x:v>
      </x:c>
      <x:c r="B958" s="13" t="str">
        <x:v>MB1-1090</x:v>
      </x:c>
      <x:c r="C958" s="14" t="str">
        <x:v>Sun 10</x:v>
      </x:c>
      <x:c r="D958" s="14" t="str">
        <x:v>home decor and inspirational</x:v>
      </x:c>
      <x:c r="E958" s="14" t="str">
        <x:v>https://res.cloudinary.com/oxygre42/image/upload/f_auto,q_auto,c_pad,b_white,w_1200,h_1200/v1788350616/1090_Sun_10.png</x:v>
      </x:c>
      <x:c r="F958" s="14" t="str"/>
      <x:c r="G958" s="14" t="str">
        <x:v>Lifestyle</x:v>
      </x:c>
      <x:c r="H958" s="14" t="str"/>
      <x:c r="I958" s="14" t="str">
        <x:v>Detail</x:v>
      </x:c>
      <x:c r="J958" s="14" t="str"/>
      <x:c r="K958" s="14" t="str">
        <x:v>Scale</x:v>
      </x:c>
      <x:c r="L958" s="14" t="str"/>
      <x:c r="M958" s="14" t="str">
        <x:v>Alternate</x:v>
      </x:c>
      <x:c r="N958" s="14" t="n">
        <x:f>IF(E958&lt;&gt;"",1,0)+IF(F958&lt;&gt;"",1,0)+IF(H958&lt;&gt;"",1,0)+IF(J958&lt;&gt;"",1,0)+IF(L958&lt;&gt;"",1,0)</x:f>
        <x:v>1</x:v>
      </x:c>
      <x:c r="O958" s="14" t="str">
        <x:f>IF(E958="","MISSING MAIN",IF(N958=1,"MAIN ONLY","MULTI-PHOTO"))</x:f>
        <x:v>MAIN ONLY</x:v>
      </x:c>
      <x:c r="P958" s="14" t="str">
        <x:v>1090_</x:v>
      </x:c>
      <x:c r="Q958" s="14" t="str">
        <x:v>https://mb1advancedsolutions.github.io/mb1-catalog/index.html?design=1090</x:v>
      </x:c>
      <x:c r="R958" s="14" t="str"/>
    </x:row>
    <x:row r="959">
      <x:c r="A959" s="13" t="str">
        <x:v>MB1-1091</x:v>
      </x:c>
      <x:c r="B959" s="13" t="str">
        <x:v>MB1-1091</x:v>
      </x:c>
      <x:c r="C959" s="14" t="str">
        <x:v>Sun 11</x:v>
      </x:c>
      <x:c r="D959" s="14" t="str">
        <x:v>home decor and inspirational</x:v>
      </x:c>
      <x:c r="E959" s="14" t="str">
        <x:v>https://res.cloudinary.com/oxygre42/image/upload/f_auto,q_auto,c_pad,b_white,w_1200,h_1200/v1788350618/1091_Sun_11.png</x:v>
      </x:c>
      <x:c r="F959" s="14" t="str"/>
      <x:c r="G959" s="14" t="str">
        <x:v>Lifestyle</x:v>
      </x:c>
      <x:c r="H959" s="14" t="str"/>
      <x:c r="I959" s="14" t="str">
        <x:v>Detail</x:v>
      </x:c>
      <x:c r="J959" s="14" t="str"/>
      <x:c r="K959" s="14" t="str">
        <x:v>Scale</x:v>
      </x:c>
      <x:c r="L959" s="14" t="str"/>
      <x:c r="M959" s="14" t="str">
        <x:v>Alternate</x:v>
      </x:c>
      <x:c r="N959" s="14" t="n">
        <x:f>IF(E959&lt;&gt;"",1,0)+IF(F959&lt;&gt;"",1,0)+IF(H959&lt;&gt;"",1,0)+IF(J959&lt;&gt;"",1,0)+IF(L959&lt;&gt;"",1,0)</x:f>
        <x:v>1</x:v>
      </x:c>
      <x:c r="O959" s="14" t="str">
        <x:f>IF(E959="","MISSING MAIN",IF(N959=1,"MAIN ONLY","MULTI-PHOTO"))</x:f>
        <x:v>MAIN ONLY</x:v>
      </x:c>
      <x:c r="P959" s="14" t="str">
        <x:v>1091_</x:v>
      </x:c>
      <x:c r="Q959" s="14" t="str">
        <x:v>https://mb1advancedsolutions.github.io/mb1-catalog/index.html?design=1091</x:v>
      </x:c>
      <x:c r="R959" s="14" t="str"/>
    </x:row>
    <x:row r="960">
      <x:c r="A960" s="13" t="str">
        <x:v>MB1-1092</x:v>
      </x:c>
      <x:c r="B960" s="13" t="str">
        <x:v>MB1-1092</x:v>
      </x:c>
      <x:c r="C960" s="14" t="str">
        <x:v>Sun 12</x:v>
      </x:c>
      <x:c r="D960" s="14" t="str">
        <x:v>home decor and inspirational</x:v>
      </x:c>
      <x:c r="E960" s="14" t="str">
        <x:v>https://res.cloudinary.com/oxygre42/image/upload/f_auto,q_auto,c_pad,b_white,w_1200,h_1200/v1788350620/1092_Sun_12.png</x:v>
      </x:c>
      <x:c r="F960" s="14" t="str"/>
      <x:c r="G960" s="14" t="str">
        <x:v>Lifestyle</x:v>
      </x:c>
      <x:c r="H960" s="14" t="str"/>
      <x:c r="I960" s="14" t="str">
        <x:v>Detail</x:v>
      </x:c>
      <x:c r="J960" s="14" t="str"/>
      <x:c r="K960" s="14" t="str">
        <x:v>Scale</x:v>
      </x:c>
      <x:c r="L960" s="14" t="str"/>
      <x:c r="M960" s="14" t="str">
        <x:v>Alternate</x:v>
      </x:c>
      <x:c r="N960" s="14" t="n">
        <x:f>IF(E960&lt;&gt;"",1,0)+IF(F960&lt;&gt;"",1,0)+IF(H960&lt;&gt;"",1,0)+IF(J960&lt;&gt;"",1,0)+IF(L960&lt;&gt;"",1,0)</x:f>
        <x:v>1</x:v>
      </x:c>
      <x:c r="O960" s="14" t="str">
        <x:f>IF(E960="","MISSING MAIN",IF(N960=1,"MAIN ONLY","MULTI-PHOTO"))</x:f>
        <x:v>MAIN ONLY</x:v>
      </x:c>
      <x:c r="P960" s="14" t="str">
        <x:v>1092_</x:v>
      </x:c>
      <x:c r="Q960" s="14" t="str">
        <x:v>https://mb1advancedsolutions.github.io/mb1-catalog/index.html?design=1092</x:v>
      </x:c>
      <x:c r="R960" s="14" t="str"/>
    </x:row>
    <x:row r="961">
      <x:c r="A961" s="13" t="str">
        <x:v>MB1-1093</x:v>
      </x:c>
      <x:c r="B961" s="13" t="str">
        <x:v>MB1-1093</x:v>
      </x:c>
      <x:c r="C961" s="14" t="str">
        <x:v>Sun 2</x:v>
      </x:c>
      <x:c r="D961" s="14" t="str">
        <x:v>home decor and inspirational</x:v>
      </x:c>
      <x:c r="E961" s="14" t="str">
        <x:v>https://res.cloudinary.com/oxygre42/image/upload/f_auto,q_auto,c_pad,b_white,w_1200,h_1200/v1788350621/1093_Sun_2.png</x:v>
      </x:c>
      <x:c r="F961" s="14" t="str"/>
      <x:c r="G961" s="14" t="str">
        <x:v>Lifestyle</x:v>
      </x:c>
      <x:c r="H961" s="14" t="str"/>
      <x:c r="I961" s="14" t="str">
        <x:v>Detail</x:v>
      </x:c>
      <x:c r="J961" s="14" t="str"/>
      <x:c r="K961" s="14" t="str">
        <x:v>Scale</x:v>
      </x:c>
      <x:c r="L961" s="14" t="str"/>
      <x:c r="M961" s="14" t="str">
        <x:v>Alternate</x:v>
      </x:c>
      <x:c r="N961" s="14" t="n">
        <x:f>IF(E961&lt;&gt;"",1,0)+IF(F961&lt;&gt;"",1,0)+IF(H961&lt;&gt;"",1,0)+IF(J961&lt;&gt;"",1,0)+IF(L961&lt;&gt;"",1,0)</x:f>
        <x:v>1</x:v>
      </x:c>
      <x:c r="O961" s="14" t="str">
        <x:f>IF(E961="","MISSING MAIN",IF(N961=1,"MAIN ONLY","MULTI-PHOTO"))</x:f>
        <x:v>MAIN ONLY</x:v>
      </x:c>
      <x:c r="P961" s="14" t="str">
        <x:v>1093_</x:v>
      </x:c>
      <x:c r="Q961" s="14" t="str">
        <x:v>https://mb1advancedsolutions.github.io/mb1-catalog/index.html?design=1093</x:v>
      </x:c>
      <x:c r="R961" s="14" t="str"/>
    </x:row>
    <x:row r="962">
      <x:c r="A962" s="13" t="str">
        <x:v>MB1-1094</x:v>
      </x:c>
      <x:c r="B962" s="13" t="str">
        <x:v>MB1-1094</x:v>
      </x:c>
      <x:c r="C962" s="14" t="str">
        <x:v>Sun 3</x:v>
      </x:c>
      <x:c r="D962" s="14" t="str">
        <x:v>home decor and inspirational</x:v>
      </x:c>
      <x:c r="E962" s="14" t="str">
        <x:v>https://res.cloudinary.com/oxygre42/image/upload/f_auto,q_auto,c_pad,b_white,w_1200,h_1200/v1788350623/1094_Sun_3.png</x:v>
      </x:c>
      <x:c r="F962" s="14" t="str"/>
      <x:c r="G962" s="14" t="str">
        <x:v>Lifestyle</x:v>
      </x:c>
      <x:c r="H962" s="14" t="str"/>
      <x:c r="I962" s="14" t="str">
        <x:v>Detail</x:v>
      </x:c>
      <x:c r="J962" s="14" t="str"/>
      <x:c r="K962" s="14" t="str">
        <x:v>Scale</x:v>
      </x:c>
      <x:c r="L962" s="14" t="str"/>
      <x:c r="M962" s="14" t="str">
        <x:v>Alternate</x:v>
      </x:c>
      <x:c r="N962" s="14" t="n">
        <x:f>IF(E962&lt;&gt;"",1,0)+IF(F962&lt;&gt;"",1,0)+IF(H962&lt;&gt;"",1,0)+IF(J962&lt;&gt;"",1,0)+IF(L962&lt;&gt;"",1,0)</x:f>
        <x:v>1</x:v>
      </x:c>
      <x:c r="O962" s="14" t="str">
        <x:f>IF(E962="","MISSING MAIN",IF(N962=1,"MAIN ONLY","MULTI-PHOTO"))</x:f>
        <x:v>MAIN ONLY</x:v>
      </x:c>
      <x:c r="P962" s="14" t="str">
        <x:v>1094_</x:v>
      </x:c>
      <x:c r="Q962" s="14" t="str">
        <x:v>https://mb1advancedsolutions.github.io/mb1-catalog/index.html?design=1094</x:v>
      </x:c>
      <x:c r="R962" s="14" t="str"/>
    </x:row>
    <x:row r="963">
      <x:c r="A963" s="13" t="str">
        <x:v>MB1-1095</x:v>
      </x:c>
      <x:c r="B963" s="13" t="str">
        <x:v>MB1-1095</x:v>
      </x:c>
      <x:c r="C963" s="14" t="str">
        <x:v>Sun 4</x:v>
      </x:c>
      <x:c r="D963" s="14" t="str">
        <x:v>home decor and inspirational</x:v>
      </x:c>
      <x:c r="E963" s="14" t="str">
        <x:v>https://res.cloudinary.com/oxygre42/image/upload/f_auto,q_auto,c_pad,b_white,w_1200,h_1200/v1788350625/1095_Sun_4.png</x:v>
      </x:c>
      <x:c r="F963" s="14" t="str"/>
      <x:c r="G963" s="14" t="str">
        <x:v>Lifestyle</x:v>
      </x:c>
      <x:c r="H963" s="14" t="str"/>
      <x:c r="I963" s="14" t="str">
        <x:v>Detail</x:v>
      </x:c>
      <x:c r="J963" s="14" t="str"/>
      <x:c r="K963" s="14" t="str">
        <x:v>Scale</x:v>
      </x:c>
      <x:c r="L963" s="14" t="str"/>
      <x:c r="M963" s="14" t="str">
        <x:v>Alternate</x:v>
      </x:c>
      <x:c r="N963" s="14" t="n">
        <x:f>IF(E963&lt;&gt;"",1,0)+IF(F963&lt;&gt;"",1,0)+IF(H963&lt;&gt;"",1,0)+IF(J963&lt;&gt;"",1,0)+IF(L963&lt;&gt;"",1,0)</x:f>
        <x:v>1</x:v>
      </x:c>
      <x:c r="O963" s="14" t="str">
        <x:f>IF(E963="","MISSING MAIN",IF(N963=1,"MAIN ONLY","MULTI-PHOTO"))</x:f>
        <x:v>MAIN ONLY</x:v>
      </x:c>
      <x:c r="P963" s="14" t="str">
        <x:v>1095_</x:v>
      </x:c>
      <x:c r="Q963" s="14" t="str">
        <x:v>https://mb1advancedsolutions.github.io/mb1-catalog/index.html?design=1095</x:v>
      </x:c>
      <x:c r="R963" s="14" t="str"/>
    </x:row>
    <x:row r="964">
      <x:c r="A964" s="13" t="str">
        <x:v>MB1-1096</x:v>
      </x:c>
      <x:c r="B964" s="13" t="str">
        <x:v>MB1-1096</x:v>
      </x:c>
      <x:c r="C964" s="14" t="str">
        <x:v>Sun 5</x:v>
      </x:c>
      <x:c r="D964" s="14" t="str">
        <x:v>home decor and inspirational</x:v>
      </x:c>
      <x:c r="E964" s="14" t="str">
        <x:v>https://res.cloudinary.com/oxygre42/image/upload/f_auto,q_auto,c_pad,b_white,w_1200,h_1200/v1788350627/1096_Sun_5.png</x:v>
      </x:c>
      <x:c r="F964" s="14" t="str"/>
      <x:c r="G964" s="14" t="str">
        <x:v>Lifestyle</x:v>
      </x:c>
      <x:c r="H964" s="14" t="str"/>
      <x:c r="I964" s="14" t="str">
        <x:v>Detail</x:v>
      </x:c>
      <x:c r="J964" s="14" t="str"/>
      <x:c r="K964" s="14" t="str">
        <x:v>Scale</x:v>
      </x:c>
      <x:c r="L964" s="14" t="str"/>
      <x:c r="M964" s="14" t="str">
        <x:v>Alternate</x:v>
      </x:c>
      <x:c r="N964" s="14" t="n">
        <x:f>IF(E964&lt;&gt;"",1,0)+IF(F964&lt;&gt;"",1,0)+IF(H964&lt;&gt;"",1,0)+IF(J964&lt;&gt;"",1,0)+IF(L964&lt;&gt;"",1,0)</x:f>
        <x:v>1</x:v>
      </x:c>
      <x:c r="O964" s="14" t="str">
        <x:f>IF(E964="","MISSING MAIN",IF(N964=1,"MAIN ONLY","MULTI-PHOTO"))</x:f>
        <x:v>MAIN ONLY</x:v>
      </x:c>
      <x:c r="P964" s="14" t="str">
        <x:v>1096_</x:v>
      </x:c>
      <x:c r="Q964" s="14" t="str">
        <x:v>https://mb1advancedsolutions.github.io/mb1-catalog/index.html?design=1096</x:v>
      </x:c>
      <x:c r="R964" s="14" t="str"/>
    </x:row>
    <x:row r="965">
      <x:c r="A965" s="13" t="str">
        <x:v>MB1-1097</x:v>
      </x:c>
      <x:c r="B965" s="13" t="str">
        <x:v>MB1-1097</x:v>
      </x:c>
      <x:c r="C965" s="14" t="str">
        <x:v>Sun 6(1)</x:v>
      </x:c>
      <x:c r="D965" s="14" t="str">
        <x:v>home decor and inspirational</x:v>
      </x:c>
      <x:c r="E965" s="14" t="str">
        <x:v>https://res.cloudinary.com/oxygre42/image/upload/f_auto,q_auto,c_pad,b_white,w_1200,h_1200/v1788350629/1097_Sun_6_1.png</x:v>
      </x:c>
      <x:c r="F965" s="14" t="str"/>
      <x:c r="G965" s="14" t="str">
        <x:v>Lifestyle</x:v>
      </x:c>
      <x:c r="H965" s="14" t="str"/>
      <x:c r="I965" s="14" t="str">
        <x:v>Detail</x:v>
      </x:c>
      <x:c r="J965" s="14" t="str"/>
      <x:c r="K965" s="14" t="str">
        <x:v>Scale</x:v>
      </x:c>
      <x:c r="L965" s="14" t="str"/>
      <x:c r="M965" s="14" t="str">
        <x:v>Alternate</x:v>
      </x:c>
      <x:c r="N965" s="14" t="n">
        <x:f>IF(E965&lt;&gt;"",1,0)+IF(F965&lt;&gt;"",1,0)+IF(H965&lt;&gt;"",1,0)+IF(J965&lt;&gt;"",1,0)+IF(L965&lt;&gt;"",1,0)</x:f>
        <x:v>1</x:v>
      </x:c>
      <x:c r="O965" s="14" t="str">
        <x:f>IF(E965="","MISSING MAIN",IF(N965=1,"MAIN ONLY","MULTI-PHOTO"))</x:f>
        <x:v>MAIN ONLY</x:v>
      </x:c>
      <x:c r="P965" s="14" t="str">
        <x:v>1097_</x:v>
      </x:c>
      <x:c r="Q965" s="14" t="str">
        <x:v>https://mb1advancedsolutions.github.io/mb1-catalog/index.html?design=1097</x:v>
      </x:c>
      <x:c r="R965" s="14" t="str"/>
    </x:row>
    <x:row r="966">
      <x:c r="A966" s="13" t="str">
        <x:v>MB1-1098</x:v>
      </x:c>
      <x:c r="B966" s="13" t="str">
        <x:v>MB1-1098</x:v>
      </x:c>
      <x:c r="C966" s="14" t="str">
        <x:v>Sun 6</x:v>
      </x:c>
      <x:c r="D966" s="14" t="str">
        <x:v>home decor and inspirational</x:v>
      </x:c>
      <x:c r="E966" s="14" t="str">
        <x:v>https://res.cloudinary.com/oxygre42/image/upload/f_auto,q_auto,c_pad,b_white,w_1200,h_1200/v1788350631/1098_Sun_6.png</x:v>
      </x:c>
      <x:c r="F966" s="14" t="str"/>
      <x:c r="G966" s="14" t="str">
        <x:v>Lifestyle</x:v>
      </x:c>
      <x:c r="H966" s="14" t="str"/>
      <x:c r="I966" s="14" t="str">
        <x:v>Detail</x:v>
      </x:c>
      <x:c r="J966" s="14" t="str"/>
      <x:c r="K966" s="14" t="str">
        <x:v>Scale</x:v>
      </x:c>
      <x:c r="L966" s="14" t="str"/>
      <x:c r="M966" s="14" t="str">
        <x:v>Alternate</x:v>
      </x:c>
      <x:c r="N966" s="14" t="n">
        <x:f>IF(E966&lt;&gt;"",1,0)+IF(F966&lt;&gt;"",1,0)+IF(H966&lt;&gt;"",1,0)+IF(J966&lt;&gt;"",1,0)+IF(L966&lt;&gt;"",1,0)</x:f>
        <x:v>1</x:v>
      </x:c>
      <x:c r="O966" s="14" t="str">
        <x:f>IF(E966="","MISSING MAIN",IF(N966=1,"MAIN ONLY","MULTI-PHOTO"))</x:f>
        <x:v>MAIN ONLY</x:v>
      </x:c>
      <x:c r="P966" s="14" t="str">
        <x:v>1098_</x:v>
      </x:c>
      <x:c r="Q966" s="14" t="str">
        <x:v>https://mb1advancedsolutions.github.io/mb1-catalog/index.html?design=1098</x:v>
      </x:c>
      <x:c r="R966" s="14" t="str"/>
    </x:row>
    <x:row r="967">
      <x:c r="A967" s="13" t="str">
        <x:v>MB1-1099</x:v>
      </x:c>
      <x:c r="B967" s="13" t="str">
        <x:v>MB1-1099</x:v>
      </x:c>
      <x:c r="C967" s="14" t="str">
        <x:v>Sun 7(1)</x:v>
      </x:c>
      <x:c r="D967" s="14" t="str">
        <x:v>home decor and inspirational</x:v>
      </x:c>
      <x:c r="E967" s="14" t="str">
        <x:v>https://res.cloudinary.com/oxygre42/image/upload/f_auto,q_auto,c_pad,b_white,w_1200,h_1200/v1788350633/1099_Sun_7_1.png</x:v>
      </x:c>
      <x:c r="F967" s="14" t="str"/>
      <x:c r="G967" s="14" t="str">
        <x:v>Lifestyle</x:v>
      </x:c>
      <x:c r="H967" s="14" t="str"/>
      <x:c r="I967" s="14" t="str">
        <x:v>Detail</x:v>
      </x:c>
      <x:c r="J967" s="14" t="str"/>
      <x:c r="K967" s="14" t="str">
        <x:v>Scale</x:v>
      </x:c>
      <x:c r="L967" s="14" t="str"/>
      <x:c r="M967" s="14" t="str">
        <x:v>Alternate</x:v>
      </x:c>
      <x:c r="N967" s="14" t="n">
        <x:f>IF(E967&lt;&gt;"",1,0)+IF(F967&lt;&gt;"",1,0)+IF(H967&lt;&gt;"",1,0)+IF(J967&lt;&gt;"",1,0)+IF(L967&lt;&gt;"",1,0)</x:f>
        <x:v>1</x:v>
      </x:c>
      <x:c r="O967" s="14" t="str">
        <x:f>IF(E967="","MISSING MAIN",IF(N967=1,"MAIN ONLY","MULTI-PHOTO"))</x:f>
        <x:v>MAIN ONLY</x:v>
      </x:c>
      <x:c r="P967" s="14" t="str">
        <x:v>1099_</x:v>
      </x:c>
      <x:c r="Q967" s="14" t="str">
        <x:v>https://mb1advancedsolutions.github.io/mb1-catalog/index.html?design=1099</x:v>
      </x:c>
      <x:c r="R967" s="14" t="str"/>
    </x:row>
    <x:row r="968">
      <x:c r="A968" s="13" t="str">
        <x:v>MB1-1100</x:v>
      </x:c>
      <x:c r="B968" s="13" t="str">
        <x:v>MB1-1100</x:v>
      </x:c>
      <x:c r="C968" s="14" t="str">
        <x:v>Sun 7</x:v>
      </x:c>
      <x:c r="D968" s="14" t="str">
        <x:v>home decor and inspirational</x:v>
      </x:c>
      <x:c r="E968" s="14" t="str">
        <x:v>https://res.cloudinary.com/oxygre42/image/upload/f_auto,q_auto,c_pad,b_white,w_1200,h_1200/v1788350635/1100_Sun_7.png</x:v>
      </x:c>
      <x:c r="F968" s="14" t="str"/>
      <x:c r="G968" s="14" t="str">
        <x:v>Lifestyle</x:v>
      </x:c>
      <x:c r="H968" s="14" t="str"/>
      <x:c r="I968" s="14" t="str">
        <x:v>Detail</x:v>
      </x:c>
      <x:c r="J968" s="14" t="str"/>
      <x:c r="K968" s="14" t="str">
        <x:v>Scale</x:v>
      </x:c>
      <x:c r="L968" s="14" t="str"/>
      <x:c r="M968" s="14" t="str">
        <x:v>Alternate</x:v>
      </x:c>
      <x:c r="N968" s="14" t="n">
        <x:f>IF(E968&lt;&gt;"",1,0)+IF(F968&lt;&gt;"",1,0)+IF(H968&lt;&gt;"",1,0)+IF(J968&lt;&gt;"",1,0)+IF(L968&lt;&gt;"",1,0)</x:f>
        <x:v>1</x:v>
      </x:c>
      <x:c r="O968" s="14" t="str">
        <x:f>IF(E968="","MISSING MAIN",IF(N968=1,"MAIN ONLY","MULTI-PHOTO"))</x:f>
        <x:v>MAIN ONLY</x:v>
      </x:c>
      <x:c r="P968" s="14" t="str">
        <x:v>1100_</x:v>
      </x:c>
      <x:c r="Q968" s="14" t="str">
        <x:v>https://mb1advancedsolutions.github.io/mb1-catalog/index.html?design=1100</x:v>
      </x:c>
      <x:c r="R968" s="14" t="str"/>
    </x:row>
    <x:row r="969">
      <x:c r="A969" s="13" t="str">
        <x:v>MB1-1101</x:v>
      </x:c>
      <x:c r="B969" s="13" t="str">
        <x:v>MB1-1101</x:v>
      </x:c>
      <x:c r="C969" s="14" t="str">
        <x:v>Sun 8(1)</x:v>
      </x:c>
      <x:c r="D969" s="14" t="str">
        <x:v>home decor and inspirational</x:v>
      </x:c>
      <x:c r="E969" s="14" t="str">
        <x:v>https://res.cloudinary.com/oxygre42/image/upload/f_auto,q_auto,c_pad,b_white,w_1200,h_1200/v1788350637/1101_Sun_8_1.png</x:v>
      </x:c>
      <x:c r="F969" s="14" t="str"/>
      <x:c r="G969" s="14" t="str">
        <x:v>Lifestyle</x:v>
      </x:c>
      <x:c r="H969" s="14" t="str"/>
      <x:c r="I969" s="14" t="str">
        <x:v>Detail</x:v>
      </x:c>
      <x:c r="J969" s="14" t="str"/>
      <x:c r="K969" s="14" t="str">
        <x:v>Scale</x:v>
      </x:c>
      <x:c r="L969" s="14" t="str"/>
      <x:c r="M969" s="14" t="str">
        <x:v>Alternate</x:v>
      </x:c>
      <x:c r="N969" s="14" t="n">
        <x:f>IF(E969&lt;&gt;"",1,0)+IF(F969&lt;&gt;"",1,0)+IF(H969&lt;&gt;"",1,0)+IF(J969&lt;&gt;"",1,0)+IF(L969&lt;&gt;"",1,0)</x:f>
        <x:v>1</x:v>
      </x:c>
      <x:c r="O969" s="14" t="str">
        <x:f>IF(E969="","MISSING MAIN",IF(N969=1,"MAIN ONLY","MULTI-PHOTO"))</x:f>
        <x:v>MAIN ONLY</x:v>
      </x:c>
      <x:c r="P969" s="14" t="str">
        <x:v>1101_</x:v>
      </x:c>
      <x:c r="Q969" s="14" t="str">
        <x:v>https://mb1advancedsolutions.github.io/mb1-catalog/index.html?design=1101</x:v>
      </x:c>
      <x:c r="R969" s="14" t="str"/>
    </x:row>
    <x:row r="970">
      <x:c r="A970" s="13" t="str">
        <x:v>MB1-1102</x:v>
      </x:c>
      <x:c r="B970" s="13" t="str">
        <x:v>MB1-1102</x:v>
      </x:c>
      <x:c r="C970" s="14" t="str">
        <x:v>Sun 8</x:v>
      </x:c>
      <x:c r="D970" s="14" t="str">
        <x:v>home decor and inspirational</x:v>
      </x:c>
      <x:c r="E970" s="14" t="str">
        <x:v>https://res.cloudinary.com/oxygre42/image/upload/f_auto,q_auto,c_pad,b_white,w_1200,h_1200/v1788350639/1102_Sun_8.png</x:v>
      </x:c>
      <x:c r="F970" s="14" t="str"/>
      <x:c r="G970" s="14" t="str">
        <x:v>Lifestyle</x:v>
      </x:c>
      <x:c r="H970" s="14" t="str"/>
      <x:c r="I970" s="14" t="str">
        <x:v>Detail</x:v>
      </x:c>
      <x:c r="J970" s="14" t="str"/>
      <x:c r="K970" s="14" t="str">
        <x:v>Scale</x:v>
      </x:c>
      <x:c r="L970" s="14" t="str"/>
      <x:c r="M970" s="14" t="str">
        <x:v>Alternate</x:v>
      </x:c>
      <x:c r="N970" s="14" t="n">
        <x:f>IF(E970&lt;&gt;"",1,0)+IF(F970&lt;&gt;"",1,0)+IF(H970&lt;&gt;"",1,0)+IF(J970&lt;&gt;"",1,0)+IF(L970&lt;&gt;"",1,0)</x:f>
        <x:v>1</x:v>
      </x:c>
      <x:c r="O970" s="14" t="str">
        <x:f>IF(E970="","MISSING MAIN",IF(N970=1,"MAIN ONLY","MULTI-PHOTO"))</x:f>
        <x:v>MAIN ONLY</x:v>
      </x:c>
      <x:c r="P970" s="14" t="str">
        <x:v>1102_</x:v>
      </x:c>
      <x:c r="Q970" s="14" t="str">
        <x:v>https://mb1advancedsolutions.github.io/mb1-catalog/index.html?design=1102</x:v>
      </x:c>
      <x:c r="R970" s="14" t="str"/>
    </x:row>
    <x:row r="971">
      <x:c r="A971" s="13" t="str">
        <x:v>MB1-1103</x:v>
      </x:c>
      <x:c r="B971" s="13" t="str">
        <x:v>MB1-1103</x:v>
      </x:c>
      <x:c r="C971" s="14" t="str">
        <x:v>Sun 9</x:v>
      </x:c>
      <x:c r="D971" s="14" t="str">
        <x:v>home decor and inspirational</x:v>
      </x:c>
      <x:c r="E971" s="14" t="str">
        <x:v>https://res.cloudinary.com/oxygre42/image/upload/f_auto,q_auto,c_pad,b_white,w_1200,h_1200/v1788350641/1103_Sun_9.png</x:v>
      </x:c>
      <x:c r="F971" s="14" t="str"/>
      <x:c r="G971" s="14" t="str">
        <x:v>Lifestyle</x:v>
      </x:c>
      <x:c r="H971" s="14" t="str"/>
      <x:c r="I971" s="14" t="str">
        <x:v>Detail</x:v>
      </x:c>
      <x:c r="J971" s="14" t="str"/>
      <x:c r="K971" s="14" t="str">
        <x:v>Scale</x:v>
      </x:c>
      <x:c r="L971" s="14" t="str"/>
      <x:c r="M971" s="14" t="str">
        <x:v>Alternate</x:v>
      </x:c>
      <x:c r="N971" s="14" t="n">
        <x:f>IF(E971&lt;&gt;"",1,0)+IF(F971&lt;&gt;"",1,0)+IF(H971&lt;&gt;"",1,0)+IF(J971&lt;&gt;"",1,0)+IF(L971&lt;&gt;"",1,0)</x:f>
        <x:v>1</x:v>
      </x:c>
      <x:c r="O971" s="14" t="str">
        <x:f>IF(E971="","MISSING MAIN",IF(N971=1,"MAIN ONLY","MULTI-PHOTO"))</x:f>
        <x:v>MAIN ONLY</x:v>
      </x:c>
      <x:c r="P971" s="14" t="str">
        <x:v>1103_</x:v>
      </x:c>
      <x:c r="Q971" s="14" t="str">
        <x:v>https://mb1advancedsolutions.github.io/mb1-catalog/index.html?design=1103</x:v>
      </x:c>
      <x:c r="R971" s="14" t="str"/>
    </x:row>
    <x:row r="972">
      <x:c r="A972" s="13" t="str">
        <x:v>MB1-1104</x:v>
      </x:c>
      <x:c r="B972" s="13" t="str">
        <x:v>MB1-1104</x:v>
      </x:c>
      <x:c r="C972" s="14" t="str">
        <x:v>Sun and Moon</x:v>
      </x:c>
      <x:c r="D972" s="14" t="str">
        <x:v>home decor and inspirational</x:v>
      </x:c>
      <x:c r="E972" s="14" t="str">
        <x:v>https://res.cloudinary.com/oxygre42/image/upload/f_auto,q_auto,c_pad,b_white,w_1200,h_1200/v1788350643/1104_Sun_and_Moon.png</x:v>
      </x:c>
      <x:c r="F972" s="14" t="str"/>
      <x:c r="G972" s="14" t="str">
        <x:v>Lifestyle</x:v>
      </x:c>
      <x:c r="H972" s="14" t="str"/>
      <x:c r="I972" s="14" t="str">
        <x:v>Detail</x:v>
      </x:c>
      <x:c r="J972" s="14" t="str"/>
      <x:c r="K972" s="14" t="str">
        <x:v>Scale</x:v>
      </x:c>
      <x:c r="L972" s="14" t="str"/>
      <x:c r="M972" s="14" t="str">
        <x:v>Alternate</x:v>
      </x:c>
      <x:c r="N972" s="14" t="n">
        <x:f>IF(E972&lt;&gt;"",1,0)+IF(F972&lt;&gt;"",1,0)+IF(H972&lt;&gt;"",1,0)+IF(J972&lt;&gt;"",1,0)+IF(L972&lt;&gt;"",1,0)</x:f>
        <x:v>1</x:v>
      </x:c>
      <x:c r="O972" s="14" t="str">
        <x:f>IF(E972="","MISSING MAIN",IF(N972=1,"MAIN ONLY","MULTI-PHOTO"))</x:f>
        <x:v>MAIN ONLY</x:v>
      </x:c>
      <x:c r="P972" s="14" t="str">
        <x:v>1104_</x:v>
      </x:c>
      <x:c r="Q972" s="14" t="str">
        <x:v>https://mb1advancedsolutions.github.io/mb1-catalog/index.html?design=1104</x:v>
      </x:c>
      <x:c r="R972" s="14" t="str"/>
    </x:row>
    <x:row r="973">
      <x:c r="A973" s="13" t="str">
        <x:v>MB1-1105</x:v>
      </x:c>
      <x:c r="B973" s="13" t="str">
        <x:v>MB1-1105</x:v>
      </x:c>
      <x:c r="C973" s="14" t="str">
        <x:v>Sun and moon 2</x:v>
      </x:c>
      <x:c r="D973" s="14" t="str">
        <x:v>home decor and inspirational</x:v>
      </x:c>
      <x:c r="E973" s="14" t="str">
        <x:v>https://res.cloudinary.com/oxygre42/image/upload/f_auto,q_auto,c_pad,b_white,w_1200,h_1200/v1788350645/1105_Sun_and_moon_2.png</x:v>
      </x:c>
      <x:c r="F973" s="14" t="str"/>
      <x:c r="G973" s="14" t="str">
        <x:v>Lifestyle</x:v>
      </x:c>
      <x:c r="H973" s="14" t="str"/>
      <x:c r="I973" s="14" t="str">
        <x:v>Detail</x:v>
      </x:c>
      <x:c r="J973" s="14" t="str"/>
      <x:c r="K973" s="14" t="str">
        <x:v>Scale</x:v>
      </x:c>
      <x:c r="L973" s="14" t="str"/>
      <x:c r="M973" s="14" t="str">
        <x:v>Alternate</x:v>
      </x:c>
      <x:c r="N973" s="14" t="n">
        <x:f>IF(E973&lt;&gt;"",1,0)+IF(F973&lt;&gt;"",1,0)+IF(H973&lt;&gt;"",1,0)+IF(J973&lt;&gt;"",1,0)+IF(L973&lt;&gt;"",1,0)</x:f>
        <x:v>1</x:v>
      </x:c>
      <x:c r="O973" s="14" t="str">
        <x:f>IF(E973="","MISSING MAIN",IF(N973=1,"MAIN ONLY","MULTI-PHOTO"))</x:f>
        <x:v>MAIN ONLY</x:v>
      </x:c>
      <x:c r="P973" s="14" t="str">
        <x:v>1105_</x:v>
      </x:c>
      <x:c r="Q973" s="14" t="str">
        <x:v>https://mb1advancedsolutions.github.io/mb1-catalog/index.html?design=1105</x:v>
      </x:c>
      <x:c r="R973" s="14" t="str"/>
    </x:row>
    <x:row r="974">
      <x:c r="A974" s="13" t="str">
        <x:v>MB1-1106</x:v>
      </x:c>
      <x:c r="B974" s="13" t="str">
        <x:v>MB1-1106</x:v>
      </x:c>
      <x:c r="C974" s="14" t="str">
        <x:v>Sun and the moon</x:v>
      </x:c>
      <x:c r="D974" s="14" t="str">
        <x:v>home decor and inspirational</x:v>
      </x:c>
      <x:c r="E974" s="14" t="str">
        <x:v>https://res.cloudinary.com/oxygre42/image/upload/f_auto,q_auto,c_pad,b_white,w_1200,h_1200/v1788350646/1106_Sun_and_the_moon.png</x:v>
      </x:c>
      <x:c r="F974" s="14" t="str"/>
      <x:c r="G974" s="14" t="str">
        <x:v>Lifestyle</x:v>
      </x:c>
      <x:c r="H974" s="14" t="str"/>
      <x:c r="I974" s="14" t="str">
        <x:v>Detail</x:v>
      </x:c>
      <x:c r="J974" s="14" t="str"/>
      <x:c r="K974" s="14" t="str">
        <x:v>Scale</x:v>
      </x:c>
      <x:c r="L974" s="14" t="str"/>
      <x:c r="M974" s="14" t="str">
        <x:v>Alternate</x:v>
      </x:c>
      <x:c r="N974" s="14" t="n">
        <x:f>IF(E974&lt;&gt;"",1,0)+IF(F974&lt;&gt;"",1,0)+IF(H974&lt;&gt;"",1,0)+IF(J974&lt;&gt;"",1,0)+IF(L974&lt;&gt;"",1,0)</x:f>
        <x:v>1</x:v>
      </x:c>
      <x:c r="O974" s="14" t="str">
        <x:f>IF(E974="","MISSING MAIN",IF(N974=1,"MAIN ONLY","MULTI-PHOTO"))</x:f>
        <x:v>MAIN ONLY</x:v>
      </x:c>
      <x:c r="P974" s="14" t="str">
        <x:v>1106_</x:v>
      </x:c>
      <x:c r="Q974" s="14" t="str">
        <x:v>https://mb1advancedsolutions.github.io/mb1-catalog/index.html?design=1106</x:v>
      </x:c>
      <x:c r="R974" s="14" t="str"/>
    </x:row>
    <x:row r="975">
      <x:c r="A975" s="13" t="str">
        <x:v>MB1-1107</x:v>
      </x:c>
      <x:c r="B975" s="13" t="str">
        <x:v>MB1-1107</x:v>
      </x:c>
      <x:c r="C975" s="14" t="str">
        <x:v>Sunflowers 2 layer</x:v>
      </x:c>
      <x:c r="D975" s="14" t="str">
        <x:v>home decor and inspirational</x:v>
      </x:c>
      <x:c r="E975" s="14" t="str">
        <x:v>https://res.cloudinary.com/oxygre42/image/upload/f_auto,q_auto,c_pad,b_white,w_1200,h_1200/v1788350648/1107_Sunflowers_2_layer.png</x:v>
      </x:c>
      <x:c r="F975" s="14" t="str"/>
      <x:c r="G975" s="14" t="str">
        <x:v>Lifestyle</x:v>
      </x:c>
      <x:c r="H975" s="14" t="str"/>
      <x:c r="I975" s="14" t="str">
        <x:v>Detail</x:v>
      </x:c>
      <x:c r="J975" s="14" t="str"/>
      <x:c r="K975" s="14" t="str">
        <x:v>Scale</x:v>
      </x:c>
      <x:c r="L975" s="14" t="str"/>
      <x:c r="M975" s="14" t="str">
        <x:v>Alternate</x:v>
      </x:c>
      <x:c r="N975" s="14" t="n">
        <x:f>IF(E975&lt;&gt;"",1,0)+IF(F975&lt;&gt;"",1,0)+IF(H975&lt;&gt;"",1,0)+IF(J975&lt;&gt;"",1,0)+IF(L975&lt;&gt;"",1,0)</x:f>
        <x:v>1</x:v>
      </x:c>
      <x:c r="O975" s="14" t="str">
        <x:f>IF(E975="","MISSING MAIN",IF(N975=1,"MAIN ONLY","MULTI-PHOTO"))</x:f>
        <x:v>MAIN ONLY</x:v>
      </x:c>
      <x:c r="P975" s="14" t="str">
        <x:v>1107_</x:v>
      </x:c>
      <x:c r="Q975" s="14" t="str">
        <x:v>https://mb1advancedsolutions.github.io/mb1-catalog/index.html?design=1107</x:v>
      </x:c>
      <x:c r="R975" s="14" t="str"/>
    </x:row>
    <x:row r="976">
      <x:c r="A976" s="13" t="str">
        <x:v>MB1-1108</x:v>
      </x:c>
      <x:c r="B976" s="13" t="str">
        <x:v>MB1-1108</x:v>
      </x:c>
      <x:c r="C976" s="14" t="str">
        <x:v>Sunflowers</x:v>
      </x:c>
      <x:c r="D976" s="14" t="str">
        <x:v>home decor and inspirational</x:v>
      </x:c>
      <x:c r="E976" s="14" t="str">
        <x:v>https://res.cloudinary.com/oxygre42/image/upload/f_auto,q_auto,c_pad,b_white,w_1200,h_1200/v1788350650/1108_Sunflowers.png</x:v>
      </x:c>
      <x:c r="F976" s="14" t="str"/>
      <x:c r="G976" s="14" t="str">
        <x:v>Lifestyle</x:v>
      </x:c>
      <x:c r="H976" s="14" t="str"/>
      <x:c r="I976" s="14" t="str">
        <x:v>Detail</x:v>
      </x:c>
      <x:c r="J976" s="14" t="str"/>
      <x:c r="K976" s="14" t="str">
        <x:v>Scale</x:v>
      </x:c>
      <x:c r="L976" s="14" t="str"/>
      <x:c r="M976" s="14" t="str">
        <x:v>Alternate</x:v>
      </x:c>
      <x:c r="N976" s="14" t="n">
        <x:f>IF(E976&lt;&gt;"",1,0)+IF(F976&lt;&gt;"",1,0)+IF(H976&lt;&gt;"",1,0)+IF(J976&lt;&gt;"",1,0)+IF(L976&lt;&gt;"",1,0)</x:f>
        <x:v>1</x:v>
      </x:c>
      <x:c r="O976" s="14" t="str">
        <x:f>IF(E976="","MISSING MAIN",IF(N976=1,"MAIN ONLY","MULTI-PHOTO"))</x:f>
        <x:v>MAIN ONLY</x:v>
      </x:c>
      <x:c r="P976" s="14" t="str">
        <x:v>1108_</x:v>
      </x:c>
      <x:c r="Q976" s="14" t="str">
        <x:v>https://mb1advancedsolutions.github.io/mb1-catalog/index.html?design=1108</x:v>
      </x:c>
      <x:c r="R976" s="14" t="str"/>
    </x:row>
    <x:row r="977">
      <x:c r="A977" s="13" t="str">
        <x:v>MB1-1109</x:v>
      </x:c>
      <x:c r="B977" s="13" t="str">
        <x:v>MB1-1109</x:v>
      </x:c>
      <x:c r="C977" s="14" t="str">
        <x:v>Super Bee Single Layer</x:v>
      </x:c>
      <x:c r="D977" s="14" t="str">
        <x:v>wildlife and outdoors</x:v>
      </x:c>
      <x:c r="E977" s="14" t="str">
        <x:v>https://res.cloudinary.com/oxygre42/image/upload/f_auto,q_auto,c_pad,b_white,w_1200,h_1200/v1788350652/1109_Super_Bee_Single_Layer.png</x:v>
      </x:c>
      <x:c r="F977" s="14" t="str"/>
      <x:c r="G977" s="14" t="str">
        <x:v>Lifestyle</x:v>
      </x:c>
      <x:c r="H977" s="14" t="str"/>
      <x:c r="I977" s="14" t="str">
        <x:v>Detail</x:v>
      </x:c>
      <x:c r="J977" s="14" t="str"/>
      <x:c r="K977" s="14" t="str">
        <x:v>Scale</x:v>
      </x:c>
      <x:c r="L977" s="14" t="str"/>
      <x:c r="M977" s="14" t="str">
        <x:v>Alternate</x:v>
      </x:c>
      <x:c r="N977" s="14" t="n">
        <x:f>IF(E977&lt;&gt;"",1,0)+IF(F977&lt;&gt;"",1,0)+IF(H977&lt;&gt;"",1,0)+IF(J977&lt;&gt;"",1,0)+IF(L977&lt;&gt;"",1,0)</x:f>
        <x:v>1</x:v>
      </x:c>
      <x:c r="O977" s="14" t="str">
        <x:f>IF(E977="","MISSING MAIN",IF(N977=1,"MAIN ONLY","MULTI-PHOTO"))</x:f>
        <x:v>MAIN ONLY</x:v>
      </x:c>
      <x:c r="P977" s="14" t="str">
        <x:v>1109_</x:v>
      </x:c>
      <x:c r="Q977" s="14" t="str">
        <x:v>https://mb1advancedsolutions.github.io/mb1-catalog/index.html?design=1109</x:v>
      </x:c>
      <x:c r="R977" s="14" t="str"/>
    </x:row>
    <x:row r="978">
      <x:c r="A978" s="13" t="str">
        <x:v>MB1-1110</x:v>
      </x:c>
      <x:c r="B978" s="13" t="str">
        <x:v>MB1-1110</x:v>
      </x:c>
      <x:c r="C978" s="14" t="str">
        <x:v>Tactical skeleton</x:v>
      </x:c>
      <x:c r="D978" s="14" t="str">
        <x:v>sports and hobbies</x:v>
      </x:c>
      <x:c r="E978" s="14" t="str">
        <x:v>https://res.cloudinary.com/oxygre42/image/upload/f_auto,q_auto,c_pad,b_white,w_1200,h_1200/v1788350654/1110_Tactical_skeleton.png</x:v>
      </x:c>
      <x:c r="F978" s="14" t="str"/>
      <x:c r="G978" s="14" t="str">
        <x:v>Lifestyle</x:v>
      </x:c>
      <x:c r="H978" s="14" t="str"/>
      <x:c r="I978" s="14" t="str">
        <x:v>Detail</x:v>
      </x:c>
      <x:c r="J978" s="14" t="str"/>
      <x:c r="K978" s="14" t="str">
        <x:v>Scale</x:v>
      </x:c>
      <x:c r="L978" s="14" t="str"/>
      <x:c r="M978" s="14" t="str">
        <x:v>Alternate</x:v>
      </x:c>
      <x:c r="N978" s="14" t="n">
        <x:f>IF(E978&lt;&gt;"",1,0)+IF(F978&lt;&gt;"",1,0)+IF(H978&lt;&gt;"",1,0)+IF(J978&lt;&gt;"",1,0)+IF(L978&lt;&gt;"",1,0)</x:f>
        <x:v>1</x:v>
      </x:c>
      <x:c r="O978" s="14" t="str">
        <x:f>IF(E978="","MISSING MAIN",IF(N978=1,"MAIN ONLY","MULTI-PHOTO"))</x:f>
        <x:v>MAIN ONLY</x:v>
      </x:c>
      <x:c r="P978" s="14" t="str">
        <x:v>1110_</x:v>
      </x:c>
      <x:c r="Q978" s="14" t="str">
        <x:v>https://mb1advancedsolutions.github.io/mb1-catalog/index.html?design=1110</x:v>
      </x:c>
      <x:c r="R978" s="14" t="str"/>
    </x:row>
    <x:row r="979">
      <x:c r="A979" s="13" t="str">
        <x:v>MB1-1112</x:v>
      </x:c>
      <x:c r="B979" s="13" t="str">
        <x:v>MB1-1112</x:v>
      </x:c>
      <x:c r="C979" s="14" t="str">
        <x:v>Tattoo Removal</x:v>
      </x:c>
      <x:c r="D979" s="14" t="str">
        <x:v>sports and hobbies</x:v>
      </x:c>
      <x:c r="E979" s="14" t="str">
        <x:v>https://res.cloudinary.com/oxygre42/image/upload/f_auto,q_auto,c_pad,b_white,w_1200,h_1200/v1788350656/1112_Tattoo_Removal.png</x:v>
      </x:c>
      <x:c r="F979" s="14" t="str"/>
      <x:c r="G979" s="14" t="str">
        <x:v>Lifestyle</x:v>
      </x:c>
      <x:c r="H979" s="14" t="str"/>
      <x:c r="I979" s="14" t="str">
        <x:v>Detail</x:v>
      </x:c>
      <x:c r="J979" s="14" t="str"/>
      <x:c r="K979" s="14" t="str">
        <x:v>Scale</x:v>
      </x:c>
      <x:c r="L979" s="14" t="str"/>
      <x:c r="M979" s="14" t="str">
        <x:v>Alternate</x:v>
      </x:c>
      <x:c r="N979" s="14" t="n">
        <x:f>IF(E979&lt;&gt;"",1,0)+IF(F979&lt;&gt;"",1,0)+IF(H979&lt;&gt;"",1,0)+IF(J979&lt;&gt;"",1,0)+IF(L979&lt;&gt;"",1,0)</x:f>
        <x:v>1</x:v>
      </x:c>
      <x:c r="O979" s="14" t="str">
        <x:f>IF(E979="","MISSING MAIN",IF(N979=1,"MAIN ONLY","MULTI-PHOTO"))</x:f>
        <x:v>MAIN ONLY</x:v>
      </x:c>
      <x:c r="P979" s="14" t="str">
        <x:v>1112_</x:v>
      </x:c>
      <x:c r="Q979" s="14" t="str">
        <x:v>https://mb1advancedsolutions.github.io/mb1-catalog/index.html?design=1112</x:v>
      </x:c>
      <x:c r="R979" s="14" t="str"/>
    </x:row>
    <x:row r="980">
      <x:c r="A980" s="13" t="str">
        <x:v>MB1-1113</x:v>
      </x:c>
      <x:c r="B980" s="13" t="str">
        <x:v>MB1-1113</x:v>
      </x:c>
      <x:c r="C980" s="14" t="str">
        <x:v>Tattoo birds couple</x:v>
      </x:c>
      <x:c r="D980" s="14" t="str">
        <x:v>sports and hobbies</x:v>
      </x:c>
      <x:c r="E980" s="14" t="str">
        <x:v>https://res.cloudinary.com/oxygre42/image/upload/f_auto,q_auto,c_pad,b_white,w_1200,h_1200/v1788350658/1113_Tattoo_birds_couple.png</x:v>
      </x:c>
      <x:c r="F980" s="14" t="str"/>
      <x:c r="G980" s="14" t="str">
        <x:v>Lifestyle</x:v>
      </x:c>
      <x:c r="H980" s="14" t="str"/>
      <x:c r="I980" s="14" t="str">
        <x:v>Detail</x:v>
      </x:c>
      <x:c r="J980" s="14" t="str"/>
      <x:c r="K980" s="14" t="str">
        <x:v>Scale</x:v>
      </x:c>
      <x:c r="L980" s="14" t="str"/>
      <x:c r="M980" s="14" t="str">
        <x:v>Alternate</x:v>
      </x:c>
      <x:c r="N980" s="14" t="n">
        <x:f>IF(E980&lt;&gt;"",1,0)+IF(F980&lt;&gt;"",1,0)+IF(H980&lt;&gt;"",1,0)+IF(J980&lt;&gt;"",1,0)+IF(L980&lt;&gt;"",1,0)</x:f>
        <x:v>1</x:v>
      </x:c>
      <x:c r="O980" s="14" t="str">
        <x:f>IF(E980="","MISSING MAIN",IF(N980=1,"MAIN ONLY","MULTI-PHOTO"))</x:f>
        <x:v>MAIN ONLY</x:v>
      </x:c>
      <x:c r="P980" s="14" t="str">
        <x:v>1113_</x:v>
      </x:c>
      <x:c r="Q980" s="14" t="str">
        <x:v>https://mb1advancedsolutions.github.io/mb1-catalog/index.html?design=1113</x:v>
      </x:c>
      <x:c r="R980" s="14" t="str"/>
    </x:row>
    <x:row r="981">
      <x:c r="A981" s="13" t="str">
        <x:v>MB1-1114</x:v>
      </x:c>
      <x:c r="B981" s="13" t="str">
        <x:v>MB1-1114</x:v>
      </x:c>
      <x:c r="C981" s="14" t="str">
        <x:v>Tattoo shop</x:v>
      </x:c>
      <x:c r="D981" s="14" t="str">
        <x:v>sports and hobbies</x:v>
      </x:c>
      <x:c r="E981" s="14" t="str">
        <x:v>https://res.cloudinary.com/oxygre42/image/upload/f_auto,q_auto,c_pad,b_white,w_1200,h_1200/v1788350660/1114_Tattoo_shop.png</x:v>
      </x:c>
      <x:c r="F981" s="14" t="str"/>
      <x:c r="G981" s="14" t="str">
        <x:v>Lifestyle</x:v>
      </x:c>
      <x:c r="H981" s="14" t="str"/>
      <x:c r="I981" s="14" t="str">
        <x:v>Detail</x:v>
      </x:c>
      <x:c r="J981" s="14" t="str"/>
      <x:c r="K981" s="14" t="str">
        <x:v>Scale</x:v>
      </x:c>
      <x:c r="L981" s="14" t="str"/>
      <x:c r="M981" s="14" t="str">
        <x:v>Alternate</x:v>
      </x:c>
      <x:c r="N981" s="14" t="n">
        <x:f>IF(E981&lt;&gt;"",1,0)+IF(F981&lt;&gt;"",1,0)+IF(H981&lt;&gt;"",1,0)+IF(J981&lt;&gt;"",1,0)+IF(L981&lt;&gt;"",1,0)</x:f>
        <x:v>1</x:v>
      </x:c>
      <x:c r="O981" s="14" t="str">
        <x:f>IF(E981="","MISSING MAIN",IF(N981=1,"MAIN ONLY","MULTI-PHOTO"))</x:f>
        <x:v>MAIN ONLY</x:v>
      </x:c>
      <x:c r="P981" s="14" t="str">
        <x:v>1114_</x:v>
      </x:c>
      <x:c r="Q981" s="14" t="str">
        <x:v>https://mb1advancedsolutions.github.io/mb1-catalog/index.html?design=1114</x:v>
      </x:c>
      <x:c r="R981" s="14" t="str"/>
    </x:row>
    <x:row r="982">
      <x:c r="A982" s="13" t="str">
        <x:v>MB1-1115</x:v>
      </x:c>
      <x:c r="B982" s="13" t="str">
        <x:v>MB1-1115</x:v>
      </x:c>
      <x:c r="C982" s="14" t="str">
        <x:v>Texas Bottle opener</x:v>
      </x:c>
      <x:c r="D982" s="14" t="str">
        <x:v>home decor and inspirational</x:v>
      </x:c>
      <x:c r="E982" s="14" t="str">
        <x:v>https://res.cloudinary.com/oxygre42/image/upload/f_auto,q_auto,c_pad,b_white,w_1200,h_1200/v1788350661/1115_Texas_Bottle_opener.png</x:v>
      </x:c>
      <x:c r="F982" s="14" t="str"/>
      <x:c r="G982" s="14" t="str">
        <x:v>Lifestyle</x:v>
      </x:c>
      <x:c r="H982" s="14" t="str"/>
      <x:c r="I982" s="14" t="str">
        <x:v>Detail</x:v>
      </x:c>
      <x:c r="J982" s="14" t="str"/>
      <x:c r="K982" s="14" t="str">
        <x:v>Scale</x:v>
      </x:c>
      <x:c r="L982" s="14" t="str"/>
      <x:c r="M982" s="14" t="str">
        <x:v>Alternate</x:v>
      </x:c>
      <x:c r="N982" s="14" t="n">
        <x:f>IF(E982&lt;&gt;"",1,0)+IF(F982&lt;&gt;"",1,0)+IF(H982&lt;&gt;"",1,0)+IF(J982&lt;&gt;"",1,0)+IF(L982&lt;&gt;"",1,0)</x:f>
        <x:v>1</x:v>
      </x:c>
      <x:c r="O982" s="14" t="str">
        <x:f>IF(E982="","MISSING MAIN",IF(N982=1,"MAIN ONLY","MULTI-PHOTO"))</x:f>
        <x:v>MAIN ONLY</x:v>
      </x:c>
      <x:c r="P982" s="14" t="str">
        <x:v>1115_</x:v>
      </x:c>
      <x:c r="Q982" s="14" t="str">
        <x:v>https://mb1advancedsolutions.github.io/mb1-catalog/index.html?design=1115</x:v>
      </x:c>
      <x:c r="R982" s="14" t="str"/>
    </x:row>
    <x:row r="983">
      <x:c r="A983" s="13" t="str">
        <x:v>MB1-1117</x:v>
      </x:c>
      <x:c r="B983" s="13" t="str">
        <x:v>MB1-1117</x:v>
      </x:c>
      <x:c r="C983" s="14" t="str">
        <x:v>Thankful</x:v>
      </x:c>
      <x:c r="D983" s="14" t="str">
        <x:v>home decor and inspirational</x:v>
      </x:c>
      <x:c r="E983" s="14" t="str">
        <x:v>https://res.cloudinary.com/oxygre42/image/upload/f_auto,q_auto,c_pad,b_white,w_1200,h_1200/v1788350663/1117_Thankful.png</x:v>
      </x:c>
      <x:c r="F983" s="14" t="str"/>
      <x:c r="G983" s="14" t="str">
        <x:v>Lifestyle</x:v>
      </x:c>
      <x:c r="H983" s="14" t="str"/>
      <x:c r="I983" s="14" t="str">
        <x:v>Detail</x:v>
      </x:c>
      <x:c r="J983" s="14" t="str"/>
      <x:c r="K983" s="14" t="str">
        <x:v>Scale</x:v>
      </x:c>
      <x:c r="L983" s="14" t="str"/>
      <x:c r="M983" s="14" t="str">
        <x:v>Alternate</x:v>
      </x:c>
      <x:c r="N983" s="14" t="n">
        <x:f>IF(E983&lt;&gt;"",1,0)+IF(F983&lt;&gt;"",1,0)+IF(H983&lt;&gt;"",1,0)+IF(J983&lt;&gt;"",1,0)+IF(L983&lt;&gt;"",1,0)</x:f>
        <x:v>1</x:v>
      </x:c>
      <x:c r="O983" s="14" t="str">
        <x:f>IF(E983="","MISSING MAIN",IF(N983=1,"MAIN ONLY","MULTI-PHOTO"))</x:f>
        <x:v>MAIN ONLY</x:v>
      </x:c>
      <x:c r="P983" s="14" t="str">
        <x:v>1117_</x:v>
      </x:c>
      <x:c r="Q983" s="14" t="str">
        <x:v>https://mb1advancedsolutions.github.io/mb1-catalog/index.html?design=1117</x:v>
      </x:c>
      <x:c r="R983" s="14" t="str"/>
    </x:row>
    <x:row r="984">
      <x:c r="A984" s="13" t="str">
        <x:v>MB1-1118</x:v>
      </x:c>
      <x:c r="B984" s="13" t="str">
        <x:v>MB1-1118</x:v>
      </x:c>
      <x:c r="C984" s="14" t="str">
        <x:v>The Forge</x:v>
      </x:c>
      <x:c r="D984" s="14" t="str">
        <x:v>garage and workshop</x:v>
      </x:c>
      <x:c r="E984" s="14" t="str">
        <x:v>https://res.cloudinary.com/oxygre42/image/upload/f_auto,q_auto,c_pad,b_white,w_1200,h_1200/v1788350665/1118_The_Forge.png</x:v>
      </x:c>
      <x:c r="F984" s="14" t="str"/>
      <x:c r="G984" s="14" t="str">
        <x:v>Lifestyle</x:v>
      </x:c>
      <x:c r="H984" s="14" t="str"/>
      <x:c r="I984" s="14" t="str">
        <x:v>Detail</x:v>
      </x:c>
      <x:c r="J984" s="14" t="str"/>
      <x:c r="K984" s="14" t="str">
        <x:v>Scale</x:v>
      </x:c>
      <x:c r="L984" s="14" t="str"/>
      <x:c r="M984" s="14" t="str">
        <x:v>Alternate</x:v>
      </x:c>
      <x:c r="N984" s="14" t="n">
        <x:f>IF(E984&lt;&gt;"",1,0)+IF(F984&lt;&gt;"",1,0)+IF(H984&lt;&gt;"",1,0)+IF(J984&lt;&gt;"",1,0)+IF(L984&lt;&gt;"",1,0)</x:f>
        <x:v>1</x:v>
      </x:c>
      <x:c r="O984" s="14" t="str">
        <x:f>IF(E984="","MISSING MAIN",IF(N984=1,"MAIN ONLY","MULTI-PHOTO"))</x:f>
        <x:v>MAIN ONLY</x:v>
      </x:c>
      <x:c r="P984" s="14" t="str">
        <x:v>1118_</x:v>
      </x:c>
      <x:c r="Q984" s="14" t="str">
        <x:v>https://mb1advancedsolutions.github.io/mb1-catalog/index.html?design=1118</x:v>
      </x:c>
      <x:c r="R984" s="14" t="str"/>
    </x:row>
    <x:row r="985">
      <x:c r="A985" s="13" t="str">
        <x:v>MB1-1119</x:v>
      </x:c>
      <x:c r="B985" s="13" t="str">
        <x:v>MB1-1119</x:v>
      </x:c>
      <x:c r="C985" s="14" t="str">
        <x:v>The General Store</x:v>
      </x:c>
      <x:c r="D985" s="14" t="str">
        <x:v>home decor and inspirational</x:v>
      </x:c>
      <x:c r="E985" s="14" t="str">
        <x:v>https://res.cloudinary.com/oxygre42/image/upload/f_auto,q_auto,c_pad,b_white,w_1200,h_1200/v1788350667/1119_The_General_Store.png</x:v>
      </x:c>
      <x:c r="F985" s="14" t="str"/>
      <x:c r="G985" s="14" t="str">
        <x:v>Lifestyle</x:v>
      </x:c>
      <x:c r="H985" s="14" t="str"/>
      <x:c r="I985" s="14" t="str">
        <x:v>Detail</x:v>
      </x:c>
      <x:c r="J985" s="14" t="str"/>
      <x:c r="K985" s="14" t="str">
        <x:v>Scale</x:v>
      </x:c>
      <x:c r="L985" s="14" t="str"/>
      <x:c r="M985" s="14" t="str">
        <x:v>Alternate</x:v>
      </x:c>
      <x:c r="N985" s="14" t="n">
        <x:f>IF(E985&lt;&gt;"",1,0)+IF(F985&lt;&gt;"",1,0)+IF(H985&lt;&gt;"",1,0)+IF(J985&lt;&gt;"",1,0)+IF(L985&lt;&gt;"",1,0)</x:f>
        <x:v>1</x:v>
      </x:c>
      <x:c r="O985" s="14" t="str">
        <x:f>IF(E985="","MISSING MAIN",IF(N985=1,"MAIN ONLY","MULTI-PHOTO"))</x:f>
        <x:v>MAIN ONLY</x:v>
      </x:c>
      <x:c r="P985" s="14" t="str">
        <x:v>1119_</x:v>
      </x:c>
      <x:c r="Q985" s="14" t="str">
        <x:v>https://mb1advancedsolutions.github.io/mb1-catalog/index.html?design=1119</x:v>
      </x:c>
      <x:c r="R985" s="14" t="str"/>
    </x:row>
    <x:row r="986">
      <x:c r="A986" s="13" t="str">
        <x:v>MB1-1120</x:v>
      </x:c>
      <x:c r="B986" s="13" t="str">
        <x:v>MB1-1120</x:v>
      </x:c>
      <x:c r="C986" s="14" t="str">
        <x:v>The Queen of hearts</x:v>
      </x:c>
      <x:c r="D986" s="14" t="str">
        <x:v>home decor and inspirational</x:v>
      </x:c>
      <x:c r="E986" s="14" t="str">
        <x:v>https://res.cloudinary.com/oxygre42/image/upload/f_auto,q_auto,c_pad,b_white,w_1200,h_1200/v1788350669/1120_The_Queen_of_hearts.png</x:v>
      </x:c>
      <x:c r="F986" s="14" t="str"/>
      <x:c r="G986" s="14" t="str">
        <x:v>Lifestyle</x:v>
      </x:c>
      <x:c r="H986" s="14" t="str"/>
      <x:c r="I986" s="14" t="str">
        <x:v>Detail</x:v>
      </x:c>
      <x:c r="J986" s="14" t="str"/>
      <x:c r="K986" s="14" t="str">
        <x:v>Scale</x:v>
      </x:c>
      <x:c r="L986" s="14" t="str"/>
      <x:c r="M986" s="14" t="str">
        <x:v>Alternate</x:v>
      </x:c>
      <x:c r="N986" s="14" t="n">
        <x:f>IF(E986&lt;&gt;"",1,0)+IF(F986&lt;&gt;"",1,0)+IF(H986&lt;&gt;"",1,0)+IF(J986&lt;&gt;"",1,0)+IF(L986&lt;&gt;"",1,0)</x:f>
        <x:v>1</x:v>
      </x:c>
      <x:c r="O986" s="14" t="str">
        <x:f>IF(E986="","MISSING MAIN",IF(N986=1,"MAIN ONLY","MULTI-PHOTO"))</x:f>
        <x:v>MAIN ONLY</x:v>
      </x:c>
      <x:c r="P986" s="14" t="str">
        <x:v>1120_</x:v>
      </x:c>
      <x:c r="Q986" s="14" t="str">
        <x:v>https://mb1advancedsolutions.github.io/mb1-catalog/index.html?design=1120</x:v>
      </x:c>
      <x:c r="R986" s="14" t="str"/>
    </x:row>
    <x:row r="987">
      <x:c r="A987" s="13" t="str">
        <x:v>MB1-1121</x:v>
      </x:c>
      <x:c r="B987" s="13" t="str">
        <x:v>MB1-1121</x:v>
      </x:c>
      <x:c r="C987" s="14" t="str">
        <x:v>The mountains are calling</x:v>
      </x:c>
      <x:c r="D987" s="14" t="str">
        <x:v>wildlife and outdoors</x:v>
      </x:c>
      <x:c r="E987" s="14" t="str">
        <x:v>https://res.cloudinary.com/oxygre42/image/upload/f_auto,q_auto,c_pad,b_white,w_1200,h_1200/v1788350671/1121_The_mountains_are_calling.png</x:v>
      </x:c>
      <x:c r="F987" s="14" t="str"/>
      <x:c r="G987" s="14" t="str">
        <x:v>Lifestyle</x:v>
      </x:c>
      <x:c r="H987" s="14" t="str"/>
      <x:c r="I987" s="14" t="str">
        <x:v>Detail</x:v>
      </x:c>
      <x:c r="J987" s="14" t="str"/>
      <x:c r="K987" s="14" t="str">
        <x:v>Scale</x:v>
      </x:c>
      <x:c r="L987" s="14" t="str"/>
      <x:c r="M987" s="14" t="str">
        <x:v>Alternate</x:v>
      </x:c>
      <x:c r="N987" s="14" t="n">
        <x:f>IF(E987&lt;&gt;"",1,0)+IF(F987&lt;&gt;"",1,0)+IF(H987&lt;&gt;"",1,0)+IF(J987&lt;&gt;"",1,0)+IF(L987&lt;&gt;"",1,0)</x:f>
        <x:v>1</x:v>
      </x:c>
      <x:c r="O987" s="14" t="str">
        <x:f>IF(E987="","MISSING MAIN",IF(N987=1,"MAIN ONLY","MULTI-PHOTO"))</x:f>
        <x:v>MAIN ONLY</x:v>
      </x:c>
      <x:c r="P987" s="14" t="str">
        <x:v>1121_</x:v>
      </x:c>
      <x:c r="Q987" s="14" t="str">
        <x:v>https://mb1advancedsolutions.github.io/mb1-catalog/index.html?design=1121</x:v>
      </x:c>
      <x:c r="R987" s="14" t="str"/>
    </x:row>
    <x:row r="988">
      <x:c r="A988" s="13" t="str">
        <x:v>MB1-1122</x:v>
      </x:c>
      <x:c r="B988" s="13" t="str">
        <x:v>MB1-1122</x:v>
      </x:c>
      <x:c r="C988" s="14" t="str">
        <x:v>Theater masks</x:v>
      </x:c>
      <x:c r="D988" s="14" t="str">
        <x:v>sports and hobbies</x:v>
      </x:c>
      <x:c r="E988" s="14" t="str">
        <x:v>https://res.cloudinary.com/oxygre42/image/upload/f_auto,q_auto,c_pad,b_white,w_1200,h_1200/v1788350673/1122_Theater_masks.png</x:v>
      </x:c>
      <x:c r="F988" s="14" t="str"/>
      <x:c r="G988" s="14" t="str">
        <x:v>Lifestyle</x:v>
      </x:c>
      <x:c r="H988" s="14" t="str"/>
      <x:c r="I988" s="14" t="str">
        <x:v>Detail</x:v>
      </x:c>
      <x:c r="J988" s="14" t="str"/>
      <x:c r="K988" s="14" t="str">
        <x:v>Scale</x:v>
      </x:c>
      <x:c r="L988" s="14" t="str"/>
      <x:c r="M988" s="14" t="str">
        <x:v>Alternate</x:v>
      </x:c>
      <x:c r="N988" s="14" t="n">
        <x:f>IF(E988&lt;&gt;"",1,0)+IF(F988&lt;&gt;"",1,0)+IF(H988&lt;&gt;"",1,0)+IF(J988&lt;&gt;"",1,0)+IF(L988&lt;&gt;"",1,0)</x:f>
        <x:v>1</x:v>
      </x:c>
      <x:c r="O988" s="14" t="str">
        <x:f>IF(E988="","MISSING MAIN",IF(N988=1,"MAIN ONLY","MULTI-PHOTO"))</x:f>
        <x:v>MAIN ONLY</x:v>
      </x:c>
      <x:c r="P988" s="14" t="str">
        <x:v>1122_</x:v>
      </x:c>
      <x:c r="Q988" s="14" t="str">
        <x:v>https://mb1advancedsolutions.github.io/mb1-catalog/index.html?design=1122</x:v>
      </x:c>
      <x:c r="R988" s="14" t="str"/>
    </x:row>
    <x:row r="989">
      <x:c r="A989" s="13" t="str">
        <x:v>MB1-1123</x:v>
      </x:c>
      <x:c r="B989" s="13" t="str">
        <x:v>MB1-1123</x:v>
      </x:c>
      <x:c r="C989" s="14" t="str">
        <x:v>Theater</x:v>
      </x:c>
      <x:c r="D989" s="14" t="str">
        <x:v>sports and hobbies</x:v>
      </x:c>
      <x:c r="E989" s="14" t="str">
        <x:v>https://res.cloudinary.com/oxygre42/image/upload/f_auto,q_auto,c_pad,b_white,w_1200,h_1200/v1788350675/1123_Theater.png</x:v>
      </x:c>
      <x:c r="F989" s="14" t="str"/>
      <x:c r="G989" s="14" t="str">
        <x:v>Lifestyle</x:v>
      </x:c>
      <x:c r="H989" s="14" t="str"/>
      <x:c r="I989" s="14" t="str">
        <x:v>Detail</x:v>
      </x:c>
      <x:c r="J989" s="14" t="str"/>
      <x:c r="K989" s="14" t="str">
        <x:v>Scale</x:v>
      </x:c>
      <x:c r="L989" s="14" t="str"/>
      <x:c r="M989" s="14" t="str">
        <x:v>Alternate</x:v>
      </x:c>
      <x:c r="N989" s="14" t="n">
        <x:f>IF(E989&lt;&gt;"",1,0)+IF(F989&lt;&gt;"",1,0)+IF(H989&lt;&gt;"",1,0)+IF(J989&lt;&gt;"",1,0)+IF(L989&lt;&gt;"",1,0)</x:f>
        <x:v>1</x:v>
      </x:c>
      <x:c r="O989" s="14" t="str">
        <x:f>IF(E989="","MISSING MAIN",IF(N989=1,"MAIN ONLY","MULTI-PHOTO"))</x:f>
        <x:v>MAIN ONLY</x:v>
      </x:c>
      <x:c r="P989" s="14" t="str">
        <x:v>1123_</x:v>
      </x:c>
      <x:c r="Q989" s="14" t="str">
        <x:v>https://mb1advancedsolutions.github.io/mb1-catalog/index.html?design=1123</x:v>
      </x:c>
      <x:c r="R989" s="14" t="str"/>
    </x:row>
    <x:row r="990">
      <x:c r="A990" s="13" t="str">
        <x:v>MB1-1124</x:v>
      </x:c>
      <x:c r="B990" s="13" t="str">
        <x:v>MB1-1124</x:v>
      </x:c>
      <x:c r="C990" s="14" t="str">
        <x:v>Theatre Now Showing</x:v>
      </x:c>
      <x:c r="D990" s="14" t="str">
        <x:v>sports and hobbies</x:v>
      </x:c>
      <x:c r="E990" s="14" t="str">
        <x:v>https://res.cloudinary.com/oxygre42/image/upload/f_auto,q_auto,c_pad,b_white,w_1200,h_1200/v1788350676/1124_Theatre_Now_Showing.png</x:v>
      </x:c>
      <x:c r="F990" s="14" t="str"/>
      <x:c r="G990" s="14" t="str">
        <x:v>Lifestyle</x:v>
      </x:c>
      <x:c r="H990" s="14" t="str"/>
      <x:c r="I990" s="14" t="str">
        <x:v>Detail</x:v>
      </x:c>
      <x:c r="J990" s="14" t="str"/>
      <x:c r="K990" s="14" t="str">
        <x:v>Scale</x:v>
      </x:c>
      <x:c r="L990" s="14" t="str"/>
      <x:c r="M990" s="14" t="str">
        <x:v>Alternate</x:v>
      </x:c>
      <x:c r="N990" s="14" t="n">
        <x:f>IF(E990&lt;&gt;"",1,0)+IF(F990&lt;&gt;"",1,0)+IF(H990&lt;&gt;"",1,0)+IF(J990&lt;&gt;"",1,0)+IF(L990&lt;&gt;"",1,0)</x:f>
        <x:v>1</x:v>
      </x:c>
      <x:c r="O990" s="14" t="str">
        <x:f>IF(E990="","MISSING MAIN",IF(N990=1,"MAIN ONLY","MULTI-PHOTO"))</x:f>
        <x:v>MAIN ONLY</x:v>
      </x:c>
      <x:c r="P990" s="14" t="str">
        <x:v>1124_</x:v>
      </x:c>
      <x:c r="Q990" s="14" t="str">
        <x:v>https://mb1advancedsolutions.github.io/mb1-catalog/index.html?design=1124</x:v>
      </x:c>
      <x:c r="R990" s="14" t="str"/>
    </x:row>
    <x:row r="991">
      <x:c r="A991" s="13" t="str">
        <x:v>MB1-1125</x:v>
      </x:c>
      <x:c r="B991" s="13" t="str">
        <x:v>MB1-1125</x:v>
      </x:c>
      <x:c r="C991" s="14" t="str">
        <x:v>Theres no place like home</x:v>
      </x:c>
      <x:c r="D991" s="14" t="str">
        <x:v>home decor and inspirational</x:v>
      </x:c>
      <x:c r="E991" s="14" t="str">
        <x:v>https://res.cloudinary.com/oxygre42/image/upload/f_auto,q_auto,c_pad,b_white,w_1200,h_1200/v1788350678/1125_Theres_no_place_like_home.png</x:v>
      </x:c>
      <x:c r="F991" s="14" t="str"/>
      <x:c r="G991" s="14" t="str">
        <x:v>Lifestyle</x:v>
      </x:c>
      <x:c r="H991" s="14" t="str"/>
      <x:c r="I991" s="14" t="str">
        <x:v>Detail</x:v>
      </x:c>
      <x:c r="J991" s="14" t="str"/>
      <x:c r="K991" s="14" t="str">
        <x:v>Scale</x:v>
      </x:c>
      <x:c r="L991" s="14" t="str"/>
      <x:c r="M991" s="14" t="str">
        <x:v>Alternate</x:v>
      </x:c>
      <x:c r="N991" s="14" t="n">
        <x:f>IF(E991&lt;&gt;"",1,0)+IF(F991&lt;&gt;"",1,0)+IF(H991&lt;&gt;"",1,0)+IF(J991&lt;&gt;"",1,0)+IF(L991&lt;&gt;"",1,0)</x:f>
        <x:v>1</x:v>
      </x:c>
      <x:c r="O991" s="14" t="str">
        <x:f>IF(E991="","MISSING MAIN",IF(N991=1,"MAIN ONLY","MULTI-PHOTO"))</x:f>
        <x:v>MAIN ONLY</x:v>
      </x:c>
      <x:c r="P991" s="14" t="str">
        <x:v>1125_</x:v>
      </x:c>
      <x:c r="Q991" s="14" t="str">
        <x:v>https://mb1advancedsolutions.github.io/mb1-catalog/index.html?design=1125</x:v>
      </x:c>
      <x:c r="R991" s="14" t="str"/>
    </x:row>
    <x:row r="992">
      <x:c r="A992" s="13" t="str">
        <x:v>MB1-1126</x:v>
      </x:c>
      <x:c r="B992" s="13" t="str">
        <x:v>MB1-1126</x:v>
      </x:c>
      <x:c r="C992" s="14" t="str">
        <x:v>Tiki mask</x:v>
      </x:c>
      <x:c r="D992" s="14" t="str">
        <x:v>beach and coastal</x:v>
      </x:c>
      <x:c r="E992" s="14" t="str">
        <x:v>https://res.cloudinary.com/oxygre42/image/upload/f_auto,q_auto,c_pad,b_white,w_1200,h_1200/v1788350680/1126_Tiki_mask.png</x:v>
      </x:c>
      <x:c r="F992" s="14" t="str"/>
      <x:c r="G992" s="14" t="str">
        <x:v>Lifestyle</x:v>
      </x:c>
      <x:c r="H992" s="14" t="str"/>
      <x:c r="I992" s="14" t="str">
        <x:v>Detail</x:v>
      </x:c>
      <x:c r="J992" s="14" t="str"/>
      <x:c r="K992" s="14" t="str">
        <x:v>Scale</x:v>
      </x:c>
      <x:c r="L992" s="14" t="str"/>
      <x:c r="M992" s="14" t="str">
        <x:v>Alternate</x:v>
      </x:c>
      <x:c r="N992" s="14" t="n">
        <x:f>IF(E992&lt;&gt;"",1,0)+IF(F992&lt;&gt;"",1,0)+IF(H992&lt;&gt;"",1,0)+IF(J992&lt;&gt;"",1,0)+IF(L992&lt;&gt;"",1,0)</x:f>
        <x:v>1</x:v>
      </x:c>
      <x:c r="O992" s="14" t="str">
        <x:f>IF(E992="","MISSING MAIN",IF(N992=1,"MAIN ONLY","MULTI-PHOTO"))</x:f>
        <x:v>MAIN ONLY</x:v>
      </x:c>
      <x:c r="P992" s="14" t="str">
        <x:v>1126_</x:v>
      </x:c>
      <x:c r="Q992" s="14" t="str">
        <x:v>https://mb1advancedsolutions.github.io/mb1-catalog/index.html?design=1126</x:v>
      </x:c>
      <x:c r="R992" s="14" t="str"/>
    </x:row>
    <x:row r="993">
      <x:c r="A993" s="13" t="str">
        <x:v>MB1-1127</x:v>
      </x:c>
      <x:c r="B993" s="13" t="str">
        <x:v>MB1-1127</x:v>
      </x:c>
      <x:c r="C993" s="14" t="str">
        <x:v>Till Death skulls</x:v>
      </x:c>
      <x:c r="D993" s="14" t="str">
        <x:v>home decor and inspirational</x:v>
      </x:c>
      <x:c r="E993" s="14" t="str">
        <x:v>https://res.cloudinary.com/oxygre42/image/upload/f_auto,q_auto,c_pad,b_white,w_1200,h_1200/v1788350682/1127_Till_Death_skulls.png</x:v>
      </x:c>
      <x:c r="F993" s="14" t="str"/>
      <x:c r="G993" s="14" t="str">
        <x:v>Lifestyle</x:v>
      </x:c>
      <x:c r="H993" s="14" t="str"/>
      <x:c r="I993" s="14" t="str">
        <x:v>Detail</x:v>
      </x:c>
      <x:c r="J993" s="14" t="str"/>
      <x:c r="K993" s="14" t="str">
        <x:v>Scale</x:v>
      </x:c>
      <x:c r="L993" s="14" t="str"/>
      <x:c r="M993" s="14" t="str">
        <x:v>Alternate</x:v>
      </x:c>
      <x:c r="N993" s="14" t="n">
        <x:f>IF(E993&lt;&gt;"",1,0)+IF(F993&lt;&gt;"",1,0)+IF(H993&lt;&gt;"",1,0)+IF(J993&lt;&gt;"",1,0)+IF(L993&lt;&gt;"",1,0)</x:f>
        <x:v>1</x:v>
      </x:c>
      <x:c r="O993" s="14" t="str">
        <x:f>IF(E993="","MISSING MAIN",IF(N993=1,"MAIN ONLY","MULTI-PHOTO"))</x:f>
        <x:v>MAIN ONLY</x:v>
      </x:c>
      <x:c r="P993" s="14" t="str">
        <x:v>1127_</x:v>
      </x:c>
      <x:c r="Q993" s="14" t="str">
        <x:v>https://mb1advancedsolutions.github.io/mb1-catalog/index.html?design=1127</x:v>
      </x:c>
      <x:c r="R993" s="14" t="str"/>
    </x:row>
    <x:row r="994">
      <x:c r="A994" s="13" t="str">
        <x:v>MB1-1128</x:v>
      </x:c>
      <x:c r="B994" s="13" t="str">
        <x:v>MB1-1128</x:v>
      </x:c>
      <x:c r="C994" s="14" t="str">
        <x:v>Tomahawks</x:v>
      </x:c>
      <x:c r="D994" s="14" t="str">
        <x:v>home decor and inspirational</x:v>
      </x:c>
      <x:c r="E994" s="14" t="str">
        <x:v>https://res.cloudinary.com/oxygre42/image/upload/f_auto,q_auto,c_pad,b_white,w_1200,h_1200/v1788350684/1128_Tomahawks.png</x:v>
      </x:c>
      <x:c r="F994" s="14" t="str"/>
      <x:c r="G994" s="14" t="str">
        <x:v>Lifestyle</x:v>
      </x:c>
      <x:c r="H994" s="14" t="str"/>
      <x:c r="I994" s="14" t="str">
        <x:v>Detail</x:v>
      </x:c>
      <x:c r="J994" s="14" t="str"/>
      <x:c r="K994" s="14" t="str">
        <x:v>Scale</x:v>
      </x:c>
      <x:c r="L994" s="14" t="str"/>
      <x:c r="M994" s="14" t="str">
        <x:v>Alternate</x:v>
      </x:c>
      <x:c r="N994" s="14" t="n">
        <x:f>IF(E994&lt;&gt;"",1,0)+IF(F994&lt;&gt;"",1,0)+IF(H994&lt;&gt;"",1,0)+IF(J994&lt;&gt;"",1,0)+IF(L994&lt;&gt;"",1,0)</x:f>
        <x:v>1</x:v>
      </x:c>
      <x:c r="O994" s="14" t="str">
        <x:f>IF(E994="","MISSING MAIN",IF(N994=1,"MAIN ONLY","MULTI-PHOTO"))</x:f>
        <x:v>MAIN ONLY</x:v>
      </x:c>
      <x:c r="P994" s="14" t="str">
        <x:v>1128_</x:v>
      </x:c>
      <x:c r="Q994" s="14" t="str">
        <x:v>https://mb1advancedsolutions.github.io/mb1-catalog/index.html?design=1128</x:v>
      </x:c>
      <x:c r="R994" s="14" t="str"/>
    </x:row>
    <x:row r="995">
      <x:c r="A995" s="13" t="str">
        <x:v>MB1-1129</x:v>
      </x:c>
      <x:c r="B995" s="13" t="str">
        <x:v>MB1-1129</x:v>
      </x:c>
      <x:c r="C995" s="14" t="str">
        <x:v>Toon truck with tree</x:v>
      </x:c>
      <x:c r="D995" s="14" t="str">
        <x:v>home decor and inspirational</x:v>
      </x:c>
      <x:c r="E995" s="14" t="str">
        <x:v>https://res.cloudinary.com/oxygre42/image/upload/f_auto,q_auto,c_pad,b_white,w_1200,h_1200/v1788350686/1129_Toon_truck_with_tree.png</x:v>
      </x:c>
      <x:c r="F995" s="14" t="str"/>
      <x:c r="G995" s="14" t="str">
        <x:v>Lifestyle</x:v>
      </x:c>
      <x:c r="H995" s="14" t="str"/>
      <x:c r="I995" s="14" t="str">
        <x:v>Detail</x:v>
      </x:c>
      <x:c r="J995" s="14" t="str"/>
      <x:c r="K995" s="14" t="str">
        <x:v>Scale</x:v>
      </x:c>
      <x:c r="L995" s="14" t="str"/>
      <x:c r="M995" s="14" t="str">
        <x:v>Alternate</x:v>
      </x:c>
      <x:c r="N995" s="14" t="n">
        <x:f>IF(E995&lt;&gt;"",1,0)+IF(F995&lt;&gt;"",1,0)+IF(H995&lt;&gt;"",1,0)+IF(J995&lt;&gt;"",1,0)+IF(L995&lt;&gt;"",1,0)</x:f>
        <x:v>1</x:v>
      </x:c>
      <x:c r="O995" s="14" t="str">
        <x:f>IF(E995="","MISSING MAIN",IF(N995=1,"MAIN ONLY","MULTI-PHOTO"))</x:f>
        <x:v>MAIN ONLY</x:v>
      </x:c>
      <x:c r="P995" s="14" t="str">
        <x:v>1129_</x:v>
      </x:c>
      <x:c r="Q995" s="14" t="str">
        <x:v>https://mb1advancedsolutions.github.io/mb1-catalog/index.html?design=1129</x:v>
      </x:c>
      <x:c r="R995" s="14" t="str"/>
    </x:row>
    <x:row r="996">
      <x:c r="A996" s="13" t="str">
        <x:v>MB1-1130</x:v>
      </x:c>
      <x:c r="B996" s="13" t="str">
        <x:v>MB1-1130</x:v>
      </x:c>
      <x:c r="C996" s="14" t="str">
        <x:v>Tree cross</x:v>
      </x:c>
      <x:c r="D996" s="14" t="str">
        <x:v>home decor and inspirational</x:v>
      </x:c>
      <x:c r="E996" s="14" t="str">
        <x:v>https://res.cloudinary.com/oxygre42/image/upload/f_auto,q_auto,c_pad,b_white,w_1200,h_1200/v1788350688/1130_Tree_cross.png</x:v>
      </x:c>
      <x:c r="F996" s="14" t="str"/>
      <x:c r="G996" s="14" t="str">
        <x:v>Lifestyle</x:v>
      </x:c>
      <x:c r="H996" s="14" t="str"/>
      <x:c r="I996" s="14" t="str">
        <x:v>Detail</x:v>
      </x:c>
      <x:c r="J996" s="14" t="str"/>
      <x:c r="K996" s="14" t="str">
        <x:v>Scale</x:v>
      </x:c>
      <x:c r="L996" s="14" t="str"/>
      <x:c r="M996" s="14" t="str">
        <x:v>Alternate</x:v>
      </x:c>
      <x:c r="N996" s="14" t="n">
        <x:f>IF(E996&lt;&gt;"",1,0)+IF(F996&lt;&gt;"",1,0)+IF(H996&lt;&gt;"",1,0)+IF(J996&lt;&gt;"",1,0)+IF(L996&lt;&gt;"",1,0)</x:f>
        <x:v>1</x:v>
      </x:c>
      <x:c r="O996" s="14" t="str">
        <x:f>IF(E996="","MISSING MAIN",IF(N996=1,"MAIN ONLY","MULTI-PHOTO"))</x:f>
        <x:v>MAIN ONLY</x:v>
      </x:c>
      <x:c r="P996" s="14" t="str">
        <x:v>1130_</x:v>
      </x:c>
      <x:c r="Q996" s="14" t="str">
        <x:v>https://mb1advancedsolutions.github.io/mb1-catalog/index.html?design=1130</x:v>
      </x:c>
      <x:c r="R996" s="14" t="str"/>
    </x:row>
    <x:row r="997">
      <x:c r="A997" s="13" t="str">
        <x:v>MB1-1131</x:v>
      </x:c>
      <x:c r="B997" s="13" t="str">
        <x:v>MB1-1131</x:v>
      </x:c>
      <x:c r="C997" s="14" t="str">
        <x:v>Trespassers</x:v>
      </x:c>
      <x:c r="D997" s="14" t="str">
        <x:v>home decor and inspirational</x:v>
      </x:c>
      <x:c r="E997" s="14" t="str">
        <x:v>https://res.cloudinary.com/oxygre42/image/upload/f_auto,q_auto,c_pad,b_white,w_1200,h_1200/v1788350690/1131_Trespassers.png</x:v>
      </x:c>
      <x:c r="F997" s="14" t="str"/>
      <x:c r="G997" s="14" t="str">
        <x:v>Lifestyle</x:v>
      </x:c>
      <x:c r="H997" s="14" t="str"/>
      <x:c r="I997" s="14" t="str">
        <x:v>Detail</x:v>
      </x:c>
      <x:c r="J997" s="14" t="str"/>
      <x:c r="K997" s="14" t="str">
        <x:v>Scale</x:v>
      </x:c>
      <x:c r="L997" s="14" t="str"/>
      <x:c r="M997" s="14" t="str">
        <x:v>Alternate</x:v>
      </x:c>
      <x:c r="N997" s="14" t="n">
        <x:f>IF(E997&lt;&gt;"",1,0)+IF(F997&lt;&gt;"",1,0)+IF(H997&lt;&gt;"",1,0)+IF(J997&lt;&gt;"",1,0)+IF(L997&lt;&gt;"",1,0)</x:f>
        <x:v>1</x:v>
      </x:c>
      <x:c r="O997" s="14" t="str">
        <x:f>IF(E997="","MISSING MAIN",IF(N997=1,"MAIN ONLY","MULTI-PHOTO"))</x:f>
        <x:v>MAIN ONLY</x:v>
      </x:c>
      <x:c r="P997" s="14" t="str">
        <x:v>1131_</x:v>
      </x:c>
      <x:c r="Q997" s="14" t="str">
        <x:v>https://mb1advancedsolutions.github.io/mb1-catalog/index.html?design=1131</x:v>
      </x:c>
      <x:c r="R997" s="14" t="str"/>
    </x:row>
    <x:row r="998">
      <x:c r="A998" s="13" t="str">
        <x:v>MB1-1132</x:v>
      </x:c>
      <x:c r="B998" s="13" t="str">
        <x:v>MB1-1132</x:v>
      </x:c>
      <x:c r="C998" s="14" t="str">
        <x:v>Tribal angel</x:v>
      </x:c>
      <x:c r="D998" s="14" t="str">
        <x:v>home decor and inspirational</x:v>
      </x:c>
      <x:c r="E998" s="14" t="str">
        <x:v>https://res.cloudinary.com/oxygre42/image/upload/f_auto,q_auto,c_pad,b_white,w_1200,h_1200/v1788350691/1132_Tribal_angel.png</x:v>
      </x:c>
      <x:c r="F998" s="14" t="str"/>
      <x:c r="G998" s="14" t="str">
        <x:v>Lifestyle</x:v>
      </x:c>
      <x:c r="H998" s="14" t="str"/>
      <x:c r="I998" s="14" t="str">
        <x:v>Detail</x:v>
      </x:c>
      <x:c r="J998" s="14" t="str"/>
      <x:c r="K998" s="14" t="str">
        <x:v>Scale</x:v>
      </x:c>
      <x:c r="L998" s="14" t="str"/>
      <x:c r="M998" s="14" t="str">
        <x:v>Alternate</x:v>
      </x:c>
      <x:c r="N998" s="14" t="n">
        <x:f>IF(E998&lt;&gt;"",1,0)+IF(F998&lt;&gt;"",1,0)+IF(H998&lt;&gt;"",1,0)+IF(J998&lt;&gt;"",1,0)+IF(L998&lt;&gt;"",1,0)</x:f>
        <x:v>1</x:v>
      </x:c>
      <x:c r="O998" s="14" t="str">
        <x:f>IF(E998="","MISSING MAIN",IF(N998=1,"MAIN ONLY","MULTI-PHOTO"))</x:f>
        <x:v>MAIN ONLY</x:v>
      </x:c>
      <x:c r="P998" s="14" t="str">
        <x:v>1132_</x:v>
      </x:c>
      <x:c r="Q998" s="14" t="str">
        <x:v>https://mb1advancedsolutions.github.io/mb1-catalog/index.html?design=1132</x:v>
      </x:c>
      <x:c r="R998" s="14" t="str"/>
    </x:row>
    <x:row r="999">
      <x:c r="A999" s="13" t="str">
        <x:v>MB1-1133</x:v>
      </x:c>
      <x:c r="B999" s="13" t="str">
        <x:v>MB1-1133</x:v>
      </x:c>
      <x:c r="C999" s="14" t="str">
        <x:v>Trophy backplate</x:v>
      </x:c>
      <x:c r="D999" s="14" t="str">
        <x:v>sports and hobbies</x:v>
      </x:c>
      <x:c r="E999" s="14" t="str">
        <x:v>https://res.cloudinary.com/oxygre42/image/upload/f_auto,q_auto,c_pad,b_white,w_1200,h_1200/v1788350693/1133_Trophy_backplate.png</x:v>
      </x:c>
      <x:c r="F999" s="14" t="str"/>
      <x:c r="G999" s="14" t="str">
        <x:v>Lifestyle</x:v>
      </x:c>
      <x:c r="H999" s="14" t="str"/>
      <x:c r="I999" s="14" t="str">
        <x:v>Detail</x:v>
      </x:c>
      <x:c r="J999" s="14" t="str"/>
      <x:c r="K999" s="14" t="str">
        <x:v>Scale</x:v>
      </x:c>
      <x:c r="L999" s="14" t="str"/>
      <x:c r="M999" s="14" t="str">
        <x:v>Alternate</x:v>
      </x:c>
      <x:c r="N999" s="14" t="n">
        <x:f>IF(E999&lt;&gt;"",1,0)+IF(F999&lt;&gt;"",1,0)+IF(H999&lt;&gt;"",1,0)+IF(J999&lt;&gt;"",1,0)+IF(L999&lt;&gt;"",1,0)</x:f>
        <x:v>1</x:v>
      </x:c>
      <x:c r="O999" s="14" t="str">
        <x:f>IF(E999="","MISSING MAIN",IF(N999=1,"MAIN ONLY","MULTI-PHOTO"))</x:f>
        <x:v>MAIN ONLY</x:v>
      </x:c>
      <x:c r="P999" s="14" t="str">
        <x:v>1133_</x:v>
      </x:c>
      <x:c r="Q999" s="14" t="str">
        <x:v>https://mb1advancedsolutions.github.io/mb1-catalog/index.html?design=1133</x:v>
      </x:c>
      <x:c r="R999" s="14" t="str"/>
    </x:row>
    <x:row r="1000">
      <x:c r="A1000" s="13" t="str">
        <x:v>MB1-1151</x:v>
      </x:c>
      <x:c r="B1000" s="13" t="str">
        <x:v>MB1-1151</x:v>
      </x:c>
      <x:c r="C1000" s="14" t="str">
        <x:v>Truss Bar 2x6 doubled cross beam</x:v>
      </x:c>
      <x:c r="D1000" s="14" t="str">
        <x:v>sports and hobbies</x:v>
      </x:c>
      <x:c r="E1000" s="14" t="str">
        <x:v>https://res.cloudinary.com/oxygre42/image/upload/f_auto,q_auto,c_pad,b_white,w_1200,h_1200/v1788350718/1151_Truss_Bar_2x6_doubled_cross_beam.png</x:v>
      </x:c>
      <x:c r="F1000" s="14" t="str"/>
      <x:c r="G1000" s="14" t="str">
        <x:v>Lifestyle</x:v>
      </x:c>
      <x:c r="H1000" s="14" t="str"/>
      <x:c r="I1000" s="14" t="str">
        <x:v>Detail</x:v>
      </x:c>
      <x:c r="J1000" s="14" t="str"/>
      <x:c r="K1000" s="14" t="str">
        <x:v>Scale</x:v>
      </x:c>
      <x:c r="L1000" s="14" t="str"/>
      <x:c r="M1000" s="14" t="str">
        <x:v>Alternate</x:v>
      </x:c>
      <x:c r="N1000" s="14" t="n">
        <x:f>IF(E1000&lt;&gt;"",1,0)+IF(F1000&lt;&gt;"",1,0)+IF(H1000&lt;&gt;"",1,0)+IF(J1000&lt;&gt;"",1,0)+IF(L1000&lt;&gt;"",1,0)</x:f>
        <x:v>1</x:v>
      </x:c>
      <x:c r="O1000" s="14" t="str">
        <x:f>IF(E1000="","MISSING MAIN",IF(N1000=1,"MAIN ONLY","MULTI-PHOTO"))</x:f>
        <x:v>MAIN ONLY</x:v>
      </x:c>
      <x:c r="P1000" s="14" t="str">
        <x:v>1151_</x:v>
      </x:c>
      <x:c r="Q1000" s="14" t="str">
        <x:v>https://mb1advancedsolutions.github.io/mb1-catalog/index.html?design=1151</x:v>
      </x:c>
      <x:c r="R1000" s="14" t="str"/>
    </x:row>
    <x:row r="1001">
      <x:c r="A1001" s="13" t="str">
        <x:v>MB1-1152</x:v>
      </x:c>
      <x:c r="B1001" s="13" t="str">
        <x:v>MB1-1152</x:v>
      </x:c>
      <x:c r="C1001" s="14" t="str">
        <x:v>Truss Beam Table template</x:v>
      </x:c>
      <x:c r="D1001" s="14" t="str">
        <x:v>home decor and inspirational</x:v>
      </x:c>
      <x:c r="E1001" s="14" t="str">
        <x:v>https://res.cloudinary.com/oxygre42/image/upload/f_auto,q_auto,c_pad,b_white,w_1200,h_1200/v1788350720/1152_Truss_Beam_Table_template.png</x:v>
      </x:c>
      <x:c r="F1001" s="14" t="str"/>
      <x:c r="G1001" s="14" t="str">
        <x:v>Lifestyle</x:v>
      </x:c>
      <x:c r="H1001" s="14" t="str"/>
      <x:c r="I1001" s="14" t="str">
        <x:v>Detail</x:v>
      </x:c>
      <x:c r="J1001" s="14" t="str"/>
      <x:c r="K1001" s="14" t="str">
        <x:v>Scale</x:v>
      </x:c>
      <x:c r="L1001" s="14" t="str"/>
      <x:c r="M1001" s="14" t="str">
        <x:v>Alternate</x:v>
      </x:c>
      <x:c r="N1001" s="14" t="n">
        <x:f>IF(E1001&lt;&gt;"",1,0)+IF(F1001&lt;&gt;"",1,0)+IF(H1001&lt;&gt;"",1,0)+IF(J1001&lt;&gt;"",1,0)+IF(L1001&lt;&gt;"",1,0)</x:f>
        <x:v>1</x:v>
      </x:c>
      <x:c r="O1001" s="14" t="str">
        <x:f>IF(E1001="","MISSING MAIN",IF(N1001=1,"MAIN ONLY","MULTI-PHOTO"))</x:f>
        <x:v>MAIN ONLY</x:v>
      </x:c>
      <x:c r="P1001" s="14" t="str">
        <x:v>1152_</x:v>
      </x:c>
      <x:c r="Q1001" s="14" t="str">
        <x:v>https://mb1advancedsolutions.github.io/mb1-catalog/index.html?design=1152</x:v>
      </x:c>
      <x:c r="R1001" s="14" t="str"/>
    </x:row>
    <x:row r="1002">
      <x:c r="A1002" s="13" t="str">
        <x:v>MB1-1153</x:v>
      </x:c>
      <x:c r="B1002" s="13" t="str">
        <x:v>MB1-1153</x:v>
      </x:c>
      <x:c r="C1002" s="14" t="str">
        <x:v>Truss desk 2x6 doubled cross beam</x:v>
      </x:c>
      <x:c r="D1002" s="14" t="str">
        <x:v>home decor and inspirational</x:v>
      </x:c>
      <x:c r="E1002" s="14" t="str">
        <x:v>https://res.cloudinary.com/oxygre42/image/upload/f_auto,q_auto,c_pad,b_white,w_1200,h_1200/v1788350721/1153_Truss_desk_2x6_doubled_cross_beam.png</x:v>
      </x:c>
      <x:c r="F1002" s="14" t="str"/>
      <x:c r="G1002" s="14" t="str">
        <x:v>Lifestyle</x:v>
      </x:c>
      <x:c r="H1002" s="14" t="str"/>
      <x:c r="I1002" s="14" t="str">
        <x:v>Detail</x:v>
      </x:c>
      <x:c r="J1002" s="14" t="str"/>
      <x:c r="K1002" s="14" t="str">
        <x:v>Scale</x:v>
      </x:c>
      <x:c r="L1002" s="14" t="str"/>
      <x:c r="M1002" s="14" t="str">
        <x:v>Alternate</x:v>
      </x:c>
      <x:c r="N1002" s="14" t="n">
        <x:f>IF(E1002&lt;&gt;"",1,0)+IF(F1002&lt;&gt;"",1,0)+IF(H1002&lt;&gt;"",1,0)+IF(J1002&lt;&gt;"",1,0)+IF(L1002&lt;&gt;"",1,0)</x:f>
        <x:v>1</x:v>
      </x:c>
      <x:c r="O1002" s="14" t="str">
        <x:f>IF(E1002="","MISSING MAIN",IF(N1002=1,"MAIN ONLY","MULTI-PHOTO"))</x:f>
        <x:v>MAIN ONLY</x:v>
      </x:c>
      <x:c r="P1002" s="14" t="str">
        <x:v>1153_</x:v>
      </x:c>
      <x:c r="Q1002" s="14" t="str">
        <x:v>https://mb1advancedsolutions.github.io/mb1-catalog/index.html?design=1153</x:v>
      </x:c>
      <x:c r="R1002" s="14" t="str"/>
    </x:row>
    <x:row r="1003">
      <x:c r="A1003" s="13" t="str">
        <x:v>MB1-1154</x:v>
      </x:c>
      <x:c r="B1003" s="13" t="str">
        <x:v>MB1-1154</x:v>
      </x:c>
      <x:c r="C1003" s="14" t="str">
        <x:v>Turkey Monogram</x:v>
      </x:c>
      <x:c r="D1003" s="14" t="str">
        <x:v>family &amp; name</x:v>
      </x:c>
      <x:c r="E1003" s="14" t="str">
        <x:v>https://res.cloudinary.com/oxygre42/image/upload/f_auto,q_auto,c_pad,b_white,w_1200,h_1200/v1788350723/1154_Turkey_Monogram.png</x:v>
      </x:c>
      <x:c r="F1003" s="14" t="str"/>
      <x:c r="G1003" s="14" t="str">
        <x:v>Lifestyle</x:v>
      </x:c>
      <x:c r="H1003" s="14" t="str"/>
      <x:c r="I1003" s="14" t="str">
        <x:v>Detail</x:v>
      </x:c>
      <x:c r="J1003" s="14" t="str"/>
      <x:c r="K1003" s="14" t="str">
        <x:v>Scale</x:v>
      </x:c>
      <x:c r="L1003" s="14" t="str"/>
      <x:c r="M1003" s="14" t="str">
        <x:v>Alternate</x:v>
      </x:c>
      <x:c r="N1003" s="14" t="n">
        <x:f>IF(E1003&lt;&gt;"",1,0)+IF(F1003&lt;&gt;"",1,0)+IF(H1003&lt;&gt;"",1,0)+IF(J1003&lt;&gt;"",1,0)+IF(L1003&lt;&gt;"",1,0)</x:f>
        <x:v>1</x:v>
      </x:c>
      <x:c r="O1003" s="14" t="str">
        <x:f>IF(E1003="","MISSING MAIN",IF(N1003=1,"MAIN ONLY","MULTI-PHOTO"))</x:f>
        <x:v>MAIN ONLY</x:v>
      </x:c>
      <x:c r="P1003" s="14" t="str">
        <x:v>1154_</x:v>
      </x:c>
      <x:c r="Q1003" s="14" t="str">
        <x:v>https://mb1advancedsolutions.github.io/mb1-catalog/index.html?design=1154</x:v>
      </x:c>
      <x:c r="R1003" s="14" t="str"/>
    </x:row>
    <x:row r="1004">
      <x:c r="A1004" s="13" t="str">
        <x:v>MB1-1155</x:v>
      </x:c>
      <x:c r="B1004" s="13" t="str">
        <x:v>MB1-1155</x:v>
      </x:c>
      <x:c r="C1004" s="14" t="str">
        <x:v>Turtle in Compass</x:v>
      </x:c>
      <x:c r="D1004" s="14" t="str">
        <x:v>lake house and nautical</x:v>
      </x:c>
      <x:c r="E1004" s="14" t="str">
        <x:v>https://res.cloudinary.com/oxygre42/image/upload/f_auto,q_auto,c_pad,b_white,w_1200,h_1200/v1788350725/1155_Turtle_in_Compass.png</x:v>
      </x:c>
      <x:c r="F1004" s="14" t="str"/>
      <x:c r="G1004" s="14" t="str">
        <x:v>Lifestyle</x:v>
      </x:c>
      <x:c r="H1004" s="14" t="str"/>
      <x:c r="I1004" s="14" t="str">
        <x:v>Detail</x:v>
      </x:c>
      <x:c r="J1004" s="14" t="str"/>
      <x:c r="K1004" s="14" t="str">
        <x:v>Scale</x:v>
      </x:c>
      <x:c r="L1004" s="14" t="str"/>
      <x:c r="M1004" s="14" t="str">
        <x:v>Alternate</x:v>
      </x:c>
      <x:c r="N1004" s="14" t="n">
        <x:f>IF(E1004&lt;&gt;"",1,0)+IF(F1004&lt;&gt;"",1,0)+IF(H1004&lt;&gt;"",1,0)+IF(J1004&lt;&gt;"",1,0)+IF(L1004&lt;&gt;"",1,0)</x:f>
        <x:v>1</x:v>
      </x:c>
      <x:c r="O1004" s="14" t="str">
        <x:f>IF(E1004="","MISSING MAIN",IF(N1004=1,"MAIN ONLY","MULTI-PHOTO"))</x:f>
        <x:v>MAIN ONLY</x:v>
      </x:c>
      <x:c r="P1004" s="14" t="str">
        <x:v>1155_</x:v>
      </x:c>
      <x:c r="Q1004" s="14" t="str">
        <x:v>https://mb1advancedsolutions.github.io/mb1-catalog/index.html?design=1155</x:v>
      </x:c>
      <x:c r="R1004" s="14" t="str"/>
    </x:row>
    <x:row r="1005">
      <x:c r="A1005" s="13" t="str">
        <x:v>MB1-1156</x:v>
      </x:c>
      <x:c r="B1005" s="13" t="str">
        <x:v>MB1-1156</x:v>
      </x:c>
      <x:c r="C1005" s="14" t="str">
        <x:v>Tyranny and Rebellion</x:v>
      </x:c>
      <x:c r="D1005" s="14" t="str">
        <x:v>home decor and inspirational</x:v>
      </x:c>
      <x:c r="E1005" s="14" t="str">
        <x:v>https://res.cloudinary.com/oxygre42/image/upload/f_auto,q_auto,c_pad,b_white,w_1200,h_1200/v1788350727/1156_Tyranny_and_Rebellion.png</x:v>
      </x:c>
      <x:c r="F1005" s="14" t="str"/>
      <x:c r="G1005" s="14" t="str">
        <x:v>Lifestyle</x:v>
      </x:c>
      <x:c r="H1005" s="14" t="str"/>
      <x:c r="I1005" s="14" t="str">
        <x:v>Detail</x:v>
      </x:c>
      <x:c r="J1005" s="14" t="str"/>
      <x:c r="K1005" s="14" t="str">
        <x:v>Scale</x:v>
      </x:c>
      <x:c r="L1005" s="14" t="str"/>
      <x:c r="M1005" s="14" t="str">
        <x:v>Alternate</x:v>
      </x:c>
      <x:c r="N1005" s="14" t="n">
        <x:f>IF(E1005&lt;&gt;"",1,0)+IF(F1005&lt;&gt;"",1,0)+IF(H1005&lt;&gt;"",1,0)+IF(J1005&lt;&gt;"",1,0)+IF(L1005&lt;&gt;"",1,0)</x:f>
        <x:v>1</x:v>
      </x:c>
      <x:c r="O1005" s="14" t="str">
        <x:f>IF(E1005="","MISSING MAIN",IF(N1005=1,"MAIN ONLY","MULTI-PHOTO"))</x:f>
        <x:v>MAIN ONLY</x:v>
      </x:c>
      <x:c r="P1005" s="14" t="str">
        <x:v>1156_</x:v>
      </x:c>
      <x:c r="Q1005" s="14" t="str">
        <x:v>https://mb1advancedsolutions.github.io/mb1-catalog/index.html?design=1156</x:v>
      </x:c>
      <x:c r="R1005" s="14" t="str"/>
    </x:row>
    <x:row r="1006">
      <x:c r="A1006" s="13" t="str">
        <x:v>MB1-1168</x:v>
      </x:c>
      <x:c r="B1006" s="13" t="str">
        <x:v>MB1-1168</x:v>
      </x:c>
      <x:c r="C1006" s="14" t="str">
        <x:v>Vintage sign design 1</x:v>
      </x:c>
      <x:c r="D1006" s="14" t="str">
        <x:v>home decor and inspirational</x:v>
      </x:c>
      <x:c r="E1006" s="14" t="str">
        <x:v>https://res.cloudinary.com/oxygre42/image/upload/f_auto,q_auto,c_pad,b_white,w_1200,h_1200/v1788350746/1168_Vintage_sign_design_1.png</x:v>
      </x:c>
      <x:c r="F1006" s="14" t="str"/>
      <x:c r="G1006" s="14" t="str">
        <x:v>Lifestyle</x:v>
      </x:c>
      <x:c r="H1006" s="14" t="str"/>
      <x:c r="I1006" s="14" t="str">
        <x:v>Detail</x:v>
      </x:c>
      <x:c r="J1006" s="14" t="str"/>
      <x:c r="K1006" s="14" t="str">
        <x:v>Scale</x:v>
      </x:c>
      <x:c r="L1006" s="14" t="str"/>
      <x:c r="M1006" s="14" t="str">
        <x:v>Alternate</x:v>
      </x:c>
      <x:c r="N1006" s="14" t="n">
        <x:f>IF(E1006&lt;&gt;"",1,0)+IF(F1006&lt;&gt;"",1,0)+IF(H1006&lt;&gt;"",1,0)+IF(J1006&lt;&gt;"",1,0)+IF(L1006&lt;&gt;"",1,0)</x:f>
        <x:v>1</x:v>
      </x:c>
      <x:c r="O1006" s="14" t="str">
        <x:f>IF(E1006="","MISSING MAIN",IF(N1006=1,"MAIN ONLY","MULTI-PHOTO"))</x:f>
        <x:v>MAIN ONLY</x:v>
      </x:c>
      <x:c r="P1006" s="14" t="str">
        <x:v>1168_</x:v>
      </x:c>
      <x:c r="Q1006" s="14" t="str">
        <x:v>https://mb1advancedsolutions.github.io/mb1-catalog/index.html?design=1168</x:v>
      </x:c>
      <x:c r="R1006" s="14" t="str"/>
    </x:row>
    <x:row r="1007">
      <x:c r="A1007" s="13" t="str">
        <x:v>MB1-1169</x:v>
      </x:c>
      <x:c r="B1007" s="13" t="str">
        <x:v>MB1-1169</x:v>
      </x:c>
      <x:c r="C1007" s="14" t="str">
        <x:v>Vintage sign design 2</x:v>
      </x:c>
      <x:c r="D1007" s="14" t="str">
        <x:v>home decor and inspirational</x:v>
      </x:c>
      <x:c r="E1007" s="14" t="str">
        <x:v>https://res.cloudinary.com/oxygre42/image/upload/f_auto,q_auto,c_pad,b_white,w_1200,h_1200/v1788350748/1169_Vintage_sign_design_2.png</x:v>
      </x:c>
      <x:c r="F1007" s="14" t="str"/>
      <x:c r="G1007" s="14" t="str">
        <x:v>Lifestyle</x:v>
      </x:c>
      <x:c r="H1007" s="14" t="str"/>
      <x:c r="I1007" s="14" t="str">
        <x:v>Detail</x:v>
      </x:c>
      <x:c r="J1007" s="14" t="str"/>
      <x:c r="K1007" s="14" t="str">
        <x:v>Scale</x:v>
      </x:c>
      <x:c r="L1007" s="14" t="str"/>
      <x:c r="M1007" s="14" t="str">
        <x:v>Alternate</x:v>
      </x:c>
      <x:c r="N1007" s="14" t="n">
        <x:f>IF(E1007&lt;&gt;"",1,0)+IF(F1007&lt;&gt;"",1,0)+IF(H1007&lt;&gt;"",1,0)+IF(J1007&lt;&gt;"",1,0)+IF(L1007&lt;&gt;"",1,0)</x:f>
        <x:v>1</x:v>
      </x:c>
      <x:c r="O1007" s="14" t="str">
        <x:f>IF(E1007="","MISSING MAIN",IF(N1007=1,"MAIN ONLY","MULTI-PHOTO"))</x:f>
        <x:v>MAIN ONLY</x:v>
      </x:c>
      <x:c r="P1007" s="14" t="str">
        <x:v>1169_</x:v>
      </x:c>
      <x:c r="Q1007" s="14" t="str">
        <x:v>https://mb1advancedsolutions.github.io/mb1-catalog/index.html?design=1169</x:v>
      </x:c>
      <x:c r="R1007" s="14" t="str"/>
    </x:row>
    <x:row r="1008">
      <x:c r="A1008" s="13" t="str">
        <x:v>MB1-1170</x:v>
      </x:c>
      <x:c r="B1008" s="13" t="str">
        <x:v>MB1-1170</x:v>
      </x:c>
      <x:c r="C1008" s="14" t="str">
        <x:v>Vintage sign design 3</x:v>
      </x:c>
      <x:c r="D1008" s="14" t="str">
        <x:v>home decor and inspirational</x:v>
      </x:c>
      <x:c r="E1008" s="14" t="str">
        <x:v>https://res.cloudinary.com/oxygre42/image/upload/f_auto,q_auto,c_pad,b_white,w_1200,h_1200/v1788350750/1170_Vintage_sign_design_3.png</x:v>
      </x:c>
      <x:c r="F1008" s="14" t="str"/>
      <x:c r="G1008" s="14" t="str">
        <x:v>Lifestyle</x:v>
      </x:c>
      <x:c r="H1008" s="14" t="str"/>
      <x:c r="I1008" s="14" t="str">
        <x:v>Detail</x:v>
      </x:c>
      <x:c r="J1008" s="14" t="str"/>
      <x:c r="K1008" s="14" t="str">
        <x:v>Scale</x:v>
      </x:c>
      <x:c r="L1008" s="14" t="str"/>
      <x:c r="M1008" s="14" t="str">
        <x:v>Alternate</x:v>
      </x:c>
      <x:c r="N1008" s="14" t="n">
        <x:f>IF(E1008&lt;&gt;"",1,0)+IF(F1008&lt;&gt;"",1,0)+IF(H1008&lt;&gt;"",1,0)+IF(J1008&lt;&gt;"",1,0)+IF(L1008&lt;&gt;"",1,0)</x:f>
        <x:v>1</x:v>
      </x:c>
      <x:c r="O1008" s="14" t="str">
        <x:f>IF(E1008="","MISSING MAIN",IF(N1008=1,"MAIN ONLY","MULTI-PHOTO"))</x:f>
        <x:v>MAIN ONLY</x:v>
      </x:c>
      <x:c r="P1008" s="14" t="str">
        <x:v>1170_</x:v>
      </x:c>
      <x:c r="Q1008" s="14" t="str">
        <x:v>https://mb1advancedsolutions.github.io/mb1-catalog/index.html?design=1170</x:v>
      </x:c>
      <x:c r="R1008" s="14" t="str"/>
    </x:row>
    <x:row r="1009">
      <x:c r="A1009" s="13" t="str">
        <x:v>MB1-1171</x:v>
      </x:c>
      <x:c r="B1009" s="13" t="str">
        <x:v>MB1-1171</x:v>
      </x:c>
      <x:c r="C1009" s="14" t="str">
        <x:v>Vintage sign design 4</x:v>
      </x:c>
      <x:c r="D1009" s="14" t="str">
        <x:v>home decor and inspirational</x:v>
      </x:c>
      <x:c r="E1009" s="14" t="str">
        <x:v>https://res.cloudinary.com/oxygre42/image/upload/f_auto,q_auto,c_pad,b_white,w_1200,h_1200/v1788350752/1171_Vintage_sign_design_4.png</x:v>
      </x:c>
      <x:c r="F1009" s="14" t="str"/>
      <x:c r="G1009" s="14" t="str">
        <x:v>Lifestyle</x:v>
      </x:c>
      <x:c r="H1009" s="14" t="str"/>
      <x:c r="I1009" s="14" t="str">
        <x:v>Detail</x:v>
      </x:c>
      <x:c r="J1009" s="14" t="str"/>
      <x:c r="K1009" s="14" t="str">
        <x:v>Scale</x:v>
      </x:c>
      <x:c r="L1009" s="14" t="str"/>
      <x:c r="M1009" s="14" t="str">
        <x:v>Alternate</x:v>
      </x:c>
      <x:c r="N1009" s="14" t="n">
        <x:f>IF(E1009&lt;&gt;"",1,0)+IF(F1009&lt;&gt;"",1,0)+IF(H1009&lt;&gt;"",1,0)+IF(J1009&lt;&gt;"",1,0)+IF(L1009&lt;&gt;"",1,0)</x:f>
        <x:v>1</x:v>
      </x:c>
      <x:c r="O1009" s="14" t="str">
        <x:f>IF(E1009="","MISSING MAIN",IF(N1009=1,"MAIN ONLY","MULTI-PHOTO"))</x:f>
        <x:v>MAIN ONLY</x:v>
      </x:c>
      <x:c r="P1009" s="14" t="str">
        <x:v>1171_</x:v>
      </x:c>
      <x:c r="Q1009" s="14" t="str">
        <x:v>https://mb1advancedsolutions.github.io/mb1-catalog/index.html?design=1171</x:v>
      </x:c>
      <x:c r="R1009" s="14" t="str"/>
    </x:row>
    <x:row r="1010">
      <x:c r="A1010" s="13" t="str">
        <x:v>MB1-1172</x:v>
      </x:c>
      <x:c r="B1010" s="13" t="str">
        <x:v>MB1-1172</x:v>
      </x:c>
      <x:c r="C1010" s="14" t="str">
        <x:v>Vintage sign design 5</x:v>
      </x:c>
      <x:c r="D1010" s="14" t="str">
        <x:v>home decor and inspirational</x:v>
      </x:c>
      <x:c r="E1010" s="14" t="str">
        <x:v>https://res.cloudinary.com/oxygre42/image/upload/f_auto,q_auto,c_pad,b_white,w_1200,h_1200/v1788350753/1172_Vintage_sign_design_5.png</x:v>
      </x:c>
      <x:c r="F1010" s="14" t="str"/>
      <x:c r="G1010" s="14" t="str">
        <x:v>Lifestyle</x:v>
      </x:c>
      <x:c r="H1010" s="14" t="str"/>
      <x:c r="I1010" s="14" t="str">
        <x:v>Detail</x:v>
      </x:c>
      <x:c r="J1010" s="14" t="str"/>
      <x:c r="K1010" s="14" t="str">
        <x:v>Scale</x:v>
      </x:c>
      <x:c r="L1010" s="14" t="str"/>
      <x:c r="M1010" s="14" t="str">
        <x:v>Alternate</x:v>
      </x:c>
      <x:c r="N1010" s="14" t="n">
        <x:f>IF(E1010&lt;&gt;"",1,0)+IF(F1010&lt;&gt;"",1,0)+IF(H1010&lt;&gt;"",1,0)+IF(J1010&lt;&gt;"",1,0)+IF(L1010&lt;&gt;"",1,0)</x:f>
        <x:v>1</x:v>
      </x:c>
      <x:c r="O1010" s="14" t="str">
        <x:f>IF(E1010="","MISSING MAIN",IF(N1010=1,"MAIN ONLY","MULTI-PHOTO"))</x:f>
        <x:v>MAIN ONLY</x:v>
      </x:c>
      <x:c r="P1010" s="14" t="str">
        <x:v>1172_</x:v>
      </x:c>
      <x:c r="Q1010" s="14" t="str">
        <x:v>https://mb1advancedsolutions.github.io/mb1-catalog/index.html?design=1172</x:v>
      </x:c>
      <x:c r="R1010" s="14" t="str"/>
    </x:row>
    <x:row r="1011">
      <x:c r="A1011" s="13" t="str">
        <x:v>MB1-1173</x:v>
      </x:c>
      <x:c r="B1011" s="13" t="str">
        <x:v>MB1-1173</x:v>
      </x:c>
      <x:c r="C1011" s="14" t="str">
        <x:v>War Room back plate</x:v>
      </x:c>
      <x:c r="D1011" s="14" t="str">
        <x:v>home decor and inspirational</x:v>
      </x:c>
      <x:c r="E1011" s="14" t="str">
        <x:v>https://res.cloudinary.com/oxygre42/image/upload/f_auto,q_auto,c_pad,b_white,w_1200,h_1200/v1788350755/1173_War_Room_back_plate.png</x:v>
      </x:c>
      <x:c r="F1011" s="14" t="str"/>
      <x:c r="G1011" s="14" t="str">
        <x:v>Lifestyle</x:v>
      </x:c>
      <x:c r="H1011" s="14" t="str"/>
      <x:c r="I1011" s="14" t="str">
        <x:v>Detail</x:v>
      </x:c>
      <x:c r="J1011" s="14" t="str"/>
      <x:c r="K1011" s="14" t="str">
        <x:v>Scale</x:v>
      </x:c>
      <x:c r="L1011" s="14" t="str"/>
      <x:c r="M1011" s="14" t="str">
        <x:v>Alternate</x:v>
      </x:c>
      <x:c r="N1011" s="14" t="n">
        <x:f>IF(E1011&lt;&gt;"",1,0)+IF(F1011&lt;&gt;"",1,0)+IF(H1011&lt;&gt;"",1,0)+IF(J1011&lt;&gt;"",1,0)+IF(L1011&lt;&gt;"",1,0)</x:f>
        <x:v>1</x:v>
      </x:c>
      <x:c r="O1011" s="14" t="str">
        <x:f>IF(E1011="","MISSING MAIN",IF(N1011=1,"MAIN ONLY","MULTI-PHOTO"))</x:f>
        <x:v>MAIN ONLY</x:v>
      </x:c>
      <x:c r="P1011" s="14" t="str">
        <x:v>1173_</x:v>
      </x:c>
      <x:c r="Q1011" s="14" t="str">
        <x:v>https://mb1advancedsolutions.github.io/mb1-catalog/index.html?design=1173</x:v>
      </x:c>
      <x:c r="R1011" s="14" t="str"/>
    </x:row>
    <x:row r="1012">
      <x:c r="A1012" s="13" t="str">
        <x:v>MB1-1174</x:v>
      </x:c>
      <x:c r="B1012" s="13" t="str">
        <x:v>MB1-1174</x:v>
      </x:c>
      <x:c r="C1012" s="14" t="str">
        <x:v>War Room</x:v>
      </x:c>
      <x:c r="D1012" s="14" t="str">
        <x:v>home decor and inspirational</x:v>
      </x:c>
      <x:c r="E1012" s="14" t="str">
        <x:v>https://res.cloudinary.com/oxygre42/image/upload/f_auto,q_auto,c_pad,b_white,w_1200,h_1200/v1788350757/1174_War_Room.png</x:v>
      </x:c>
      <x:c r="F1012" s="14" t="str"/>
      <x:c r="G1012" s="14" t="str">
        <x:v>Lifestyle</x:v>
      </x:c>
      <x:c r="H1012" s="14" t="str"/>
      <x:c r="I1012" s="14" t="str">
        <x:v>Detail</x:v>
      </x:c>
      <x:c r="J1012" s="14" t="str"/>
      <x:c r="K1012" s="14" t="str">
        <x:v>Scale</x:v>
      </x:c>
      <x:c r="L1012" s="14" t="str"/>
      <x:c r="M1012" s="14" t="str">
        <x:v>Alternate</x:v>
      </x:c>
      <x:c r="N1012" s="14" t="n">
        <x:f>IF(E1012&lt;&gt;"",1,0)+IF(F1012&lt;&gt;"",1,0)+IF(H1012&lt;&gt;"",1,0)+IF(J1012&lt;&gt;"",1,0)+IF(L1012&lt;&gt;"",1,0)</x:f>
        <x:v>1</x:v>
      </x:c>
      <x:c r="O1012" s="14" t="str">
        <x:f>IF(E1012="","MISSING MAIN",IF(N1012=1,"MAIN ONLY","MULTI-PHOTO"))</x:f>
        <x:v>MAIN ONLY</x:v>
      </x:c>
      <x:c r="P1012" s="14" t="str">
        <x:v>1174_</x:v>
      </x:c>
      <x:c r="Q1012" s="14" t="str">
        <x:v>https://mb1advancedsolutions.github.io/mb1-catalog/index.html?design=1174</x:v>
      </x:c>
      <x:c r="R1012" s="14" t="str"/>
    </x:row>
    <x:row r="1013">
      <x:c r="A1013" s="13" t="str">
        <x:v>MB1-1175</x:v>
      </x:c>
      <x:c r="B1013" s="13" t="str">
        <x:v>MB1-1175</x:v>
      </x:c>
      <x:c r="C1013" s="14" t="str">
        <x:v>Warning you are now in range</x:v>
      </x:c>
      <x:c r="D1013" s="14" t="str">
        <x:v>address and property</x:v>
      </x:c>
      <x:c r="E1013" s="14" t="str">
        <x:v>https://res.cloudinary.com/oxygre42/image/upload/f_auto,q_auto,c_pad,b_white,w_1200,h_1200/v1788350759/1175_Warning_you_are_now_in_range.png</x:v>
      </x:c>
      <x:c r="F1013" s="14" t="str"/>
      <x:c r="G1013" s="14" t="str">
        <x:v>Lifestyle</x:v>
      </x:c>
      <x:c r="H1013" s="14" t="str"/>
      <x:c r="I1013" s="14" t="str">
        <x:v>Detail</x:v>
      </x:c>
      <x:c r="J1013" s="14" t="str"/>
      <x:c r="K1013" s="14" t="str">
        <x:v>Scale</x:v>
      </x:c>
      <x:c r="L1013" s="14" t="str"/>
      <x:c r="M1013" s="14" t="str">
        <x:v>Alternate</x:v>
      </x:c>
      <x:c r="N1013" s="14" t="n">
        <x:f>IF(E1013&lt;&gt;"",1,0)+IF(F1013&lt;&gt;"",1,0)+IF(H1013&lt;&gt;"",1,0)+IF(J1013&lt;&gt;"",1,0)+IF(L1013&lt;&gt;"",1,0)</x:f>
        <x:v>1</x:v>
      </x:c>
      <x:c r="O1013" s="14" t="str">
        <x:f>IF(E1013="","MISSING MAIN",IF(N1013=1,"MAIN ONLY","MULTI-PHOTO"))</x:f>
        <x:v>MAIN ONLY</x:v>
      </x:c>
      <x:c r="P1013" s="14" t="str">
        <x:v>1175_</x:v>
      </x:c>
      <x:c r="Q1013" s="14" t="str">
        <x:v>https://mb1advancedsolutions.github.io/mb1-catalog/index.html?design=1175</x:v>
      </x:c>
      <x:c r="R1013" s="14" t="str"/>
    </x:row>
    <x:row r="1014">
      <x:c r="A1014" s="13" t="str">
        <x:v>MB1-1177</x:v>
      </x:c>
      <x:c r="B1014" s="13" t="str">
        <x:v>MB1-1177</x:v>
      </x:c>
      <x:c r="C1014" s="14" t="str">
        <x:v>We Dont Dial 911 AR</x:v>
      </x:c>
      <x:c r="D1014" s="14" t="str">
        <x:v>home decor and inspirational</x:v>
      </x:c>
      <x:c r="E1014" s="14" t="str">
        <x:v>https://res.cloudinary.com/oxygre42/image/upload/f_auto,q_auto,c_pad,b_white,w_1200,h_1200/v1788350761/1177_We_Dont_Dial_911_AR.png</x:v>
      </x:c>
      <x:c r="F1014" s="14" t="str"/>
      <x:c r="G1014" s="14" t="str">
        <x:v>Lifestyle</x:v>
      </x:c>
      <x:c r="H1014" s="14" t="str"/>
      <x:c r="I1014" s="14" t="str">
        <x:v>Detail</x:v>
      </x:c>
      <x:c r="J1014" s="14" t="str"/>
      <x:c r="K1014" s="14" t="str">
        <x:v>Scale</x:v>
      </x:c>
      <x:c r="L1014" s="14" t="str"/>
      <x:c r="M1014" s="14" t="str">
        <x:v>Alternate</x:v>
      </x:c>
      <x:c r="N1014" s="14" t="n">
        <x:f>IF(E1014&lt;&gt;"",1,0)+IF(F1014&lt;&gt;"",1,0)+IF(H1014&lt;&gt;"",1,0)+IF(J1014&lt;&gt;"",1,0)+IF(L1014&lt;&gt;"",1,0)</x:f>
        <x:v>1</x:v>
      </x:c>
      <x:c r="O1014" s="14" t="str">
        <x:f>IF(E1014="","MISSING MAIN",IF(N1014=1,"MAIN ONLY","MULTI-PHOTO"))</x:f>
        <x:v>MAIN ONLY</x:v>
      </x:c>
      <x:c r="P1014" s="14" t="str">
        <x:v>1177_</x:v>
      </x:c>
      <x:c r="Q1014" s="14" t="str">
        <x:v>https://mb1advancedsolutions.github.io/mb1-catalog/index.html?design=1177</x:v>
      </x:c>
      <x:c r="R1014" s="14" t="str"/>
    </x:row>
    <x:row r="1015">
      <x:c r="A1015" s="13" t="str">
        <x:v>MB1-1178</x:v>
      </x:c>
      <x:c r="B1015" s="13" t="str">
        <x:v>MB1-1178</x:v>
      </x:c>
      <x:c r="C1015" s="14" t="str">
        <x:v>We The People 1776 plaque</x:v>
      </x:c>
      <x:c r="D1015" s="14" t="str">
        <x:v>seasonal and holiday</x:v>
      </x:c>
      <x:c r="E1015" s="14" t="str">
        <x:v>https://res.cloudinary.com/oxygre42/image/upload/f_auto,q_auto,c_pad,b_white,w_1200,h_1200/v1788350763/1178_We_The_People_1776_plaque.png</x:v>
      </x:c>
      <x:c r="F1015" s="14" t="str"/>
      <x:c r="G1015" s="14" t="str">
        <x:v>Lifestyle</x:v>
      </x:c>
      <x:c r="H1015" s="14" t="str"/>
      <x:c r="I1015" s="14" t="str">
        <x:v>Detail</x:v>
      </x:c>
      <x:c r="J1015" s="14" t="str"/>
      <x:c r="K1015" s="14" t="str">
        <x:v>Scale</x:v>
      </x:c>
      <x:c r="L1015" s="14" t="str"/>
      <x:c r="M1015" s="14" t="str">
        <x:v>Alternate</x:v>
      </x:c>
      <x:c r="N1015" s="14" t="n">
        <x:f>IF(E1015&lt;&gt;"",1,0)+IF(F1015&lt;&gt;"",1,0)+IF(H1015&lt;&gt;"",1,0)+IF(J1015&lt;&gt;"",1,0)+IF(L1015&lt;&gt;"",1,0)</x:f>
        <x:v>1</x:v>
      </x:c>
      <x:c r="O1015" s="14" t="str">
        <x:f>IF(E1015="","MISSING MAIN",IF(N1015=1,"MAIN ONLY","MULTI-PHOTO"))</x:f>
        <x:v>MAIN ONLY</x:v>
      </x:c>
      <x:c r="P1015" s="14" t="str">
        <x:v>1178_</x:v>
      </x:c>
      <x:c r="Q1015" s="14" t="str">
        <x:v>https://mb1advancedsolutions.github.io/mb1-catalog/index.html?design=1178</x:v>
      </x:c>
      <x:c r="R1015" s="14" t="str"/>
    </x:row>
    <x:row r="1016">
      <x:c r="A1016" s="13" t="str">
        <x:v>MB1-1179</x:v>
      </x:c>
      <x:c r="B1016" s="13" t="str">
        <x:v>MB1-1179</x:v>
      </x:c>
      <x:c r="C1016" s="14" t="str">
        <x:v>We The People US Outline</x:v>
      </x:c>
      <x:c r="D1016" s="14" t="str">
        <x:v>seasonal and holiday</x:v>
      </x:c>
      <x:c r="E1016" s="14" t="str">
        <x:v>https://res.cloudinary.com/oxygre42/image/upload/f_auto,q_auto,c_pad,b_white,w_1200,h_1200/v1788350765/1179_We_The_People_US_Outline.png</x:v>
      </x:c>
      <x:c r="F1016" s="14" t="str"/>
      <x:c r="G1016" s="14" t="str">
        <x:v>Lifestyle</x:v>
      </x:c>
      <x:c r="H1016" s="14" t="str"/>
      <x:c r="I1016" s="14" t="str">
        <x:v>Detail</x:v>
      </x:c>
      <x:c r="J1016" s="14" t="str"/>
      <x:c r="K1016" s="14" t="str">
        <x:v>Scale</x:v>
      </x:c>
      <x:c r="L1016" s="14" t="str"/>
      <x:c r="M1016" s="14" t="str">
        <x:v>Alternate</x:v>
      </x:c>
      <x:c r="N1016" s="14" t="n">
        <x:f>IF(E1016&lt;&gt;"",1,0)+IF(F1016&lt;&gt;"",1,0)+IF(H1016&lt;&gt;"",1,0)+IF(J1016&lt;&gt;"",1,0)+IF(L1016&lt;&gt;"",1,0)</x:f>
        <x:v>1</x:v>
      </x:c>
      <x:c r="O1016" s="14" t="str">
        <x:f>IF(E1016="","MISSING MAIN",IF(N1016=1,"MAIN ONLY","MULTI-PHOTO"))</x:f>
        <x:v>MAIN ONLY</x:v>
      </x:c>
      <x:c r="P1016" s="14" t="str">
        <x:v>1179_</x:v>
      </x:c>
      <x:c r="Q1016" s="14" t="str">
        <x:v>https://mb1advancedsolutions.github.io/mb1-catalog/index.html?design=1179</x:v>
      </x:c>
      <x:c r="R1016" s="14" t="str"/>
    </x:row>
    <x:row r="1017">
      <x:c r="A1017" s="13" t="str">
        <x:v>MB1-1180</x:v>
      </x:c>
      <x:c r="B1017" s="13" t="str">
        <x:v>MB1-1180</x:v>
      </x:c>
      <x:c r="C1017" s="14" t="str">
        <x:v>We The People shield</x:v>
      </x:c>
      <x:c r="D1017" s="14" t="str">
        <x:v>seasonal and holiday</x:v>
      </x:c>
      <x:c r="E1017" s="14" t="str">
        <x:v>https://res.cloudinary.com/oxygre42/image/upload/f_auto,q_auto,c_pad,b_white,w_1200,h_1200/v1788350767/1180_We_The_People_shield.png</x:v>
      </x:c>
      <x:c r="F1017" s="14" t="str"/>
      <x:c r="G1017" s="14" t="str">
        <x:v>Lifestyle</x:v>
      </x:c>
      <x:c r="H1017" s="14" t="str"/>
      <x:c r="I1017" s="14" t="str">
        <x:v>Detail</x:v>
      </x:c>
      <x:c r="J1017" s="14" t="str"/>
      <x:c r="K1017" s="14" t="str">
        <x:v>Scale</x:v>
      </x:c>
      <x:c r="L1017" s="14" t="str"/>
      <x:c r="M1017" s="14" t="str">
        <x:v>Alternate</x:v>
      </x:c>
      <x:c r="N1017" s="14" t="n">
        <x:f>IF(E1017&lt;&gt;"",1,0)+IF(F1017&lt;&gt;"",1,0)+IF(H1017&lt;&gt;"",1,0)+IF(J1017&lt;&gt;"",1,0)+IF(L1017&lt;&gt;"",1,0)</x:f>
        <x:v>1</x:v>
      </x:c>
      <x:c r="O1017" s="14" t="str">
        <x:f>IF(E1017="","MISSING MAIN",IF(N1017=1,"MAIN ONLY","MULTI-PHOTO"))</x:f>
        <x:v>MAIN ONLY</x:v>
      </x:c>
      <x:c r="P1017" s="14" t="str">
        <x:v>1180_</x:v>
      </x:c>
      <x:c r="Q1017" s="14" t="str">
        <x:v>https://mb1advancedsolutions.github.io/mb1-catalog/index.html?design=1180</x:v>
      </x:c>
      <x:c r="R1017" s="14" t="str"/>
    </x:row>
    <x:row r="1018">
      <x:c r="A1018" s="13" t="str">
        <x:v>MB1-1181</x:v>
      </x:c>
      <x:c r="B1018" s="13" t="str">
        <x:v>MB1-1181</x:v>
      </x:c>
      <x:c r="C1018" s="14" t="str">
        <x:v>Wedding Tree of life curly List</x:v>
      </x:c>
      <x:c r="D1018" s="14" t="str">
        <x:v>wedding and events</x:v>
      </x:c>
      <x:c r="E1018" s="14" t="str">
        <x:v>https://res.cloudinary.com/oxygre42/image/upload/f_auto,q_auto,c_pad,b_white,w_1200,h_1200/v1788350772/1181_Wedding_Tree_of_life_curly_List.png</x:v>
      </x:c>
      <x:c r="F1018" s="14" t="str"/>
      <x:c r="G1018" s="14" t="str">
        <x:v>Lifestyle</x:v>
      </x:c>
      <x:c r="H1018" s="14" t="str"/>
      <x:c r="I1018" s="14" t="str">
        <x:v>Detail</x:v>
      </x:c>
      <x:c r="J1018" s="14" t="str"/>
      <x:c r="K1018" s="14" t="str">
        <x:v>Scale</x:v>
      </x:c>
      <x:c r="L1018" s="14" t="str"/>
      <x:c r="M1018" s="14" t="str">
        <x:v>Alternate</x:v>
      </x:c>
      <x:c r="N1018" s="14" t="n">
        <x:f>IF(E1018&lt;&gt;"",1,0)+IF(F1018&lt;&gt;"",1,0)+IF(H1018&lt;&gt;"",1,0)+IF(J1018&lt;&gt;"",1,0)+IF(L1018&lt;&gt;"",1,0)</x:f>
        <x:v>1</x:v>
      </x:c>
      <x:c r="O1018" s="14" t="str">
        <x:f>IF(E1018="","MISSING MAIN",IF(N1018=1,"MAIN ONLY","MULTI-PHOTO"))</x:f>
        <x:v>MAIN ONLY</x:v>
      </x:c>
      <x:c r="P1018" s="14" t="str">
        <x:v>1181_</x:v>
      </x:c>
      <x:c r="Q1018" s="14" t="str">
        <x:v>https://mb1advancedsolutions.github.io/mb1-catalog/index.html?design=1181</x:v>
      </x:c>
      <x:c r="R1018" s="14" t="str"/>
    </x:row>
    <x:row r="1019">
      <x:c r="A1019" s="13" t="str">
        <x:v>MB1-1182</x:v>
      </x:c>
      <x:c r="B1019" s="13" t="str">
        <x:v>MB1-1182</x:v>
      </x:c>
      <x:c r="C1019" s="14" t="str">
        <x:v>Wedding rings</x:v>
      </x:c>
      <x:c r="D1019" s="14" t="str">
        <x:v>wedding and events</x:v>
      </x:c>
      <x:c r="E1019" s="14" t="str">
        <x:v>https://res.cloudinary.com/oxygre42/image/upload/f_auto,q_auto,c_pad,b_white,w_1200,h_1200/v1788350772/1182_Wedding_rings.png</x:v>
      </x:c>
      <x:c r="F1019" s="14" t="str"/>
      <x:c r="G1019" s="14" t="str">
        <x:v>Lifestyle</x:v>
      </x:c>
      <x:c r="H1019" s="14" t="str"/>
      <x:c r="I1019" s="14" t="str">
        <x:v>Detail</x:v>
      </x:c>
      <x:c r="J1019" s="14" t="str"/>
      <x:c r="K1019" s="14" t="str">
        <x:v>Scale</x:v>
      </x:c>
      <x:c r="L1019" s="14" t="str"/>
      <x:c r="M1019" s="14" t="str">
        <x:v>Alternate</x:v>
      </x:c>
      <x:c r="N1019" s="14" t="n">
        <x:f>IF(E1019&lt;&gt;"",1,0)+IF(F1019&lt;&gt;"",1,0)+IF(H1019&lt;&gt;"",1,0)+IF(J1019&lt;&gt;"",1,0)+IF(L1019&lt;&gt;"",1,0)</x:f>
        <x:v>1</x:v>
      </x:c>
      <x:c r="O1019" s="14" t="str">
        <x:f>IF(E1019="","MISSING MAIN",IF(N1019=1,"MAIN ONLY","MULTI-PHOTO"))</x:f>
        <x:v>MAIN ONLY</x:v>
      </x:c>
      <x:c r="P1019" s="14" t="str">
        <x:v>1182_</x:v>
      </x:c>
      <x:c r="Q1019" s="14" t="str">
        <x:v>https://mb1advancedsolutions.github.io/mb1-catalog/index.html?design=1182</x:v>
      </x:c>
      <x:c r="R1019" s="14" t="str"/>
    </x:row>
    <x:row r="1020">
      <x:c r="A1020" s="13" t="str">
        <x:v>MB1-1183</x:v>
      </x:c>
      <x:c r="B1020" s="13" t="str">
        <x:v>MB1-1183</x:v>
      </x:c>
      <x:c r="C1020" s="14" t="str">
        <x:v>Weed the people US outline</x:v>
      </x:c>
      <x:c r="D1020" s="14" t="str">
        <x:v>home decor and inspirational</x:v>
      </x:c>
      <x:c r="E1020" s="14" t="str">
        <x:v>https://res.cloudinary.com/oxygre42/image/upload/f_auto,q_auto,c_pad,b_white,w_1200,h_1200/v1788350772/1183_Weed_the_people_US_outline.png</x:v>
      </x:c>
      <x:c r="F1020" s="14" t="str"/>
      <x:c r="G1020" s="14" t="str">
        <x:v>Lifestyle</x:v>
      </x:c>
      <x:c r="H1020" s="14" t="str"/>
      <x:c r="I1020" s="14" t="str">
        <x:v>Detail</x:v>
      </x:c>
      <x:c r="J1020" s="14" t="str"/>
      <x:c r="K1020" s="14" t="str">
        <x:v>Scale</x:v>
      </x:c>
      <x:c r="L1020" s="14" t="str"/>
      <x:c r="M1020" s="14" t="str">
        <x:v>Alternate</x:v>
      </x:c>
      <x:c r="N1020" s="14" t="n">
        <x:f>IF(E1020&lt;&gt;"",1,0)+IF(F1020&lt;&gt;"",1,0)+IF(H1020&lt;&gt;"",1,0)+IF(J1020&lt;&gt;"",1,0)+IF(L1020&lt;&gt;"",1,0)</x:f>
        <x:v>1</x:v>
      </x:c>
      <x:c r="O1020" s="14" t="str">
        <x:f>IF(E1020="","MISSING MAIN",IF(N1020=1,"MAIN ONLY","MULTI-PHOTO"))</x:f>
        <x:v>MAIN ONLY</x:v>
      </x:c>
      <x:c r="P1020" s="14" t="str">
        <x:v>1183_</x:v>
      </x:c>
      <x:c r="Q1020" s="14" t="str">
        <x:v>https://mb1advancedsolutions.github.io/mb1-catalog/index.html?design=1183</x:v>
      </x:c>
      <x:c r="R1020" s="14" t="str"/>
    </x:row>
    <x:row r="1021">
      <x:c r="A1021" s="13" t="str">
        <x:v>MB1-1184</x:v>
      </x:c>
      <x:c r="B1021" s="13" t="str">
        <x:v>MB1-1184</x:v>
      </x:c>
      <x:c r="C1021" s="14" t="str">
        <x:v>WeedEyesSugarSkull</x:v>
      </x:c>
      <x:c r="D1021" s="14" t="str">
        <x:v>home decor and inspirational</x:v>
      </x:c>
      <x:c r="E1021" s="14" t="str">
        <x:v>https://res.cloudinary.com/oxygre42/image/upload/f_auto,q_auto,c_pad,b_white,w_1200,h_1200/v1788350774/1184_WeedEyesSugarSkull.png</x:v>
      </x:c>
      <x:c r="F1021" s="14" t="str"/>
      <x:c r="G1021" s="14" t="str">
        <x:v>Lifestyle</x:v>
      </x:c>
      <x:c r="H1021" s="14" t="str"/>
      <x:c r="I1021" s="14" t="str">
        <x:v>Detail</x:v>
      </x:c>
      <x:c r="J1021" s="14" t="str"/>
      <x:c r="K1021" s="14" t="str">
        <x:v>Scale</x:v>
      </x:c>
      <x:c r="L1021" s="14" t="str"/>
      <x:c r="M1021" s="14" t="str">
        <x:v>Alternate</x:v>
      </x:c>
      <x:c r="N1021" s="14" t="n">
        <x:f>IF(E1021&lt;&gt;"",1,0)+IF(F1021&lt;&gt;"",1,0)+IF(H1021&lt;&gt;"",1,0)+IF(J1021&lt;&gt;"",1,0)+IF(L1021&lt;&gt;"",1,0)</x:f>
        <x:v>1</x:v>
      </x:c>
      <x:c r="O1021" s="14" t="str">
        <x:f>IF(E1021="","MISSING MAIN",IF(N1021=1,"MAIN ONLY","MULTI-PHOTO"))</x:f>
        <x:v>MAIN ONLY</x:v>
      </x:c>
      <x:c r="P1021" s="14" t="str">
        <x:v>1184_</x:v>
      </x:c>
      <x:c r="Q1021" s="14" t="str">
        <x:v>https://mb1advancedsolutions.github.io/mb1-catalog/index.html?design=1184</x:v>
      </x:c>
      <x:c r="R1021" s="14" t="str"/>
    </x:row>
    <x:row r="1022">
      <x:c r="A1022" s="13" t="str">
        <x:v>MB1-1185</x:v>
      </x:c>
      <x:c r="B1022" s="13" t="str">
        <x:v>MB1-1185</x:v>
      </x:c>
      <x:c r="C1022" s="14" t="str">
        <x:v>WeedThePeople</x:v>
      </x:c>
      <x:c r="D1022" s="14" t="str">
        <x:v>home decor and inspirational</x:v>
      </x:c>
      <x:c r="E1022" s="14" t="str">
        <x:v>https://res.cloudinary.com/oxygre42/image/upload/f_auto,q_auto,c_pad,b_white,w_1200,h_1200/v1788350776/1185_WeedThePeople.png</x:v>
      </x:c>
      <x:c r="F1022" s="14" t="str"/>
      <x:c r="G1022" s="14" t="str">
        <x:v>Lifestyle</x:v>
      </x:c>
      <x:c r="H1022" s="14" t="str"/>
      <x:c r="I1022" s="14" t="str">
        <x:v>Detail</x:v>
      </x:c>
      <x:c r="J1022" s="14" t="str"/>
      <x:c r="K1022" s="14" t="str">
        <x:v>Scale</x:v>
      </x:c>
      <x:c r="L1022" s="14" t="str"/>
      <x:c r="M1022" s="14" t="str">
        <x:v>Alternate</x:v>
      </x:c>
      <x:c r="N1022" s="14" t="n">
        <x:f>IF(E1022&lt;&gt;"",1,0)+IF(F1022&lt;&gt;"",1,0)+IF(H1022&lt;&gt;"",1,0)+IF(J1022&lt;&gt;"",1,0)+IF(L1022&lt;&gt;"",1,0)</x:f>
        <x:v>1</x:v>
      </x:c>
      <x:c r="O1022" s="14" t="str">
        <x:f>IF(E1022="","MISSING MAIN",IF(N1022=1,"MAIN ONLY","MULTI-PHOTO"))</x:f>
        <x:v>MAIN ONLY</x:v>
      </x:c>
      <x:c r="P1022" s="14" t="str">
        <x:v>1185_</x:v>
      </x:c>
      <x:c r="Q1022" s="14" t="str">
        <x:v>https://mb1advancedsolutions.github.io/mb1-catalog/index.html?design=1185</x:v>
      </x:c>
      <x:c r="R1022" s="14" t="str"/>
    </x:row>
    <x:row r="1023">
      <x:c r="A1023" s="13" t="str">
        <x:v>MB1-1186</x:v>
      </x:c>
      <x:c r="B1023" s="13" t="str">
        <x:v>MB1-1186</x:v>
      </x:c>
      <x:c r="C1023" s="14" t="str">
        <x:v>Welcome Guitar</x:v>
      </x:c>
      <x:c r="D1023" s="14" t="str">
        <x:v>sports and hobbies</x:v>
      </x:c>
      <x:c r="E1023" s="14" t="str">
        <x:v>https://res.cloudinary.com/oxygre42/image/upload/f_auto,q_auto,c_pad,b_white,w_1200,h_1200/v1788350778/1186_Welcome_Guitar.png</x:v>
      </x:c>
      <x:c r="F1023" s="14" t="str"/>
      <x:c r="G1023" s="14" t="str">
        <x:v>Lifestyle</x:v>
      </x:c>
      <x:c r="H1023" s="14" t="str"/>
      <x:c r="I1023" s="14" t="str">
        <x:v>Detail</x:v>
      </x:c>
      <x:c r="J1023" s="14" t="str"/>
      <x:c r="K1023" s="14" t="str">
        <x:v>Scale</x:v>
      </x:c>
      <x:c r="L1023" s="14" t="str"/>
      <x:c r="M1023" s="14" t="str">
        <x:v>Alternate</x:v>
      </x:c>
      <x:c r="N1023" s="14" t="n">
        <x:f>IF(E1023&lt;&gt;"",1,0)+IF(F1023&lt;&gt;"",1,0)+IF(H1023&lt;&gt;"",1,0)+IF(J1023&lt;&gt;"",1,0)+IF(L1023&lt;&gt;"",1,0)</x:f>
        <x:v>1</x:v>
      </x:c>
      <x:c r="O1023" s="14" t="str">
        <x:f>IF(E1023="","MISSING MAIN",IF(N1023=1,"MAIN ONLY","MULTI-PHOTO"))</x:f>
        <x:v>MAIN ONLY</x:v>
      </x:c>
      <x:c r="P1023" s="14" t="str">
        <x:v>1186_</x:v>
      </x:c>
      <x:c r="Q1023" s="14" t="str">
        <x:v>https://mb1advancedsolutions.github.io/mb1-catalog/index.html?design=1186</x:v>
      </x:c>
      <x:c r="R1023" s="14" t="str"/>
    </x:row>
    <x:row r="1024">
      <x:c r="A1024" s="13" t="str">
        <x:v>MB1-1187</x:v>
      </x:c>
      <x:c r="B1024" s="13" t="str">
        <x:v>MB1-1187</x:v>
      </x:c>
      <x:c r="C1024" s="14" t="str">
        <x:v>Welcome Saw Blade</x:v>
      </x:c>
      <x:c r="D1024" s="14" t="str">
        <x:v>home decor and inspirational</x:v>
      </x:c>
      <x:c r="E1024" s="14" t="str">
        <x:v>https://res.cloudinary.com/oxygre42/image/upload/f_auto,q_auto,c_pad,b_white,w_1200,h_1200/v1788350780/1187_Welcome_Saw_Blade.png</x:v>
      </x:c>
      <x:c r="F1024" s="14" t="str"/>
      <x:c r="G1024" s="14" t="str">
        <x:v>Lifestyle</x:v>
      </x:c>
      <x:c r="H1024" s="14" t="str"/>
      <x:c r="I1024" s="14" t="str">
        <x:v>Detail</x:v>
      </x:c>
      <x:c r="J1024" s="14" t="str"/>
      <x:c r="K1024" s="14" t="str">
        <x:v>Scale</x:v>
      </x:c>
      <x:c r="L1024" s="14" t="str"/>
      <x:c r="M1024" s="14" t="str">
        <x:v>Alternate</x:v>
      </x:c>
      <x:c r="N1024" s="14" t="n">
        <x:f>IF(E1024&lt;&gt;"",1,0)+IF(F1024&lt;&gt;"",1,0)+IF(H1024&lt;&gt;"",1,0)+IF(J1024&lt;&gt;"",1,0)+IF(L1024&lt;&gt;"",1,0)</x:f>
        <x:v>1</x:v>
      </x:c>
      <x:c r="O1024" s="14" t="str">
        <x:f>IF(E1024="","MISSING MAIN",IF(N1024=1,"MAIN ONLY","MULTI-PHOTO"))</x:f>
        <x:v>MAIN ONLY</x:v>
      </x:c>
      <x:c r="P1024" s="14" t="str">
        <x:v>1187_</x:v>
      </x:c>
      <x:c r="Q1024" s="14" t="str">
        <x:v>https://mb1advancedsolutions.github.io/mb1-catalog/index.html?design=1187</x:v>
      </x:c>
      <x:c r="R1024" s="14" t="str"/>
    </x:row>
    <x:row r="1025">
      <x:c r="A1025" s="13" t="str">
        <x:v>MB1-1188</x:v>
      </x:c>
      <x:c r="B1025" s="13" t="str">
        <x:v>MB1-1188</x:v>
      </x:c>
      <x:c r="C1025" s="14" t="str">
        <x:v>Welcome Sign</x:v>
      </x:c>
      <x:c r="D1025" s="14" t="str">
        <x:v>home decor and inspirational</x:v>
      </x:c>
      <x:c r="E1025" s="14" t="str">
        <x:v>https://res.cloudinary.com/oxygre42/image/upload/f_auto,q_auto,c_pad,b_white,w_1200,h_1200/v1788350782/1188_Welcome_Sign.png</x:v>
      </x:c>
      <x:c r="F1025" s="14" t="str"/>
      <x:c r="G1025" s="14" t="str">
        <x:v>Lifestyle</x:v>
      </x:c>
      <x:c r="H1025" s="14" t="str"/>
      <x:c r="I1025" s="14" t="str">
        <x:v>Detail</x:v>
      </x:c>
      <x:c r="J1025" s="14" t="str"/>
      <x:c r="K1025" s="14" t="str">
        <x:v>Scale</x:v>
      </x:c>
      <x:c r="L1025" s="14" t="str"/>
      <x:c r="M1025" s="14" t="str">
        <x:v>Alternate</x:v>
      </x:c>
      <x:c r="N1025" s="14" t="n">
        <x:f>IF(E1025&lt;&gt;"",1,0)+IF(F1025&lt;&gt;"",1,0)+IF(H1025&lt;&gt;"",1,0)+IF(J1025&lt;&gt;"",1,0)+IF(L1025&lt;&gt;"",1,0)</x:f>
        <x:v>1</x:v>
      </x:c>
      <x:c r="O1025" s="14" t="str">
        <x:f>IF(E1025="","MISSING MAIN",IF(N1025=1,"MAIN ONLY","MULTI-PHOTO"))</x:f>
        <x:v>MAIN ONLY</x:v>
      </x:c>
      <x:c r="P1025" s="14" t="str">
        <x:v>1188_</x:v>
      </x:c>
      <x:c r="Q1025" s="14" t="str">
        <x:v>https://mb1advancedsolutions.github.io/mb1-catalog/index.html?design=1188</x:v>
      </x:c>
      <x:c r="R1025" s="14" t="str"/>
    </x:row>
    <x:row r="1026">
      <x:c r="A1026" s="13" t="str">
        <x:v>MB1-1189</x:v>
      </x:c>
      <x:c r="B1026" s="13" t="str">
        <x:v>MB1-1189</x:v>
      </x:c>
      <x:c r="C1026" s="14" t="str">
        <x:v>Welcome Star</x:v>
      </x:c>
      <x:c r="D1026" s="14" t="str">
        <x:v>home decor and inspirational</x:v>
      </x:c>
      <x:c r="E1026" s="14" t="str">
        <x:v>https://res.cloudinary.com/oxygre42/image/upload/f_auto,q_auto,c_pad,b_white,w_1200,h_1200/v1788350783/1189_Welcome_Star.png</x:v>
      </x:c>
      <x:c r="F1026" s="14" t="str"/>
      <x:c r="G1026" s="14" t="str">
        <x:v>Lifestyle</x:v>
      </x:c>
      <x:c r="H1026" s="14" t="str"/>
      <x:c r="I1026" s="14" t="str">
        <x:v>Detail</x:v>
      </x:c>
      <x:c r="J1026" s="14" t="str"/>
      <x:c r="K1026" s="14" t="str">
        <x:v>Scale</x:v>
      </x:c>
      <x:c r="L1026" s="14" t="str"/>
      <x:c r="M1026" s="14" t="str">
        <x:v>Alternate</x:v>
      </x:c>
      <x:c r="N1026" s="14" t="n">
        <x:f>IF(E1026&lt;&gt;"",1,0)+IF(F1026&lt;&gt;"",1,0)+IF(H1026&lt;&gt;"",1,0)+IF(J1026&lt;&gt;"",1,0)+IF(L1026&lt;&gt;"",1,0)</x:f>
        <x:v>1</x:v>
      </x:c>
      <x:c r="O1026" s="14" t="str">
        <x:f>IF(E1026="","MISSING MAIN",IF(N1026=1,"MAIN ONLY","MULTI-PHOTO"))</x:f>
        <x:v>MAIN ONLY</x:v>
      </x:c>
      <x:c r="P1026" s="14" t="str">
        <x:v>1189_</x:v>
      </x:c>
      <x:c r="Q1026" s="14" t="str">
        <x:v>https://mb1advancedsolutions.github.io/mb1-catalog/index.html?design=1189</x:v>
      </x:c>
      <x:c r="R1026" s="14" t="str"/>
    </x:row>
    <x:row r="1027">
      <x:c r="A1027" s="13" t="str">
        <x:v>MB1-1190</x:v>
      </x:c>
      <x:c r="B1027" s="13" t="str">
        <x:v>MB1-1190</x:v>
      </x:c>
      <x:c r="C1027" s="14" t="str">
        <x:v>Welding helmet</x:v>
      </x:c>
      <x:c r="D1027" s="14" t="str">
        <x:v>sports and hobbies</x:v>
      </x:c>
      <x:c r="E1027" s="14" t="str">
        <x:v>https://res.cloudinary.com/oxygre42/image/upload/f_auto,q_auto,c_pad,b_white,w_1200,h_1200/v1788350785/1190_Welding_helmet.png</x:v>
      </x:c>
      <x:c r="F1027" s="14" t="str"/>
      <x:c r="G1027" s="14" t="str">
        <x:v>Lifestyle</x:v>
      </x:c>
      <x:c r="H1027" s="14" t="str"/>
      <x:c r="I1027" s="14" t="str">
        <x:v>Detail</x:v>
      </x:c>
      <x:c r="J1027" s="14" t="str"/>
      <x:c r="K1027" s="14" t="str">
        <x:v>Scale</x:v>
      </x:c>
      <x:c r="L1027" s="14" t="str"/>
      <x:c r="M1027" s="14" t="str">
        <x:v>Alternate</x:v>
      </x:c>
      <x:c r="N1027" s="14" t="n">
        <x:f>IF(E1027&lt;&gt;"",1,0)+IF(F1027&lt;&gt;"",1,0)+IF(H1027&lt;&gt;"",1,0)+IF(J1027&lt;&gt;"",1,0)+IF(L1027&lt;&gt;"",1,0)</x:f>
        <x:v>1</x:v>
      </x:c>
      <x:c r="O1027" s="14" t="str">
        <x:f>IF(E1027="","MISSING MAIN",IF(N1027=1,"MAIN ONLY","MULTI-PHOTO"))</x:f>
        <x:v>MAIN ONLY</x:v>
      </x:c>
      <x:c r="P1027" s="14" t="str">
        <x:v>1190_</x:v>
      </x:c>
      <x:c r="Q1027" s="14" t="str">
        <x:v>https://mb1advancedsolutions.github.io/mb1-catalog/index.html?design=1190</x:v>
      </x:c>
      <x:c r="R1027" s="14" t="str"/>
    </x:row>
    <x:row r="1028">
      <x:c r="A1028" s="13" t="str">
        <x:v>MB1-1191</x:v>
      </x:c>
      <x:c r="B1028" s="13" t="str">
        <x:v>MB1-1191</x:v>
      </x:c>
      <x:c r="C1028" s="14" t="str">
        <x:v>What would you do if you could not fail</x:v>
      </x:c>
      <x:c r="D1028" s="14" t="str">
        <x:v>home decor and inspirational</x:v>
      </x:c>
      <x:c r="E1028" s="14" t="str">
        <x:v>https://res.cloudinary.com/oxygre42/image/upload/f_auto,q_auto,c_pad,b_white,w_1200,h_1200/v1788350787/1191_What_would_you_do_if_you_could_not_fail.png</x:v>
      </x:c>
      <x:c r="F1028" s="14" t="str"/>
      <x:c r="G1028" s="14" t="str">
        <x:v>Lifestyle</x:v>
      </x:c>
      <x:c r="H1028" s="14" t="str"/>
      <x:c r="I1028" s="14" t="str">
        <x:v>Detail</x:v>
      </x:c>
      <x:c r="J1028" s="14" t="str"/>
      <x:c r="K1028" s="14" t="str">
        <x:v>Scale</x:v>
      </x:c>
      <x:c r="L1028" s="14" t="str"/>
      <x:c r="M1028" s="14" t="str">
        <x:v>Alternate</x:v>
      </x:c>
      <x:c r="N1028" s="14" t="n">
        <x:f>IF(E1028&lt;&gt;"",1,0)+IF(F1028&lt;&gt;"",1,0)+IF(H1028&lt;&gt;"",1,0)+IF(J1028&lt;&gt;"",1,0)+IF(L1028&lt;&gt;"",1,0)</x:f>
        <x:v>1</x:v>
      </x:c>
      <x:c r="O1028" s="14" t="str">
        <x:f>IF(E1028="","MISSING MAIN",IF(N1028=1,"MAIN ONLY","MULTI-PHOTO"))</x:f>
        <x:v>MAIN ONLY</x:v>
      </x:c>
      <x:c r="P1028" s="14" t="str">
        <x:v>1191_</x:v>
      </x:c>
      <x:c r="Q1028" s="14" t="str">
        <x:v>https://mb1advancedsolutions.github.io/mb1-catalog/index.html?design=1191</x:v>
      </x:c>
      <x:c r="R1028" s="14" t="str"/>
    </x:row>
    <x:row r="1029">
      <x:c r="A1029" s="13" t="str">
        <x:v>MB1-1192</x:v>
      </x:c>
      <x:c r="B1029" s="13" t="str">
        <x:v>MB1-1192</x:v>
      </x:c>
      <x:c r="C1029" s="14" t="str">
        <x:v>Wine bottle and glass</x:v>
      </x:c>
      <x:c r="D1029" s="14" t="str">
        <x:v>sports and hobbies</x:v>
      </x:c>
      <x:c r="E1029" s="14" t="str">
        <x:v>https://res.cloudinary.com/oxygre42/image/upload/f_auto,q_auto,c_pad,b_white,w_1200,h_1200/v1788350789/1192_Wine_bottle_and_glass.png</x:v>
      </x:c>
      <x:c r="F1029" s="14" t="str"/>
      <x:c r="G1029" s="14" t="str">
        <x:v>Lifestyle</x:v>
      </x:c>
      <x:c r="H1029" s="14" t="str"/>
      <x:c r="I1029" s="14" t="str">
        <x:v>Detail</x:v>
      </x:c>
      <x:c r="J1029" s="14" t="str"/>
      <x:c r="K1029" s="14" t="str">
        <x:v>Scale</x:v>
      </x:c>
      <x:c r="L1029" s="14" t="str"/>
      <x:c r="M1029" s="14" t="str">
        <x:v>Alternate</x:v>
      </x:c>
      <x:c r="N1029" s="14" t="n">
        <x:f>IF(E1029&lt;&gt;"",1,0)+IF(F1029&lt;&gt;"",1,0)+IF(H1029&lt;&gt;"",1,0)+IF(J1029&lt;&gt;"",1,0)+IF(L1029&lt;&gt;"",1,0)</x:f>
        <x:v>1</x:v>
      </x:c>
      <x:c r="O1029" s="14" t="str">
        <x:f>IF(E1029="","MISSING MAIN",IF(N1029=1,"MAIN ONLY","MULTI-PHOTO"))</x:f>
        <x:v>MAIN ONLY</x:v>
      </x:c>
      <x:c r="P1029" s="14" t="str">
        <x:v>1192_</x:v>
      </x:c>
      <x:c r="Q1029" s="14" t="str">
        <x:v>https://mb1advancedsolutions.github.io/mb1-catalog/index.html?design=1192</x:v>
      </x:c>
      <x:c r="R1029" s="14" t="str"/>
    </x:row>
    <x:row r="1030">
      <x:c r="A1030" s="13" t="str">
        <x:v>MB1-1193</x:v>
      </x:c>
      <x:c r="B1030" s="13" t="str">
        <x:v>MB1-1193</x:v>
      </x:c>
      <x:c r="C1030" s="14" t="str">
        <x:v>Wing cross</x:v>
      </x:c>
      <x:c r="D1030" s="14" t="str">
        <x:v>home decor and inspirational</x:v>
      </x:c>
      <x:c r="E1030" s="14" t="str">
        <x:v>https://res.cloudinary.com/oxygre42/image/upload/f_auto,q_auto,c_pad,b_white,w_1200,h_1200/v1788350791/1193_Wing_cross.png</x:v>
      </x:c>
      <x:c r="F1030" s="14" t="str"/>
      <x:c r="G1030" s="14" t="str">
        <x:v>Lifestyle</x:v>
      </x:c>
      <x:c r="H1030" s="14" t="str"/>
      <x:c r="I1030" s="14" t="str">
        <x:v>Detail</x:v>
      </x:c>
      <x:c r="J1030" s="14" t="str"/>
      <x:c r="K1030" s="14" t="str">
        <x:v>Scale</x:v>
      </x:c>
      <x:c r="L1030" s="14" t="str"/>
      <x:c r="M1030" s="14" t="str">
        <x:v>Alternate</x:v>
      </x:c>
      <x:c r="N1030" s="14" t="n">
        <x:f>IF(E1030&lt;&gt;"",1,0)+IF(F1030&lt;&gt;"",1,0)+IF(H1030&lt;&gt;"",1,0)+IF(J1030&lt;&gt;"",1,0)+IF(L1030&lt;&gt;"",1,0)</x:f>
        <x:v>1</x:v>
      </x:c>
      <x:c r="O1030" s="14" t="str">
        <x:f>IF(E1030="","MISSING MAIN",IF(N1030=1,"MAIN ONLY","MULTI-PHOTO"))</x:f>
        <x:v>MAIN ONLY</x:v>
      </x:c>
      <x:c r="P1030" s="14" t="str">
        <x:v>1193_</x:v>
      </x:c>
      <x:c r="Q1030" s="14" t="str">
        <x:v>https://mb1advancedsolutions.github.io/mb1-catalog/index.html?design=1193</x:v>
      </x:c>
      <x:c r="R1030" s="14" t="str"/>
    </x:row>
    <x:row r="1031">
      <x:c r="A1031" s="13" t="str">
        <x:v>MB1-1194</x:v>
      </x:c>
      <x:c r="B1031" s="13" t="str">
        <x:v>MB1-1194</x:v>
      </x:c>
      <x:c r="C1031" s="14" t="str">
        <x:v>Winners trophy and Banner</x:v>
      </x:c>
      <x:c r="D1031" s="14" t="str">
        <x:v>sports and hobbies</x:v>
      </x:c>
      <x:c r="E1031" s="14" t="str">
        <x:v>https://res.cloudinary.com/oxygre42/image/upload/f_auto,q_auto,c_pad,b_white,w_1200,h_1200/v1788350793/1194_Winners_trophy_and_Banner.png</x:v>
      </x:c>
      <x:c r="F1031" s="14" t="str"/>
      <x:c r="G1031" s="14" t="str">
        <x:v>Lifestyle</x:v>
      </x:c>
      <x:c r="H1031" s="14" t="str"/>
      <x:c r="I1031" s="14" t="str">
        <x:v>Detail</x:v>
      </x:c>
      <x:c r="J1031" s="14" t="str"/>
      <x:c r="K1031" s="14" t="str">
        <x:v>Scale</x:v>
      </x:c>
      <x:c r="L1031" s="14" t="str"/>
      <x:c r="M1031" s="14" t="str">
        <x:v>Alternate</x:v>
      </x:c>
      <x:c r="N1031" s="14" t="n">
        <x:f>IF(E1031&lt;&gt;"",1,0)+IF(F1031&lt;&gt;"",1,0)+IF(H1031&lt;&gt;"",1,0)+IF(J1031&lt;&gt;"",1,0)+IF(L1031&lt;&gt;"",1,0)</x:f>
        <x:v>1</x:v>
      </x:c>
      <x:c r="O1031" s="14" t="str">
        <x:f>IF(E1031="","MISSING MAIN",IF(N1031=1,"MAIN ONLY","MULTI-PHOTO"))</x:f>
        <x:v>MAIN ONLY</x:v>
      </x:c>
      <x:c r="P1031" s="14" t="str">
        <x:v>1194_</x:v>
      </x:c>
      <x:c r="Q1031" s="14" t="str">
        <x:v>https://mb1advancedsolutions.github.io/mb1-catalog/index.html?design=1194</x:v>
      </x:c>
      <x:c r="R1031" s="14" t="str"/>
    </x:row>
    <x:row r="1032">
      <x:c r="A1032" s="13" t="str">
        <x:v>MB1-1195</x:v>
      </x:c>
      <x:c r="B1032" s="13" t="str">
        <x:v>MB1-1195</x:v>
      </x:c>
      <x:c r="C1032" s="14" t="str">
        <x:v>Winners trophy</x:v>
      </x:c>
      <x:c r="D1032" s="14" t="str">
        <x:v>sports and hobbies</x:v>
      </x:c>
      <x:c r="E1032" s="14" t="str">
        <x:v>https://res.cloudinary.com/oxygre42/image/upload/f_auto,q_auto,c_pad,b_white,w_1200,h_1200/v1788350795/1195_Winners_trophy.png</x:v>
      </x:c>
      <x:c r="F1032" s="14" t="str"/>
      <x:c r="G1032" s="14" t="str">
        <x:v>Lifestyle</x:v>
      </x:c>
      <x:c r="H1032" s="14" t="str"/>
      <x:c r="I1032" s="14" t="str">
        <x:v>Detail</x:v>
      </x:c>
      <x:c r="J1032" s="14" t="str"/>
      <x:c r="K1032" s="14" t="str">
        <x:v>Scale</x:v>
      </x:c>
      <x:c r="L1032" s="14" t="str"/>
      <x:c r="M1032" s="14" t="str">
        <x:v>Alternate</x:v>
      </x:c>
      <x:c r="N1032" s="14" t="n">
        <x:f>IF(E1032&lt;&gt;"",1,0)+IF(F1032&lt;&gt;"",1,0)+IF(H1032&lt;&gt;"",1,0)+IF(J1032&lt;&gt;"",1,0)+IF(L1032&lt;&gt;"",1,0)</x:f>
        <x:v>1</x:v>
      </x:c>
      <x:c r="O1032" s="14" t="str">
        <x:f>IF(E1032="","MISSING MAIN",IF(N1032=1,"MAIN ONLY","MULTI-PHOTO"))</x:f>
        <x:v>MAIN ONLY</x:v>
      </x:c>
      <x:c r="P1032" s="14" t="str">
        <x:v>1195_</x:v>
      </x:c>
      <x:c r="Q1032" s="14" t="str">
        <x:v>https://mb1advancedsolutions.github.io/mb1-catalog/index.html?design=1195</x:v>
      </x:c>
      <x:c r="R1032" s="14" t="str"/>
    </x:row>
    <x:row r="1033">
      <x:c r="A1033" s="13" t="str">
        <x:v>MB1-1196</x:v>
      </x:c>
      <x:c r="B1033" s="13" t="str">
        <x:v>MB1-1196</x:v>
      </x:c>
      <x:c r="C1033" s="14" t="str">
        <x:v>Wooden Spoon Survivor</x:v>
      </x:c>
      <x:c r="D1033" s="14" t="str">
        <x:v>home decor and inspirational</x:v>
      </x:c>
      <x:c r="E1033" s="14" t="str">
        <x:v>https://res.cloudinary.com/oxygre42/image/upload/f_auto,q_auto,c_pad,b_white,w_1200,h_1200/v1788350797/1196_Wooden_Spoon_Survivor.png</x:v>
      </x:c>
      <x:c r="F1033" s="14" t="str"/>
      <x:c r="G1033" s="14" t="str">
        <x:v>Lifestyle</x:v>
      </x:c>
      <x:c r="H1033" s="14" t="str"/>
      <x:c r="I1033" s="14" t="str">
        <x:v>Detail</x:v>
      </x:c>
      <x:c r="J1033" s="14" t="str"/>
      <x:c r="K1033" s="14" t="str">
        <x:v>Scale</x:v>
      </x:c>
      <x:c r="L1033" s="14" t="str"/>
      <x:c r="M1033" s="14" t="str">
        <x:v>Alternate</x:v>
      </x:c>
      <x:c r="N1033" s="14" t="n">
        <x:f>IF(E1033&lt;&gt;"",1,0)+IF(F1033&lt;&gt;"",1,0)+IF(H1033&lt;&gt;"",1,0)+IF(J1033&lt;&gt;"",1,0)+IF(L1033&lt;&gt;"",1,0)</x:f>
        <x:v>1</x:v>
      </x:c>
      <x:c r="O1033" s="14" t="str">
        <x:f>IF(E1033="","MISSING MAIN",IF(N1033=1,"MAIN ONLY","MULTI-PHOTO"))</x:f>
        <x:v>MAIN ONLY</x:v>
      </x:c>
      <x:c r="P1033" s="14" t="str">
        <x:v>1196_</x:v>
      </x:c>
      <x:c r="Q1033" s="14" t="str">
        <x:v>https://mb1advancedsolutions.github.io/mb1-catalog/index.html?design=1196</x:v>
      </x:c>
      <x:c r="R1033" s="14" t="str"/>
    </x:row>
    <x:row r="1034">
      <x:c r="A1034" s="13" t="str">
        <x:v>MB1-1197</x:v>
      </x:c>
      <x:c r="B1034" s="13" t="str">
        <x:v>MB1-1197</x:v>
      </x:c>
      <x:c r="C1034" s="14" t="str">
        <x:v>Work Hard stay humble</x:v>
      </x:c>
      <x:c r="D1034" s="14" t="str">
        <x:v>home decor and inspirational</x:v>
      </x:c>
      <x:c r="E1034" s="14" t="str">
        <x:v>https://res.cloudinary.com/oxygre42/image/upload/f_auto,q_auto,c_pad,b_white,w_1200,h_1200/v1788350798/1197_Work_Hard_stay_humble.png</x:v>
      </x:c>
      <x:c r="F1034" s="14" t="str"/>
      <x:c r="G1034" s="14" t="str">
        <x:v>Lifestyle</x:v>
      </x:c>
      <x:c r="H1034" s="14" t="str"/>
      <x:c r="I1034" s="14" t="str">
        <x:v>Detail</x:v>
      </x:c>
      <x:c r="J1034" s="14" t="str"/>
      <x:c r="K1034" s="14" t="str">
        <x:v>Scale</x:v>
      </x:c>
      <x:c r="L1034" s="14" t="str"/>
      <x:c r="M1034" s="14" t="str">
        <x:v>Alternate</x:v>
      </x:c>
      <x:c r="N1034" s="14" t="n">
        <x:f>IF(E1034&lt;&gt;"",1,0)+IF(F1034&lt;&gt;"",1,0)+IF(H1034&lt;&gt;"",1,0)+IF(J1034&lt;&gt;"",1,0)+IF(L1034&lt;&gt;"",1,0)</x:f>
        <x:v>1</x:v>
      </x:c>
      <x:c r="O1034" s="14" t="str">
        <x:f>IF(E1034="","MISSING MAIN",IF(N1034=1,"MAIN ONLY","MULTI-PHOTO"))</x:f>
        <x:v>MAIN ONLY</x:v>
      </x:c>
      <x:c r="P1034" s="14" t="str">
        <x:v>1197_</x:v>
      </x:c>
      <x:c r="Q1034" s="14" t="str">
        <x:v>https://mb1advancedsolutions.github.io/mb1-catalog/index.html?design=1197</x:v>
      </x:c>
      <x:c r="R1034" s="14" t="str"/>
    </x:row>
    <x:row r="1035">
      <x:c r="A1035" s="13" t="str">
        <x:v>MB1-1198</x:v>
      </x:c>
      <x:c r="B1035" s="13" t="str">
        <x:v>MB1-1198</x:v>
      </x:c>
      <x:c r="C1035" s="14" t="str">
        <x:v>Worlds Greatest Dad Trophy</x:v>
      </x:c>
      <x:c r="D1035" s="14" t="str">
        <x:v>sports and hobbies</x:v>
      </x:c>
      <x:c r="E1035" s="14" t="str">
        <x:v>https://res.cloudinary.com/oxygre42/image/upload/f_auto,q_auto,c_pad,b_white,w_1200,h_1200/v1788350800/1198_Worlds_Greatest_Dad_Trophy.png</x:v>
      </x:c>
      <x:c r="F1035" s="14" t="str"/>
      <x:c r="G1035" s="14" t="str">
        <x:v>Lifestyle</x:v>
      </x:c>
      <x:c r="H1035" s="14" t="str"/>
      <x:c r="I1035" s="14" t="str">
        <x:v>Detail</x:v>
      </x:c>
      <x:c r="J1035" s="14" t="str"/>
      <x:c r="K1035" s="14" t="str">
        <x:v>Scale</x:v>
      </x:c>
      <x:c r="L1035" s="14" t="str"/>
      <x:c r="M1035" s="14" t="str">
        <x:v>Alternate</x:v>
      </x:c>
      <x:c r="N1035" s="14" t="n">
        <x:f>IF(E1035&lt;&gt;"",1,0)+IF(F1035&lt;&gt;"",1,0)+IF(H1035&lt;&gt;"",1,0)+IF(J1035&lt;&gt;"",1,0)+IF(L1035&lt;&gt;"",1,0)</x:f>
        <x:v>1</x:v>
      </x:c>
      <x:c r="O1035" s="14" t="str">
        <x:f>IF(E1035="","MISSING MAIN",IF(N1035=1,"MAIN ONLY","MULTI-PHOTO"))</x:f>
        <x:v>MAIN ONLY</x:v>
      </x:c>
      <x:c r="P1035" s="14" t="str">
        <x:v>1198_</x:v>
      </x:c>
      <x:c r="Q1035" s="14" t="str">
        <x:v>https://mb1advancedsolutions.github.io/mb1-catalog/index.html?design=1198</x:v>
      </x:c>
      <x:c r="R1035" s="14" t="str"/>
    </x:row>
    <x:row r="1036">
      <x:c r="A1036" s="13" t="str">
        <x:v>MB1-1199</x:v>
      </x:c>
      <x:c r="B1036" s="13" t="str">
        <x:v>MB1-1199</x:v>
      </x:c>
      <x:c r="C1036" s="14" t="str">
        <x:v>Worlds Greatest Mom Trophy</x:v>
      </x:c>
      <x:c r="D1036" s="14" t="str">
        <x:v>sports and hobbies</x:v>
      </x:c>
      <x:c r="E1036" s="14" t="str">
        <x:v>https://res.cloudinary.com/oxygre42/image/upload/f_auto,q_auto,c_pad,b_white,w_1200,h_1200/v1788350802/1199_Worlds_Greatest_Mom_Trophy.png</x:v>
      </x:c>
      <x:c r="F1036" s="14" t="str"/>
      <x:c r="G1036" s="14" t="str">
        <x:v>Lifestyle</x:v>
      </x:c>
      <x:c r="H1036" s="14" t="str"/>
      <x:c r="I1036" s="14" t="str">
        <x:v>Detail</x:v>
      </x:c>
      <x:c r="J1036" s="14" t="str"/>
      <x:c r="K1036" s="14" t="str">
        <x:v>Scale</x:v>
      </x:c>
      <x:c r="L1036" s="14" t="str"/>
      <x:c r="M1036" s="14" t="str">
        <x:v>Alternate</x:v>
      </x:c>
      <x:c r="N1036" s="14" t="n">
        <x:f>IF(E1036&lt;&gt;"",1,0)+IF(F1036&lt;&gt;"",1,0)+IF(H1036&lt;&gt;"",1,0)+IF(J1036&lt;&gt;"",1,0)+IF(L1036&lt;&gt;"",1,0)</x:f>
        <x:v>1</x:v>
      </x:c>
      <x:c r="O1036" s="14" t="str">
        <x:f>IF(E1036="","MISSING MAIN",IF(N1036=1,"MAIN ONLY","MULTI-PHOTO"))</x:f>
        <x:v>MAIN ONLY</x:v>
      </x:c>
      <x:c r="P1036" s="14" t="str">
        <x:v>1199_</x:v>
      </x:c>
      <x:c r="Q1036" s="14" t="str">
        <x:v>https://mb1advancedsolutions.github.io/mb1-catalog/index.html?design=1199</x:v>
      </x:c>
      <x:c r="R1036" s="14" t="str"/>
    </x:row>
    <x:row r="1037">
      <x:c r="A1037" s="13" t="str">
        <x:v>MB1-1201</x:v>
      </x:c>
      <x:c r="B1037" s="13" t="str">
        <x:v>MB1-1201</x:v>
      </x:c>
      <x:c r="C1037" s="14" t="str">
        <x:v>Yin and Yang Tree</x:v>
      </x:c>
      <x:c r="D1037" s="14" t="str">
        <x:v>home decor and inspirational</x:v>
      </x:c>
      <x:c r="E1037" s="14" t="str">
        <x:v>https://res.cloudinary.com/oxygre42/image/upload/f_auto,q_auto,c_pad,b_white,w_1200,h_1200/v1788350806/1201_Yin_and_Yang_Tree.png</x:v>
      </x:c>
      <x:c r="F1037" s="14" t="str"/>
      <x:c r="G1037" s="14" t="str">
        <x:v>Lifestyle</x:v>
      </x:c>
      <x:c r="H1037" s="14" t="str"/>
      <x:c r="I1037" s="14" t="str">
        <x:v>Detail</x:v>
      </x:c>
      <x:c r="J1037" s="14" t="str"/>
      <x:c r="K1037" s="14" t="str">
        <x:v>Scale</x:v>
      </x:c>
      <x:c r="L1037" s="14" t="str"/>
      <x:c r="M1037" s="14" t="str">
        <x:v>Alternate</x:v>
      </x:c>
      <x:c r="N1037" s="14" t="n">
        <x:f>IF(E1037&lt;&gt;"",1,0)+IF(F1037&lt;&gt;"",1,0)+IF(H1037&lt;&gt;"",1,0)+IF(J1037&lt;&gt;"",1,0)+IF(L1037&lt;&gt;"",1,0)</x:f>
        <x:v>1</x:v>
      </x:c>
      <x:c r="O1037" s="14" t="str">
        <x:f>IF(E1037="","MISSING MAIN",IF(N1037=1,"MAIN ONLY","MULTI-PHOTO"))</x:f>
        <x:v>MAIN ONLY</x:v>
      </x:c>
      <x:c r="P1037" s="14" t="str">
        <x:v>1201_</x:v>
      </x:c>
      <x:c r="Q1037" s="14" t="str">
        <x:v>https://mb1advancedsolutions.github.io/mb1-catalog/index.html?design=1201</x:v>
      </x:c>
      <x:c r="R1037" s="14" t="str"/>
    </x:row>
    <x:row r="1038">
      <x:c r="A1038" s="13" t="str">
        <x:v>MB1-1202</x:v>
      </x:c>
      <x:c r="B1038" s="13" t="str">
        <x:v>MB1-1202</x:v>
      </x:c>
      <x:c r="C1038" s="14" t="str">
        <x:v>You And Me infinity</x:v>
      </x:c>
      <x:c r="D1038" s="14" t="str">
        <x:v>home decor and inspirational</x:v>
      </x:c>
      <x:c r="E1038" s="14" t="str">
        <x:v>https://res.cloudinary.com/oxygre42/image/upload/f_auto,q_auto,c_pad,b_white,w_1200,h_1200/v1788350808/1202_You_And_Me_infinity.png</x:v>
      </x:c>
      <x:c r="F1038" s="14" t="str"/>
      <x:c r="G1038" s="14" t="str">
        <x:v>Lifestyle</x:v>
      </x:c>
      <x:c r="H1038" s="14" t="str"/>
      <x:c r="I1038" s="14" t="str">
        <x:v>Detail</x:v>
      </x:c>
      <x:c r="J1038" s="14" t="str"/>
      <x:c r="K1038" s="14" t="str">
        <x:v>Scale</x:v>
      </x:c>
      <x:c r="L1038" s="14" t="str"/>
      <x:c r="M1038" s="14" t="str">
        <x:v>Alternate</x:v>
      </x:c>
      <x:c r="N1038" s="14" t="n">
        <x:f>IF(E1038&lt;&gt;"",1,0)+IF(F1038&lt;&gt;"",1,0)+IF(H1038&lt;&gt;"",1,0)+IF(J1038&lt;&gt;"",1,0)+IF(L1038&lt;&gt;"",1,0)</x:f>
        <x:v>1</x:v>
      </x:c>
      <x:c r="O1038" s="14" t="str">
        <x:f>IF(E1038="","MISSING MAIN",IF(N1038=1,"MAIN ONLY","MULTI-PHOTO"))</x:f>
        <x:v>MAIN ONLY</x:v>
      </x:c>
      <x:c r="P1038" s="14" t="str">
        <x:v>1202_</x:v>
      </x:c>
      <x:c r="Q1038" s="14" t="str">
        <x:v>https://mb1advancedsolutions.github.io/mb1-catalog/index.html?design=1202</x:v>
      </x:c>
      <x:c r="R1038" s="14" t="str"/>
    </x:row>
    <x:row r="1039">
      <x:c r="A1039" s="13" t="str">
        <x:v>MB1-1203</x:v>
      </x:c>
      <x:c r="B1039" s="13" t="str">
        <x:v>MB1-1203</x:v>
      </x:c>
      <x:c r="C1039" s="14" t="str">
        <x:v>You Are Here target</x:v>
      </x:c>
      <x:c r="D1039" s="14" t="str">
        <x:v>address and property</x:v>
      </x:c>
      <x:c r="E1039" s="14" t="str">
        <x:v>https://res.cloudinary.com/oxygre42/image/upload/f_auto,q_auto,c_pad,b_white,w_1200,h_1200/v1788350810/1203_You_Are_Here_target.png</x:v>
      </x:c>
      <x:c r="F1039" s="14" t="str"/>
      <x:c r="G1039" s="14" t="str">
        <x:v>Lifestyle</x:v>
      </x:c>
      <x:c r="H1039" s="14" t="str"/>
      <x:c r="I1039" s="14" t="str">
        <x:v>Detail</x:v>
      </x:c>
      <x:c r="J1039" s="14" t="str"/>
      <x:c r="K1039" s="14" t="str">
        <x:v>Scale</x:v>
      </x:c>
      <x:c r="L1039" s="14" t="str"/>
      <x:c r="M1039" s="14" t="str">
        <x:v>Alternate</x:v>
      </x:c>
      <x:c r="N1039" s="14" t="n">
        <x:f>IF(E1039&lt;&gt;"",1,0)+IF(F1039&lt;&gt;"",1,0)+IF(H1039&lt;&gt;"",1,0)+IF(J1039&lt;&gt;"",1,0)+IF(L1039&lt;&gt;"",1,0)</x:f>
        <x:v>1</x:v>
      </x:c>
      <x:c r="O1039" s="14" t="str">
        <x:f>IF(E1039="","MISSING MAIN",IF(N1039=1,"MAIN ONLY","MULTI-PHOTO"))</x:f>
        <x:v>MAIN ONLY</x:v>
      </x:c>
      <x:c r="P1039" s="14" t="str">
        <x:v>1203_</x:v>
      </x:c>
      <x:c r="Q1039" s="14" t="str">
        <x:v>https://mb1advancedsolutions.github.io/mb1-catalog/index.html?design=1203</x:v>
      </x:c>
      <x:c r="R1039" s="14" t="str"/>
    </x:row>
    <x:row r="1040">
      <x:c r="A1040" s="13" t="str">
        <x:v>MB1-1204</x:v>
      </x:c>
      <x:c r="B1040" s="13" t="str">
        <x:v>MB1-1204</x:v>
      </x:c>
      <x:c r="C1040" s="14" t="str">
        <x:v>Zebra skull</x:v>
      </x:c>
      <x:c r="D1040" s="14" t="str">
        <x:v>wildlife and outdoors</x:v>
      </x:c>
      <x:c r="E1040" s="14" t="str">
        <x:v>https://res.cloudinary.com/oxygre42/image/upload/f_auto,q_auto,c_pad,b_white,w_1200,h_1200/v1788350812/1204_Zebra_skull.png</x:v>
      </x:c>
      <x:c r="F1040" s="14" t="str"/>
      <x:c r="G1040" s="14" t="str">
        <x:v>Lifestyle</x:v>
      </x:c>
      <x:c r="H1040" s="14" t="str"/>
      <x:c r="I1040" s="14" t="str">
        <x:v>Detail</x:v>
      </x:c>
      <x:c r="J1040" s="14" t="str"/>
      <x:c r="K1040" s="14" t="str">
        <x:v>Scale</x:v>
      </x:c>
      <x:c r="L1040" s="14" t="str"/>
      <x:c r="M1040" s="14" t="str">
        <x:v>Alternate</x:v>
      </x:c>
      <x:c r="N1040" s="14" t="n">
        <x:f>IF(E1040&lt;&gt;"",1,0)+IF(F1040&lt;&gt;"",1,0)+IF(H1040&lt;&gt;"",1,0)+IF(J1040&lt;&gt;"",1,0)+IF(L1040&lt;&gt;"",1,0)</x:f>
        <x:v>1</x:v>
      </x:c>
      <x:c r="O1040" s="14" t="str">
        <x:f>IF(E1040="","MISSING MAIN",IF(N1040=1,"MAIN ONLY","MULTI-PHOTO"))</x:f>
        <x:v>MAIN ONLY</x:v>
      </x:c>
      <x:c r="P1040" s="14" t="str">
        <x:v>1204_</x:v>
      </x:c>
      <x:c r="Q1040" s="14" t="str">
        <x:v>https://mb1advancedsolutions.github.io/mb1-catalog/index.html?design=1204</x:v>
      </x:c>
      <x:c r="R1040" s="14" t="str"/>
    </x:row>
    <x:row r="1041">
      <x:c r="A1041" s="13" t="str">
        <x:v>MB1-1206</x:v>
      </x:c>
      <x:c r="B1041" s="13" t="str">
        <x:v>MB1-1206</x:v>
      </x:c>
      <x:c r="C1041" s="14" t="str">
        <x:v>bearded skull</x:v>
      </x:c>
      <x:c r="D1041" s="14" t="str">
        <x:v>home decor and inspirational</x:v>
      </x:c>
      <x:c r="E1041" s="14" t="str">
        <x:v>https://res.cloudinary.com/oxygre42/image/upload/f_auto,q_auto,c_pad,b_white,w_1200,h_1200/v1788350815/1206_bearded_skull.png</x:v>
      </x:c>
      <x:c r="F1041" s="14" t="str"/>
      <x:c r="G1041" s="14" t="str">
        <x:v>Lifestyle</x:v>
      </x:c>
      <x:c r="H1041" s="14" t="str"/>
      <x:c r="I1041" s="14" t="str">
        <x:v>Detail</x:v>
      </x:c>
      <x:c r="J1041" s="14" t="str"/>
      <x:c r="K1041" s="14" t="str">
        <x:v>Scale</x:v>
      </x:c>
      <x:c r="L1041" s="14" t="str"/>
      <x:c r="M1041" s="14" t="str">
        <x:v>Alternate</x:v>
      </x:c>
      <x:c r="N1041" s="14" t="n">
        <x:f>IF(E1041&lt;&gt;"",1,0)+IF(F1041&lt;&gt;"",1,0)+IF(H1041&lt;&gt;"",1,0)+IF(J1041&lt;&gt;"",1,0)+IF(L1041&lt;&gt;"",1,0)</x:f>
        <x:v>1</x:v>
      </x:c>
      <x:c r="O1041" s="14" t="str">
        <x:f>IF(E1041="","MISSING MAIN",IF(N1041=1,"MAIN ONLY","MULTI-PHOTO"))</x:f>
        <x:v>MAIN ONLY</x:v>
      </x:c>
      <x:c r="P1041" s="14" t="str">
        <x:v>1206_</x:v>
      </x:c>
      <x:c r="Q1041" s="14" t="str">
        <x:v>https://mb1advancedsolutions.github.io/mb1-catalog/index.html?design=1206</x:v>
      </x:c>
      <x:c r="R1041" s="14" t="str"/>
    </x:row>
    <x:row r="1042">
      <x:c r="A1042" s="13" t="str">
        <x:v>MB1-1207</x:v>
      </x:c>
      <x:c r="B1042" s="13" t="str">
        <x:v>MB1-1207</x:v>
      </x:c>
      <x:c r="C1042" s="14" t="str">
        <x:v>bee</x:v>
      </x:c>
      <x:c r="D1042" s="14" t="str">
        <x:v>wildlife and outdoors</x:v>
      </x:c>
      <x:c r="E1042" s="14" t="str">
        <x:v>https://res.cloudinary.com/oxygre42/image/upload/f_auto,q_auto,c_pad,b_white,w_1200,h_1200/v1788350817/1207_bee.png</x:v>
      </x:c>
      <x:c r="F1042" s="14" t="str"/>
      <x:c r="G1042" s="14" t="str">
        <x:v>Lifestyle</x:v>
      </x:c>
      <x:c r="H1042" s="14" t="str"/>
      <x:c r="I1042" s="14" t="str">
        <x:v>Detail</x:v>
      </x:c>
      <x:c r="J1042" s="14" t="str"/>
      <x:c r="K1042" s="14" t="str">
        <x:v>Scale</x:v>
      </x:c>
      <x:c r="L1042" s="14" t="str"/>
      <x:c r="M1042" s="14" t="str">
        <x:v>Alternate</x:v>
      </x:c>
      <x:c r="N1042" s="14" t="n">
        <x:f>IF(E1042&lt;&gt;"",1,0)+IF(F1042&lt;&gt;"",1,0)+IF(H1042&lt;&gt;"",1,0)+IF(J1042&lt;&gt;"",1,0)+IF(L1042&lt;&gt;"",1,0)</x:f>
        <x:v>1</x:v>
      </x:c>
      <x:c r="O1042" s="14" t="str">
        <x:f>IF(E1042="","MISSING MAIN",IF(N1042=1,"MAIN ONLY","MULTI-PHOTO"))</x:f>
        <x:v>MAIN ONLY</x:v>
      </x:c>
      <x:c r="P1042" s="14" t="str">
        <x:v>1207_</x:v>
      </x:c>
      <x:c r="Q1042" s="14" t="str">
        <x:v>https://mb1advancedsolutions.github.io/mb1-catalog/index.html?design=1207</x:v>
      </x:c>
      <x:c r="R1042" s="14" t="str"/>
    </x:row>
    <x:row r="1043">
      <x:c r="A1043" s="13" t="str">
        <x:v>MB1-1208</x:v>
      </x:c>
      <x:c r="B1043" s="13" t="str">
        <x:v>MB1-1208</x:v>
      </x:c>
      <x:c r="C1043" s="14" t="str">
        <x:v>cant knock the hustle</x:v>
      </x:c>
      <x:c r="D1043" s="14" t="str">
        <x:v>home decor and inspirational</x:v>
      </x:c>
      <x:c r="E1043" s="14" t="str">
        <x:v>https://res.cloudinary.com/oxygre42/image/upload/f_auto,q_auto,c_pad,b_white,w_1200,h_1200/v1788350819/1208_cant_knock_the_hustle.png</x:v>
      </x:c>
      <x:c r="F1043" s="14" t="str"/>
      <x:c r="G1043" s="14" t="str">
        <x:v>Lifestyle</x:v>
      </x:c>
      <x:c r="H1043" s="14" t="str"/>
      <x:c r="I1043" s="14" t="str">
        <x:v>Detail</x:v>
      </x:c>
      <x:c r="J1043" s="14" t="str"/>
      <x:c r="K1043" s="14" t="str">
        <x:v>Scale</x:v>
      </x:c>
      <x:c r="L1043" s="14" t="str"/>
      <x:c r="M1043" s="14" t="str">
        <x:v>Alternate</x:v>
      </x:c>
      <x:c r="N1043" s="14" t="n">
        <x:f>IF(E1043&lt;&gt;"",1,0)+IF(F1043&lt;&gt;"",1,0)+IF(H1043&lt;&gt;"",1,0)+IF(J1043&lt;&gt;"",1,0)+IF(L1043&lt;&gt;"",1,0)</x:f>
        <x:v>1</x:v>
      </x:c>
      <x:c r="O1043" s="14" t="str">
        <x:f>IF(E1043="","MISSING MAIN",IF(N1043=1,"MAIN ONLY","MULTI-PHOTO"))</x:f>
        <x:v>MAIN ONLY</x:v>
      </x:c>
      <x:c r="P1043" s="14" t="str">
        <x:v>1208_</x:v>
      </x:c>
      <x:c r="Q1043" s="14" t="str">
        <x:v>https://mb1advancedsolutions.github.io/mb1-catalog/index.html?design=1208</x:v>
      </x:c>
      <x:c r="R1043" s="14" t="str"/>
    </x:row>
    <x:row r="1044">
      <x:c r="A1044" s="13" t="str">
        <x:v>MB1-1209</x:v>
      </x:c>
      <x:c r="B1044" s="13" t="str">
        <x:v>MB1-1209</x:v>
      </x:c>
      <x:c r="C1044" s="14" t="str">
        <x:v>corner coffee shop</x:v>
      </x:c>
      <x:c r="D1044" s="14" t="str">
        <x:v>home decor and inspirational</x:v>
      </x:c>
      <x:c r="E1044" s="14" t="str">
        <x:v>https://res.cloudinary.com/oxygre42/image/upload/f_auto,q_auto,c_pad,b_white,w_1200,h_1200/v1788350821/1209_corner_coffee_shop.png</x:v>
      </x:c>
      <x:c r="F1044" s="14" t="str"/>
      <x:c r="G1044" s="14" t="str">
        <x:v>Lifestyle</x:v>
      </x:c>
      <x:c r="H1044" s="14" t="str"/>
      <x:c r="I1044" s="14" t="str">
        <x:v>Detail</x:v>
      </x:c>
      <x:c r="J1044" s="14" t="str"/>
      <x:c r="K1044" s="14" t="str">
        <x:v>Scale</x:v>
      </x:c>
      <x:c r="L1044" s="14" t="str"/>
      <x:c r="M1044" s="14" t="str">
        <x:v>Alternate</x:v>
      </x:c>
      <x:c r="N1044" s="14" t="n">
        <x:f>IF(E1044&lt;&gt;"",1,0)+IF(F1044&lt;&gt;"",1,0)+IF(H1044&lt;&gt;"",1,0)+IF(J1044&lt;&gt;"",1,0)+IF(L1044&lt;&gt;"",1,0)</x:f>
        <x:v>1</x:v>
      </x:c>
      <x:c r="O1044" s="14" t="str">
        <x:f>IF(E1044="","MISSING MAIN",IF(N1044=1,"MAIN ONLY","MULTI-PHOTO"))</x:f>
        <x:v>MAIN ONLY</x:v>
      </x:c>
      <x:c r="P1044" s="14" t="str">
        <x:v>1209_</x:v>
      </x:c>
      <x:c r="Q1044" s="14" t="str">
        <x:v>https://mb1advancedsolutions.github.io/mb1-catalog/index.html?design=1209</x:v>
      </x:c>
      <x:c r="R1044" s="14" t="str"/>
    </x:row>
    <x:row r="1045">
      <x:c r="A1045" s="13" t="str">
        <x:v>MB1-1210</x:v>
      </x:c>
      <x:c r="B1045" s="13" t="str">
        <x:v>MB1-1210</x:v>
      </x:c>
      <x:c r="C1045" s="14" t="str">
        <x:v>cowboy skull and guns</x:v>
      </x:c>
      <x:c r="D1045" s="14" t="str">
        <x:v>farm and western</x:v>
      </x:c>
      <x:c r="E1045" s="14" t="str">
        <x:v>https://res.cloudinary.com/oxygre42/image/upload/f_auto,q_auto,c_pad,b_white,w_1200,h_1200/v1788350823/1210_cowboy_skull_and_guns.png</x:v>
      </x:c>
      <x:c r="F1045" s="14" t="str"/>
      <x:c r="G1045" s="14" t="str">
        <x:v>Lifestyle</x:v>
      </x:c>
      <x:c r="H1045" s="14" t="str"/>
      <x:c r="I1045" s="14" t="str">
        <x:v>Detail</x:v>
      </x:c>
      <x:c r="J1045" s="14" t="str"/>
      <x:c r="K1045" s="14" t="str">
        <x:v>Scale</x:v>
      </x:c>
      <x:c r="L1045" s="14" t="str"/>
      <x:c r="M1045" s="14" t="str">
        <x:v>Alternate</x:v>
      </x:c>
      <x:c r="N1045" s="14" t="n">
        <x:f>IF(E1045&lt;&gt;"",1,0)+IF(F1045&lt;&gt;"",1,0)+IF(H1045&lt;&gt;"",1,0)+IF(J1045&lt;&gt;"",1,0)+IF(L1045&lt;&gt;"",1,0)</x:f>
        <x:v>1</x:v>
      </x:c>
      <x:c r="O1045" s="14" t="str">
        <x:f>IF(E1045="","MISSING MAIN",IF(N1045=1,"MAIN ONLY","MULTI-PHOTO"))</x:f>
        <x:v>MAIN ONLY</x:v>
      </x:c>
      <x:c r="P1045" s="14" t="str">
        <x:v>1210_</x:v>
      </x:c>
      <x:c r="Q1045" s="14" t="str">
        <x:v>https://mb1advancedsolutions.github.io/mb1-catalog/index.html?design=1210</x:v>
      </x:c>
      <x:c r="R1045" s="14" t="str"/>
    </x:row>
    <x:row r="1046">
      <x:c r="A1046" s="13" t="str">
        <x:v>MB1-1211</x:v>
      </x:c>
      <x:c r="B1046" s="13" t="str">
        <x:v>MB1-1211</x:v>
      </x:c>
      <x:c r="C1046" s="14" t="str">
        <x:v>cowboy skull</x:v>
      </x:c>
      <x:c r="D1046" s="14" t="str">
        <x:v>farm and western</x:v>
      </x:c>
      <x:c r="E1046" s="14" t="str">
        <x:v>https://res.cloudinary.com/oxygre42/image/upload/f_auto,q_auto,c_pad,b_white,w_1200,h_1200/v1788350825/1211_cowboy_skull.png</x:v>
      </x:c>
      <x:c r="F1046" s="14" t="str"/>
      <x:c r="G1046" s="14" t="str">
        <x:v>Lifestyle</x:v>
      </x:c>
      <x:c r="H1046" s="14" t="str"/>
      <x:c r="I1046" s="14" t="str">
        <x:v>Detail</x:v>
      </x:c>
      <x:c r="J1046" s="14" t="str"/>
      <x:c r="K1046" s="14" t="str">
        <x:v>Scale</x:v>
      </x:c>
      <x:c r="L1046" s="14" t="str"/>
      <x:c r="M1046" s="14" t="str">
        <x:v>Alternate</x:v>
      </x:c>
      <x:c r="N1046" s="14" t="n">
        <x:f>IF(E1046&lt;&gt;"",1,0)+IF(F1046&lt;&gt;"",1,0)+IF(H1046&lt;&gt;"",1,0)+IF(J1046&lt;&gt;"",1,0)+IF(L1046&lt;&gt;"",1,0)</x:f>
        <x:v>1</x:v>
      </x:c>
      <x:c r="O1046" s="14" t="str">
        <x:f>IF(E1046="","MISSING MAIN",IF(N1046=1,"MAIN ONLY","MULTI-PHOTO"))</x:f>
        <x:v>MAIN ONLY</x:v>
      </x:c>
      <x:c r="P1046" s="14" t="str">
        <x:v>1211_</x:v>
      </x:c>
      <x:c r="Q1046" s="14" t="str">
        <x:v>https://mb1advancedsolutions.github.io/mb1-catalog/index.html?design=1211</x:v>
      </x:c>
      <x:c r="R1046" s="14" t="str"/>
    </x:row>
    <x:row r="1047">
      <x:c r="A1047" s="13" t="str">
        <x:v>MB1-1212</x:v>
      </x:c>
      <x:c r="B1047" s="13" t="str">
        <x:v>MB1-1212</x:v>
      </x:c>
      <x:c r="C1047" s="14" t="str">
        <x:v>cross cut saw</x:v>
      </x:c>
      <x:c r="D1047" s="14" t="str">
        <x:v>home decor and inspirational</x:v>
      </x:c>
      <x:c r="E1047" s="14" t="str">
        <x:v>https://res.cloudinary.com/oxygre42/image/upload/f_auto,q_auto,c_pad,b_white,w_1200,h_1200/v1788350827/1212_cross_cut_saw.png</x:v>
      </x:c>
      <x:c r="F1047" s="14" t="str"/>
      <x:c r="G1047" s="14" t="str">
        <x:v>Lifestyle</x:v>
      </x:c>
      <x:c r="H1047" s="14" t="str"/>
      <x:c r="I1047" s="14" t="str">
        <x:v>Detail</x:v>
      </x:c>
      <x:c r="J1047" s="14" t="str"/>
      <x:c r="K1047" s="14" t="str">
        <x:v>Scale</x:v>
      </x:c>
      <x:c r="L1047" s="14" t="str"/>
      <x:c r="M1047" s="14" t="str">
        <x:v>Alternate</x:v>
      </x:c>
      <x:c r="N1047" s="14" t="n">
        <x:f>IF(E1047&lt;&gt;"",1,0)+IF(F1047&lt;&gt;"",1,0)+IF(H1047&lt;&gt;"",1,0)+IF(J1047&lt;&gt;"",1,0)+IF(L1047&lt;&gt;"",1,0)</x:f>
        <x:v>1</x:v>
      </x:c>
      <x:c r="O1047" s="14" t="str">
        <x:f>IF(E1047="","MISSING MAIN",IF(N1047=1,"MAIN ONLY","MULTI-PHOTO"))</x:f>
        <x:v>MAIN ONLY</x:v>
      </x:c>
      <x:c r="P1047" s="14" t="str">
        <x:v>1212_</x:v>
      </x:c>
      <x:c r="Q1047" s="14" t="str">
        <x:v>https://mb1advancedsolutions.github.io/mb1-catalog/index.html?design=1212</x:v>
      </x:c>
      <x:c r="R1047" s="14" t="str"/>
    </x:row>
    <x:row r="1048">
      <x:c r="A1048" s="13" t="str">
        <x:v>MB1-1213</x:v>
      </x:c>
      <x:c r="B1048" s="13" t="str">
        <x:v>MB1-1213</x:v>
      </x:c>
      <x:c r="C1048" s="14" t="str">
        <x:v>dead and breakfast with stake</x:v>
      </x:c>
      <x:c r="D1048" s="14" t="str">
        <x:v>home decor and inspirational</x:v>
      </x:c>
      <x:c r="E1048" s="14" t="str">
        <x:v>https://res.cloudinary.com/oxygre42/image/upload/f_auto,q_auto,c_pad,b_white,w_1200,h_1200/v1788350829/1213_dead_and_breakfast_with_stake.png</x:v>
      </x:c>
      <x:c r="F1048" s="14" t="str"/>
      <x:c r="G1048" s="14" t="str">
        <x:v>Lifestyle</x:v>
      </x:c>
      <x:c r="H1048" s="14" t="str"/>
      <x:c r="I1048" s="14" t="str">
        <x:v>Detail</x:v>
      </x:c>
      <x:c r="J1048" s="14" t="str"/>
      <x:c r="K1048" s="14" t="str">
        <x:v>Scale</x:v>
      </x:c>
      <x:c r="L1048" s="14" t="str"/>
      <x:c r="M1048" s="14" t="str">
        <x:v>Alternate</x:v>
      </x:c>
      <x:c r="N1048" s="14" t="n">
        <x:f>IF(E1048&lt;&gt;"",1,0)+IF(F1048&lt;&gt;"",1,0)+IF(H1048&lt;&gt;"",1,0)+IF(J1048&lt;&gt;"",1,0)+IF(L1048&lt;&gt;"",1,0)</x:f>
        <x:v>1</x:v>
      </x:c>
      <x:c r="O1048" s="14" t="str">
        <x:f>IF(E1048="","MISSING MAIN",IF(N1048=1,"MAIN ONLY","MULTI-PHOTO"))</x:f>
        <x:v>MAIN ONLY</x:v>
      </x:c>
      <x:c r="P1048" s="14" t="str">
        <x:v>1213_</x:v>
      </x:c>
      <x:c r="Q1048" s="14" t="str">
        <x:v>https://mb1advancedsolutions.github.io/mb1-catalog/index.html?design=1213</x:v>
      </x:c>
      <x:c r="R1048" s="14" t="str"/>
    </x:row>
    <x:row r="1049">
      <x:c r="A1049" s="13" t="str">
        <x:v>MB1-1214</x:v>
      </x:c>
      <x:c r="B1049" s="13" t="str">
        <x:v>MB1-1214</x:v>
      </x:c>
      <x:c r="C1049" s="14" t="str">
        <x:v>dead and breakfast</x:v>
      </x:c>
      <x:c r="D1049" s="14" t="str">
        <x:v>home decor and inspirational</x:v>
      </x:c>
      <x:c r="E1049" s="14" t="str">
        <x:v>https://res.cloudinary.com/oxygre42/image/upload/f_auto,q_auto,c_pad,b_white,w_1200,h_1200/v1788350830/1214_dead_and_breakfast.png</x:v>
      </x:c>
      <x:c r="F1049" s="14" t="str"/>
      <x:c r="G1049" s="14" t="str">
        <x:v>Lifestyle</x:v>
      </x:c>
      <x:c r="H1049" s="14" t="str"/>
      <x:c r="I1049" s="14" t="str">
        <x:v>Detail</x:v>
      </x:c>
      <x:c r="J1049" s="14" t="str"/>
      <x:c r="K1049" s="14" t="str">
        <x:v>Scale</x:v>
      </x:c>
      <x:c r="L1049" s="14" t="str"/>
      <x:c r="M1049" s="14" t="str">
        <x:v>Alternate</x:v>
      </x:c>
      <x:c r="N1049" s="14" t="n">
        <x:f>IF(E1049&lt;&gt;"",1,0)+IF(F1049&lt;&gt;"",1,0)+IF(H1049&lt;&gt;"",1,0)+IF(J1049&lt;&gt;"",1,0)+IF(L1049&lt;&gt;"",1,0)</x:f>
        <x:v>1</x:v>
      </x:c>
      <x:c r="O1049" s="14" t="str">
        <x:f>IF(E1049="","MISSING MAIN",IF(N1049=1,"MAIN ONLY","MULTI-PHOTO"))</x:f>
        <x:v>MAIN ONLY</x:v>
      </x:c>
      <x:c r="P1049" s="14" t="str">
        <x:v>1214_</x:v>
      </x:c>
      <x:c r="Q1049" s="14" t="str">
        <x:v>https://mb1advancedsolutions.github.io/mb1-catalog/index.html?design=1214</x:v>
      </x:c>
      <x:c r="R1049" s="14" t="str"/>
    </x:row>
    <x:row r="1050">
      <x:c r="A1050" s="13" t="str">
        <x:v>MB1-1215</x:v>
      </x:c>
      <x:c r="B1050" s="13" t="str">
        <x:v>MB1-1215</x:v>
      </x:c>
      <x:c r="C1050" s="14" t="str">
        <x:v>deer</x:v>
      </x:c>
      <x:c r="D1050" s="14" t="str">
        <x:v>wildlife and outdoors</x:v>
      </x:c>
      <x:c r="E1050" s="14" t="str">
        <x:v>https://res.cloudinary.com/oxygre42/image/upload/f_auto,q_auto,c_pad,b_white,w_1200,h_1200/v1788350832/1215_deer.png</x:v>
      </x:c>
      <x:c r="F1050" s="14" t="str"/>
      <x:c r="G1050" s="14" t="str">
        <x:v>Lifestyle</x:v>
      </x:c>
      <x:c r="H1050" s="14" t="str"/>
      <x:c r="I1050" s="14" t="str">
        <x:v>Detail</x:v>
      </x:c>
      <x:c r="J1050" s="14" t="str"/>
      <x:c r="K1050" s="14" t="str">
        <x:v>Scale</x:v>
      </x:c>
      <x:c r="L1050" s="14" t="str"/>
      <x:c r="M1050" s="14" t="str">
        <x:v>Alternate</x:v>
      </x:c>
      <x:c r="N1050" s="14" t="n">
        <x:f>IF(E1050&lt;&gt;"",1,0)+IF(F1050&lt;&gt;"",1,0)+IF(H1050&lt;&gt;"",1,0)+IF(J1050&lt;&gt;"",1,0)+IF(L1050&lt;&gt;"",1,0)</x:f>
        <x:v>1</x:v>
      </x:c>
      <x:c r="O1050" s="14" t="str">
        <x:f>IF(E1050="","MISSING MAIN",IF(N1050=1,"MAIN ONLY","MULTI-PHOTO"))</x:f>
        <x:v>MAIN ONLY</x:v>
      </x:c>
      <x:c r="P1050" s="14" t="str">
        <x:v>1215_</x:v>
      </x:c>
      <x:c r="Q1050" s="14" t="str">
        <x:v>https://mb1advancedsolutions.github.io/mb1-catalog/index.html?design=1215</x:v>
      </x:c>
      <x:c r="R1050" s="14" t="str"/>
    </x:row>
    <x:row r="1051">
      <x:c r="A1051" s="13" t="str">
        <x:v>MB1-1216</x:v>
      </x:c>
      <x:c r="B1051" s="13" t="str">
        <x:v>MB1-1216</x:v>
      </x:c>
      <x:c r="C1051" s="14" t="str">
        <x:v>dice cherries</x:v>
      </x:c>
      <x:c r="D1051" s="14" t="str">
        <x:v>sports and hobbies</x:v>
      </x:c>
      <x:c r="E1051" s="14" t="str">
        <x:v>https://res.cloudinary.com/oxygre42/image/upload/f_auto,q_auto,c_pad,b_white,w_1200,h_1200/v1788350834/1216_dice_cherries.png</x:v>
      </x:c>
      <x:c r="F1051" s="14" t="str"/>
      <x:c r="G1051" s="14" t="str">
        <x:v>Lifestyle</x:v>
      </x:c>
      <x:c r="H1051" s="14" t="str"/>
      <x:c r="I1051" s="14" t="str">
        <x:v>Detail</x:v>
      </x:c>
      <x:c r="J1051" s="14" t="str"/>
      <x:c r="K1051" s="14" t="str">
        <x:v>Scale</x:v>
      </x:c>
      <x:c r="L1051" s="14" t="str"/>
      <x:c r="M1051" s="14" t="str">
        <x:v>Alternate</x:v>
      </x:c>
      <x:c r="N1051" s="14" t="n">
        <x:f>IF(E1051&lt;&gt;"",1,0)+IF(F1051&lt;&gt;"",1,0)+IF(H1051&lt;&gt;"",1,0)+IF(J1051&lt;&gt;"",1,0)+IF(L1051&lt;&gt;"",1,0)</x:f>
        <x:v>1</x:v>
      </x:c>
      <x:c r="O1051" s="14" t="str">
        <x:f>IF(E1051="","MISSING MAIN",IF(N1051=1,"MAIN ONLY","MULTI-PHOTO"))</x:f>
        <x:v>MAIN ONLY</x:v>
      </x:c>
      <x:c r="P1051" s="14" t="str">
        <x:v>1216_</x:v>
      </x:c>
      <x:c r="Q1051" s="14" t="str">
        <x:v>https://mb1advancedsolutions.github.io/mb1-catalog/index.html?design=1216</x:v>
      </x:c>
      <x:c r="R1051" s="14" t="str"/>
    </x:row>
    <x:row r="1052">
      <x:c r="A1052" s="13" t="str">
        <x:v>MB1-1217</x:v>
      </x:c>
      <x:c r="B1052" s="13" t="str">
        <x:v>MB1-1217</x:v>
      </x:c>
      <x:c r="C1052" s="14" t="str">
        <x:v>dragon circle</x:v>
      </x:c>
      <x:c r="D1052" s="14" t="str">
        <x:v>wildlife and outdoors</x:v>
      </x:c>
      <x:c r="E1052" s="14" t="str">
        <x:v>https://res.cloudinary.com/oxygre42/image/upload/f_auto,q_auto,c_pad,b_white,w_1200,h_1200/v1788350836/1217_dragon_circle.png</x:v>
      </x:c>
      <x:c r="F1052" s="14" t="str"/>
      <x:c r="G1052" s="14" t="str">
        <x:v>Lifestyle</x:v>
      </x:c>
      <x:c r="H1052" s="14" t="str"/>
      <x:c r="I1052" s="14" t="str">
        <x:v>Detail</x:v>
      </x:c>
      <x:c r="J1052" s="14" t="str"/>
      <x:c r="K1052" s="14" t="str">
        <x:v>Scale</x:v>
      </x:c>
      <x:c r="L1052" s="14" t="str"/>
      <x:c r="M1052" s="14" t="str">
        <x:v>Alternate</x:v>
      </x:c>
      <x:c r="N1052" s="14" t="n">
        <x:f>IF(E1052&lt;&gt;"",1,0)+IF(F1052&lt;&gt;"",1,0)+IF(H1052&lt;&gt;"",1,0)+IF(J1052&lt;&gt;"",1,0)+IF(L1052&lt;&gt;"",1,0)</x:f>
        <x:v>1</x:v>
      </x:c>
      <x:c r="O1052" s="14" t="str">
        <x:f>IF(E1052="","MISSING MAIN",IF(N1052=1,"MAIN ONLY","MULTI-PHOTO"))</x:f>
        <x:v>MAIN ONLY</x:v>
      </x:c>
      <x:c r="P1052" s="14" t="str">
        <x:v>1217_</x:v>
      </x:c>
      <x:c r="Q1052" s="14" t="str">
        <x:v>https://mb1advancedsolutions.github.io/mb1-catalog/index.html?design=1217</x:v>
      </x:c>
      <x:c r="R1052" s="14" t="str"/>
    </x:row>
    <x:row r="1053">
      <x:c r="A1053" s="13" t="str">
        <x:v>MB1-1218</x:v>
      </x:c>
      <x:c r="B1053" s="13" t="str">
        <x:v>MB1-1218</x:v>
      </x:c>
      <x:c r="C1053" s="14" t="str">
        <x:v>gather</x:v>
      </x:c>
      <x:c r="D1053" s="14" t="str">
        <x:v>home decor and inspirational</x:v>
      </x:c>
      <x:c r="E1053" s="14" t="str">
        <x:v>https://res.cloudinary.com/oxygre42/image/upload/f_auto,q_auto,c_pad,b_white,w_1200,h_1200/v1788350838/1218_gather.png</x:v>
      </x:c>
      <x:c r="F1053" s="14" t="str"/>
      <x:c r="G1053" s="14" t="str">
        <x:v>Lifestyle</x:v>
      </x:c>
      <x:c r="H1053" s="14" t="str"/>
      <x:c r="I1053" s="14" t="str">
        <x:v>Detail</x:v>
      </x:c>
      <x:c r="J1053" s="14" t="str"/>
      <x:c r="K1053" s="14" t="str">
        <x:v>Scale</x:v>
      </x:c>
      <x:c r="L1053" s="14" t="str"/>
      <x:c r="M1053" s="14" t="str">
        <x:v>Alternate</x:v>
      </x:c>
      <x:c r="N1053" s="14" t="n">
        <x:f>IF(E1053&lt;&gt;"",1,0)+IF(F1053&lt;&gt;"",1,0)+IF(H1053&lt;&gt;"",1,0)+IF(J1053&lt;&gt;"",1,0)+IF(L1053&lt;&gt;"",1,0)</x:f>
        <x:v>1</x:v>
      </x:c>
      <x:c r="O1053" s="14" t="str">
        <x:f>IF(E1053="","MISSING MAIN",IF(N1053=1,"MAIN ONLY","MULTI-PHOTO"))</x:f>
        <x:v>MAIN ONLY</x:v>
      </x:c>
      <x:c r="P1053" s="14" t="str">
        <x:v>1218_</x:v>
      </x:c>
      <x:c r="Q1053" s="14" t="str">
        <x:v>https://mb1advancedsolutions.github.io/mb1-catalog/index.html?design=1218</x:v>
      </x:c>
      <x:c r="R1053" s="14" t="str"/>
    </x:row>
    <x:row r="1054">
      <x:c r="A1054" s="13" t="str">
        <x:v>MB1-1219</x:v>
      </x:c>
      <x:c r="B1054" s="13" t="str">
        <x:v>MB1-1219</x:v>
      </x:c>
      <x:c r="C1054" s="14" t="str">
        <x:v>gun flag</x:v>
      </x:c>
      <x:c r="D1054" s="14" t="str">
        <x:v>sports and hobbies</x:v>
      </x:c>
      <x:c r="E1054" s="14" t="str">
        <x:v>https://res.cloudinary.com/oxygre42/image/upload/f_auto,q_auto,c_pad,b_white,w_1200,h_1200/v1788350840/1219_gun_flag.png</x:v>
      </x:c>
      <x:c r="F1054" s="14" t="str"/>
      <x:c r="G1054" s="14" t="str">
        <x:v>Lifestyle</x:v>
      </x:c>
      <x:c r="H1054" s="14" t="str"/>
      <x:c r="I1054" s="14" t="str">
        <x:v>Detail</x:v>
      </x:c>
      <x:c r="J1054" s="14" t="str"/>
      <x:c r="K1054" s="14" t="str">
        <x:v>Scale</x:v>
      </x:c>
      <x:c r="L1054" s="14" t="str"/>
      <x:c r="M1054" s="14" t="str">
        <x:v>Alternate</x:v>
      </x:c>
      <x:c r="N1054" s="14" t="n">
        <x:f>IF(E1054&lt;&gt;"",1,0)+IF(F1054&lt;&gt;"",1,0)+IF(H1054&lt;&gt;"",1,0)+IF(J1054&lt;&gt;"",1,0)+IF(L1054&lt;&gt;"",1,0)</x:f>
        <x:v>1</x:v>
      </x:c>
      <x:c r="O1054" s="14" t="str">
        <x:f>IF(E1054="","MISSING MAIN",IF(N1054=1,"MAIN ONLY","MULTI-PHOTO"))</x:f>
        <x:v>MAIN ONLY</x:v>
      </x:c>
      <x:c r="P1054" s="14" t="str">
        <x:v>1219_</x:v>
      </x:c>
      <x:c r="Q1054" s="14" t="str">
        <x:v>https://mb1advancedsolutions.github.io/mb1-catalog/index.html?design=1219</x:v>
      </x:c>
      <x:c r="R1054" s="14" t="str"/>
    </x:row>
    <x:row r="1055">
      <x:c r="A1055" s="13" t="str">
        <x:v>MB1-1220</x:v>
      </x:c>
      <x:c r="B1055" s="13" t="str">
        <x:v>MB1-1220</x:v>
      </x:c>
      <x:c r="C1055" s="14" t="str">
        <x:v>hear no speak no see no</x:v>
      </x:c>
      <x:c r="D1055" s="14" t="str">
        <x:v>home decor and inspirational</x:v>
      </x:c>
      <x:c r="E1055" s="14" t="str">
        <x:v>https://res.cloudinary.com/oxygre42/image/upload/f_auto,q_auto,c_pad,b_white,w_1200,h_1200/v1788350842/1220_hear_no_speak_no_see_no.png</x:v>
      </x:c>
      <x:c r="F1055" s="14" t="str"/>
      <x:c r="G1055" s="14" t="str">
        <x:v>Lifestyle</x:v>
      </x:c>
      <x:c r="H1055" s="14" t="str"/>
      <x:c r="I1055" s="14" t="str">
        <x:v>Detail</x:v>
      </x:c>
      <x:c r="J1055" s="14" t="str"/>
      <x:c r="K1055" s="14" t="str">
        <x:v>Scale</x:v>
      </x:c>
      <x:c r="L1055" s="14" t="str"/>
      <x:c r="M1055" s="14" t="str">
        <x:v>Alternate</x:v>
      </x:c>
      <x:c r="N1055" s="14" t="n">
        <x:f>IF(E1055&lt;&gt;"",1,0)+IF(F1055&lt;&gt;"",1,0)+IF(H1055&lt;&gt;"",1,0)+IF(J1055&lt;&gt;"",1,0)+IF(L1055&lt;&gt;"",1,0)</x:f>
        <x:v>1</x:v>
      </x:c>
      <x:c r="O1055" s="14" t="str">
        <x:f>IF(E1055="","MISSING MAIN",IF(N1055=1,"MAIN ONLY","MULTI-PHOTO"))</x:f>
        <x:v>MAIN ONLY</x:v>
      </x:c>
      <x:c r="P1055" s="14" t="str">
        <x:v>1220_</x:v>
      </x:c>
      <x:c r="Q1055" s="14" t="str">
        <x:v>https://mb1advancedsolutions.github.io/mb1-catalog/index.html?design=1220</x:v>
      </x:c>
      <x:c r="R1055" s="14" t="str"/>
    </x:row>
    <x:row r="1056">
      <x:c r="A1056" s="13" t="str">
        <x:v>MB1-1221</x:v>
      </x:c>
      <x:c r="B1056" s="13" t="str">
        <x:v>MB1-1221</x:v>
      </x:c>
      <x:c r="C1056" s="14" t="str">
        <x:v>heart and rings</x:v>
      </x:c>
      <x:c r="D1056" s="14" t="str">
        <x:v>home decor and inspirational</x:v>
      </x:c>
      <x:c r="E1056" s="14" t="str">
        <x:v>https://res.cloudinary.com/oxygre42/image/upload/f_auto,q_auto,c_pad,b_white,w_1200,h_1200/v1788350844/1221_heart_and_rings.png</x:v>
      </x:c>
      <x:c r="F1056" s="14" t="str"/>
      <x:c r="G1056" s="14" t="str">
        <x:v>Lifestyle</x:v>
      </x:c>
      <x:c r="H1056" s="14" t="str"/>
      <x:c r="I1056" s="14" t="str">
        <x:v>Detail</x:v>
      </x:c>
      <x:c r="J1056" s="14" t="str"/>
      <x:c r="K1056" s="14" t="str">
        <x:v>Scale</x:v>
      </x:c>
      <x:c r="L1056" s="14" t="str"/>
      <x:c r="M1056" s="14" t="str">
        <x:v>Alternate</x:v>
      </x:c>
      <x:c r="N1056" s="14" t="n">
        <x:f>IF(E1056&lt;&gt;"",1,0)+IF(F1056&lt;&gt;"",1,0)+IF(H1056&lt;&gt;"",1,0)+IF(J1056&lt;&gt;"",1,0)+IF(L1056&lt;&gt;"",1,0)</x:f>
        <x:v>1</x:v>
      </x:c>
      <x:c r="O1056" s="14" t="str">
        <x:f>IF(E1056="","MISSING MAIN",IF(N1056=1,"MAIN ONLY","MULTI-PHOTO"))</x:f>
        <x:v>MAIN ONLY</x:v>
      </x:c>
      <x:c r="P1056" s="14" t="str">
        <x:v>1221_</x:v>
      </x:c>
      <x:c r="Q1056" s="14" t="str">
        <x:v>https://mb1advancedsolutions.github.io/mb1-catalog/index.html?design=1221</x:v>
      </x:c>
      <x:c r="R1056" s="14" t="str"/>
    </x:row>
    <x:row r="1057">
      <x:c r="A1057" s="13" t="str">
        <x:v>MB1-1222</x:v>
      </x:c>
      <x:c r="B1057" s="13" t="str">
        <x:v>MB1-1222</x:v>
      </x:c>
      <x:c r="C1057" s="14" t="str">
        <x:v>highway 420 pot leafs small</x:v>
      </x:c>
      <x:c r="D1057" s="14" t="str">
        <x:v>home decor and inspirational</x:v>
      </x:c>
      <x:c r="E1057" s="14" t="str">
        <x:v>https://res.cloudinary.com/oxygre42/image/upload/f_auto,q_auto,c_pad,b_white,w_1200,h_1200/v1788350845/1222_highway_420_pot_leafs_small.png</x:v>
      </x:c>
      <x:c r="F1057" s="14" t="str"/>
      <x:c r="G1057" s="14" t="str">
        <x:v>Lifestyle</x:v>
      </x:c>
      <x:c r="H1057" s="14" t="str"/>
      <x:c r="I1057" s="14" t="str">
        <x:v>Detail</x:v>
      </x:c>
      <x:c r="J1057" s="14" t="str"/>
      <x:c r="K1057" s="14" t="str">
        <x:v>Scale</x:v>
      </x:c>
      <x:c r="L1057" s="14" t="str"/>
      <x:c r="M1057" s="14" t="str">
        <x:v>Alternate</x:v>
      </x:c>
      <x:c r="N1057" s="14" t="n">
        <x:f>IF(E1057&lt;&gt;"",1,0)+IF(F1057&lt;&gt;"",1,0)+IF(H1057&lt;&gt;"",1,0)+IF(J1057&lt;&gt;"",1,0)+IF(L1057&lt;&gt;"",1,0)</x:f>
        <x:v>1</x:v>
      </x:c>
      <x:c r="O1057" s="14" t="str">
        <x:f>IF(E1057="","MISSING MAIN",IF(N1057=1,"MAIN ONLY","MULTI-PHOTO"))</x:f>
        <x:v>MAIN ONLY</x:v>
      </x:c>
      <x:c r="P1057" s="14" t="str">
        <x:v>1222_</x:v>
      </x:c>
      <x:c r="Q1057" s="14" t="str">
        <x:v>https://mb1advancedsolutions.github.io/mb1-catalog/index.html?design=1222</x:v>
      </x:c>
      <x:c r="R1057" s="14" t="str"/>
    </x:row>
    <x:row r="1058">
      <x:c r="A1058" s="13" t="str">
        <x:v>MB1-1223</x:v>
      </x:c>
      <x:c r="B1058" s="13" t="str">
        <x:v>MB1-1223</x:v>
      </x:c>
      <x:c r="C1058" s="14" t="str">
        <x:v>highway 420 pot leafs</x:v>
      </x:c>
      <x:c r="D1058" s="14" t="str">
        <x:v>home decor and inspirational</x:v>
      </x:c>
      <x:c r="E1058" s="14" t="str">
        <x:v>https://res.cloudinary.com/oxygre42/image/upload/f_auto,q_auto,c_pad,b_white,w_1200,h_1200/v1788350847/1223_highway_420_pot_leafs.png</x:v>
      </x:c>
      <x:c r="F1058" s="14" t="str"/>
      <x:c r="G1058" s="14" t="str">
        <x:v>Lifestyle</x:v>
      </x:c>
      <x:c r="H1058" s="14" t="str"/>
      <x:c r="I1058" s="14" t="str">
        <x:v>Detail</x:v>
      </x:c>
      <x:c r="J1058" s="14" t="str"/>
      <x:c r="K1058" s="14" t="str">
        <x:v>Scale</x:v>
      </x:c>
      <x:c r="L1058" s="14" t="str"/>
      <x:c r="M1058" s="14" t="str">
        <x:v>Alternate</x:v>
      </x:c>
      <x:c r="N1058" s="14" t="n">
        <x:f>IF(E1058&lt;&gt;"",1,0)+IF(F1058&lt;&gt;"",1,0)+IF(H1058&lt;&gt;"",1,0)+IF(J1058&lt;&gt;"",1,0)+IF(L1058&lt;&gt;"",1,0)</x:f>
        <x:v>1</x:v>
      </x:c>
      <x:c r="O1058" s="14" t="str">
        <x:f>IF(E1058="","MISSING MAIN",IF(N1058=1,"MAIN ONLY","MULTI-PHOTO"))</x:f>
        <x:v>MAIN ONLY</x:v>
      </x:c>
      <x:c r="P1058" s="14" t="str">
        <x:v>1223_</x:v>
      </x:c>
      <x:c r="Q1058" s="14" t="str">
        <x:v>https://mb1advancedsolutions.github.io/mb1-catalog/index.html?design=1223</x:v>
      </x:c>
      <x:c r="R1058" s="14" t="str"/>
    </x:row>
    <x:row r="1059">
      <x:c r="A1059" s="13" t="str">
        <x:v>MB1-1224</x:v>
      </x:c>
      <x:c r="B1059" s="13" t="str">
        <x:v>MB1-1224</x:v>
      </x:c>
      <x:c r="C1059" s="14" t="str">
        <x:v>ironworker</x:v>
      </x:c>
      <x:c r="D1059" s="14" t="str">
        <x:v>garage and workshop</x:v>
      </x:c>
      <x:c r="E1059" s="14" t="str">
        <x:v>https://res.cloudinary.com/oxygre42/image/upload/f_auto,q_auto,c_pad,b_white,w_1200,h_1200/v1788350849/1224_ironworker.png</x:v>
      </x:c>
      <x:c r="F1059" s="14" t="str"/>
      <x:c r="G1059" s="14" t="str">
        <x:v>Lifestyle</x:v>
      </x:c>
      <x:c r="H1059" s="14" t="str"/>
      <x:c r="I1059" s="14" t="str">
        <x:v>Detail</x:v>
      </x:c>
      <x:c r="J1059" s="14" t="str"/>
      <x:c r="K1059" s="14" t="str">
        <x:v>Scale</x:v>
      </x:c>
      <x:c r="L1059" s="14" t="str"/>
      <x:c r="M1059" s="14" t="str">
        <x:v>Alternate</x:v>
      </x:c>
      <x:c r="N1059" s="14" t="n">
        <x:f>IF(E1059&lt;&gt;"",1,0)+IF(F1059&lt;&gt;"",1,0)+IF(H1059&lt;&gt;"",1,0)+IF(J1059&lt;&gt;"",1,0)+IF(L1059&lt;&gt;"",1,0)</x:f>
        <x:v>1</x:v>
      </x:c>
      <x:c r="O1059" s="14" t="str">
        <x:f>IF(E1059="","MISSING MAIN",IF(N1059=1,"MAIN ONLY","MULTI-PHOTO"))</x:f>
        <x:v>MAIN ONLY</x:v>
      </x:c>
      <x:c r="P1059" s="14" t="str">
        <x:v>1224_</x:v>
      </x:c>
      <x:c r="Q1059" s="14" t="str">
        <x:v>https://mb1advancedsolutions.github.io/mb1-catalog/index.html?design=1224</x:v>
      </x:c>
      <x:c r="R1059" s="14" t="str"/>
    </x:row>
    <x:row r="1060">
      <x:c r="A1060" s="13" t="str">
        <x:v>MB1-1225</x:v>
      </x:c>
      <x:c r="B1060" s="13" t="str">
        <x:v>MB1-1225</x:v>
      </x:c>
      <x:c r="C1060" s="14" t="str">
        <x:v>jukebox</x:v>
      </x:c>
      <x:c r="D1060" s="14" t="str">
        <x:v>sports and hobbies</x:v>
      </x:c>
      <x:c r="E1060" s="14" t="str">
        <x:v>https://res.cloudinary.com/oxygre42/image/upload/f_auto,q_auto,c_pad,b_white,w_1200,h_1200/v1788350851/1225_jukebox.png</x:v>
      </x:c>
      <x:c r="F1060" s="14" t="str"/>
      <x:c r="G1060" s="14" t="str">
        <x:v>Lifestyle</x:v>
      </x:c>
      <x:c r="H1060" s="14" t="str"/>
      <x:c r="I1060" s="14" t="str">
        <x:v>Detail</x:v>
      </x:c>
      <x:c r="J1060" s="14" t="str"/>
      <x:c r="K1060" s="14" t="str">
        <x:v>Scale</x:v>
      </x:c>
      <x:c r="L1060" s="14" t="str"/>
      <x:c r="M1060" s="14" t="str">
        <x:v>Alternate</x:v>
      </x:c>
      <x:c r="N1060" s="14" t="n">
        <x:f>IF(E1060&lt;&gt;"",1,0)+IF(F1060&lt;&gt;"",1,0)+IF(H1060&lt;&gt;"",1,0)+IF(J1060&lt;&gt;"",1,0)+IF(L1060&lt;&gt;"",1,0)</x:f>
        <x:v>1</x:v>
      </x:c>
      <x:c r="O1060" s="14" t="str">
        <x:f>IF(E1060="","MISSING MAIN",IF(N1060=1,"MAIN ONLY","MULTI-PHOTO"))</x:f>
        <x:v>MAIN ONLY</x:v>
      </x:c>
      <x:c r="P1060" s="14" t="str">
        <x:v>1225_</x:v>
      </x:c>
      <x:c r="Q1060" s="14" t="str">
        <x:v>https://mb1advancedsolutions.github.io/mb1-catalog/index.html?design=1225</x:v>
      </x:c>
      <x:c r="R1060" s="14" t="str"/>
    </x:row>
    <x:row r="1061">
      <x:c r="A1061" s="13" t="str">
        <x:v>MB1-1226</x:v>
      </x:c>
      <x:c r="B1061" s="13" t="str">
        <x:v>MB1-1226</x:v>
      </x:c>
      <x:c r="C1061" s="14" t="str">
        <x:v>light house and wheel</x:v>
      </x:c>
      <x:c r="D1061" s="14" t="str">
        <x:v>lake house and nautical</x:v>
      </x:c>
      <x:c r="E1061" s="14" t="str">
        <x:v>https://res.cloudinary.com/oxygre42/image/upload/f_auto,q_auto,c_pad,b_white,w_1200,h_1200/v1788350853/1226_light_house_and_wheel.png</x:v>
      </x:c>
      <x:c r="F1061" s="14" t="str"/>
      <x:c r="G1061" s="14" t="str">
        <x:v>Lifestyle</x:v>
      </x:c>
      <x:c r="H1061" s="14" t="str"/>
      <x:c r="I1061" s="14" t="str">
        <x:v>Detail</x:v>
      </x:c>
      <x:c r="J1061" s="14" t="str"/>
      <x:c r="K1061" s="14" t="str">
        <x:v>Scale</x:v>
      </x:c>
      <x:c r="L1061" s="14" t="str"/>
      <x:c r="M1061" s="14" t="str">
        <x:v>Alternate</x:v>
      </x:c>
      <x:c r="N1061" s="14" t="n">
        <x:f>IF(E1061&lt;&gt;"",1,0)+IF(F1061&lt;&gt;"",1,0)+IF(H1061&lt;&gt;"",1,0)+IF(J1061&lt;&gt;"",1,0)+IF(L1061&lt;&gt;"",1,0)</x:f>
        <x:v>1</x:v>
      </x:c>
      <x:c r="O1061" s="14" t="str">
        <x:f>IF(E1061="","MISSING MAIN",IF(N1061=1,"MAIN ONLY","MULTI-PHOTO"))</x:f>
        <x:v>MAIN ONLY</x:v>
      </x:c>
      <x:c r="P1061" s="14" t="str">
        <x:v>1226_</x:v>
      </x:c>
      <x:c r="Q1061" s="14" t="str">
        <x:v>https://mb1advancedsolutions.github.io/mb1-catalog/index.html?design=1226</x:v>
      </x:c>
      <x:c r="R1061" s="14" t="str"/>
    </x:row>
    <x:row r="1062">
      <x:c r="A1062" s="13" t="str">
        <x:v>MB1-1227</x:v>
      </x:c>
      <x:c r="B1062" s="13" t="str">
        <x:v>MB1-1227</x:v>
      </x:c>
      <x:c r="C1062" s="14" t="str">
        <x:v>lion sugar skull</x:v>
      </x:c>
      <x:c r="D1062" s="14" t="str">
        <x:v>wildlife and outdoors</x:v>
      </x:c>
      <x:c r="E1062" s="14" t="str">
        <x:v>https://res.cloudinary.com/oxygre42/image/upload/f_auto,q_auto,c_pad,b_white,w_1200,h_1200/v1788350855/1227_lion_sugar_skull.png</x:v>
      </x:c>
      <x:c r="F1062" s="14" t="str"/>
      <x:c r="G1062" s="14" t="str">
        <x:v>Lifestyle</x:v>
      </x:c>
      <x:c r="H1062" s="14" t="str"/>
      <x:c r="I1062" s="14" t="str">
        <x:v>Detail</x:v>
      </x:c>
      <x:c r="J1062" s="14" t="str"/>
      <x:c r="K1062" s="14" t="str">
        <x:v>Scale</x:v>
      </x:c>
      <x:c r="L1062" s="14" t="str"/>
      <x:c r="M1062" s="14" t="str">
        <x:v>Alternate</x:v>
      </x:c>
      <x:c r="N1062" s="14" t="n">
        <x:f>IF(E1062&lt;&gt;"",1,0)+IF(F1062&lt;&gt;"",1,0)+IF(H1062&lt;&gt;"",1,0)+IF(J1062&lt;&gt;"",1,0)+IF(L1062&lt;&gt;"",1,0)</x:f>
        <x:v>1</x:v>
      </x:c>
      <x:c r="O1062" s="14" t="str">
        <x:f>IF(E1062="","MISSING MAIN",IF(N1062=1,"MAIN ONLY","MULTI-PHOTO"))</x:f>
        <x:v>MAIN ONLY</x:v>
      </x:c>
      <x:c r="P1062" s="14" t="str">
        <x:v>1227_</x:v>
      </x:c>
      <x:c r="Q1062" s="14" t="str">
        <x:v>https://mb1advancedsolutions.github.io/mb1-catalog/index.html?design=1227</x:v>
      </x:c>
      <x:c r="R1062" s="14" t="str"/>
    </x:row>
    <x:row r="1063">
      <x:c r="A1063" s="13" t="str">
        <x:v>MB1-1228</x:v>
      </x:c>
      <x:c r="B1063" s="13" t="str">
        <x:v>MB1-1228</x:v>
      </x:c>
      <x:c r="C1063" s="14" t="str">
        <x:v>love heart</x:v>
      </x:c>
      <x:c r="D1063" s="14" t="str">
        <x:v>home decor and inspirational</x:v>
      </x:c>
      <x:c r="E1063" s="14" t="str">
        <x:v>https://res.cloudinary.com/oxygre42/image/upload/f_auto,q_auto,c_pad,b_white,w_1200,h_1200/v1788350857/1228_love_heart.png</x:v>
      </x:c>
      <x:c r="F1063" s="14" t="str"/>
      <x:c r="G1063" s="14" t="str">
        <x:v>Lifestyle</x:v>
      </x:c>
      <x:c r="H1063" s="14" t="str"/>
      <x:c r="I1063" s="14" t="str">
        <x:v>Detail</x:v>
      </x:c>
      <x:c r="J1063" s="14" t="str"/>
      <x:c r="K1063" s="14" t="str">
        <x:v>Scale</x:v>
      </x:c>
      <x:c r="L1063" s="14" t="str"/>
      <x:c r="M1063" s="14" t="str">
        <x:v>Alternate</x:v>
      </x:c>
      <x:c r="N1063" s="14" t="n">
        <x:f>IF(E1063&lt;&gt;"",1,0)+IF(F1063&lt;&gt;"",1,0)+IF(H1063&lt;&gt;"",1,0)+IF(J1063&lt;&gt;"",1,0)+IF(L1063&lt;&gt;"",1,0)</x:f>
        <x:v>1</x:v>
      </x:c>
      <x:c r="O1063" s="14" t="str">
        <x:f>IF(E1063="","MISSING MAIN",IF(N1063=1,"MAIN ONLY","MULTI-PHOTO"))</x:f>
        <x:v>MAIN ONLY</x:v>
      </x:c>
      <x:c r="P1063" s="14" t="str">
        <x:v>1228_</x:v>
      </x:c>
      <x:c r="Q1063" s="14" t="str">
        <x:v>https://mb1advancedsolutions.github.io/mb1-catalog/index.html?design=1228</x:v>
      </x:c>
      <x:c r="R1063" s="14" t="str"/>
    </x:row>
    <x:row r="1064">
      <x:c r="A1064" s="13" t="str">
        <x:v>MB1-1229</x:v>
      </x:c>
      <x:c r="B1064" s="13" t="str">
        <x:v>MB1-1229</x:v>
      </x:c>
      <x:c r="C1064" s="14" t="str">
        <x:v>love paw</x:v>
      </x:c>
      <x:c r="D1064" s="14" t="str">
        <x:v>home decor and inspirational</x:v>
      </x:c>
      <x:c r="E1064" s="14" t="str">
        <x:v>https://res.cloudinary.com/oxygre42/image/upload/f_auto,q_auto,c_pad,b_white,w_1200,h_1200/v1788350858/1229_love_paw.png</x:v>
      </x:c>
      <x:c r="F1064" s="14" t="str"/>
      <x:c r="G1064" s="14" t="str">
        <x:v>Lifestyle</x:v>
      </x:c>
      <x:c r="H1064" s="14" t="str"/>
      <x:c r="I1064" s="14" t="str">
        <x:v>Detail</x:v>
      </x:c>
      <x:c r="J1064" s="14" t="str"/>
      <x:c r="K1064" s="14" t="str">
        <x:v>Scale</x:v>
      </x:c>
      <x:c r="L1064" s="14" t="str"/>
      <x:c r="M1064" s="14" t="str">
        <x:v>Alternate</x:v>
      </x:c>
      <x:c r="N1064" s="14" t="n">
        <x:f>IF(E1064&lt;&gt;"",1,0)+IF(F1064&lt;&gt;"",1,0)+IF(H1064&lt;&gt;"",1,0)+IF(J1064&lt;&gt;"",1,0)+IF(L1064&lt;&gt;"",1,0)</x:f>
        <x:v>1</x:v>
      </x:c>
      <x:c r="O1064" s="14" t="str">
        <x:f>IF(E1064="","MISSING MAIN",IF(N1064=1,"MAIN ONLY","MULTI-PHOTO"))</x:f>
        <x:v>MAIN ONLY</x:v>
      </x:c>
      <x:c r="P1064" s="14" t="str">
        <x:v>1229_</x:v>
      </x:c>
      <x:c r="Q1064" s="14" t="str">
        <x:v>https://mb1advancedsolutions.github.io/mb1-catalog/index.html?design=1229</x:v>
      </x:c>
      <x:c r="R1064" s="14" t="str"/>
    </x:row>
    <x:row r="1065">
      <x:c r="A1065" s="13" t="str">
        <x:v>MB1-1230</x:v>
      </x:c>
      <x:c r="B1065" s="13" t="str">
        <x:v>MB1-1230</x:v>
      </x:c>
      <x:c r="C1065" s="14" t="str">
        <x:v>love quote</x:v>
      </x:c>
      <x:c r="D1065" s="14" t="str">
        <x:v>home decor and inspirational</x:v>
      </x:c>
      <x:c r="E1065" s="14" t="str">
        <x:v>https://res.cloudinary.com/oxygre42/image/upload/f_auto,q_auto,c_pad,b_white,w_1200,h_1200/v1788350860/1230_love_quote.png</x:v>
      </x:c>
      <x:c r="F1065" s="14" t="str"/>
      <x:c r="G1065" s="14" t="str">
        <x:v>Lifestyle</x:v>
      </x:c>
      <x:c r="H1065" s="14" t="str"/>
      <x:c r="I1065" s="14" t="str">
        <x:v>Detail</x:v>
      </x:c>
      <x:c r="J1065" s="14" t="str"/>
      <x:c r="K1065" s="14" t="str">
        <x:v>Scale</x:v>
      </x:c>
      <x:c r="L1065" s="14" t="str"/>
      <x:c r="M1065" s="14" t="str">
        <x:v>Alternate</x:v>
      </x:c>
      <x:c r="N1065" s="14" t="n">
        <x:f>IF(E1065&lt;&gt;"",1,0)+IF(F1065&lt;&gt;"",1,0)+IF(H1065&lt;&gt;"",1,0)+IF(J1065&lt;&gt;"",1,0)+IF(L1065&lt;&gt;"",1,0)</x:f>
        <x:v>1</x:v>
      </x:c>
      <x:c r="O1065" s="14" t="str">
        <x:f>IF(E1065="","MISSING MAIN",IF(N1065=1,"MAIN ONLY","MULTI-PHOTO"))</x:f>
        <x:v>MAIN ONLY</x:v>
      </x:c>
      <x:c r="P1065" s="14" t="str">
        <x:v>1230_</x:v>
      </x:c>
      <x:c r="Q1065" s="14" t="str">
        <x:v>https://mb1advancedsolutions.github.io/mb1-catalog/index.html?design=1230</x:v>
      </x:c>
      <x:c r="R1065" s="14" t="str"/>
    </x:row>
    <x:row r="1066">
      <x:c r="A1066" s="13" t="str">
        <x:v>MB1-1231</x:v>
      </x:c>
      <x:c r="B1066" s="13" t="str">
        <x:v>MB1-1231</x:v>
      </x:c>
      <x:c r="C1066" s="14" t="str">
        <x:v>made in usa</x:v>
      </x:c>
      <x:c r="D1066" s="14" t="str">
        <x:v>seasonal and holiday</x:v>
      </x:c>
      <x:c r="E1066" s="14" t="str">
        <x:v>https://res.cloudinary.com/oxygre42/image/upload/f_auto,q_auto,c_pad,b_white,w_1200,h_1200/v1788350862/1231_made_in_usa.png</x:v>
      </x:c>
      <x:c r="F1066" s="14" t="str"/>
      <x:c r="G1066" s="14" t="str">
        <x:v>Lifestyle</x:v>
      </x:c>
      <x:c r="H1066" s="14" t="str"/>
      <x:c r="I1066" s="14" t="str">
        <x:v>Detail</x:v>
      </x:c>
      <x:c r="J1066" s="14" t="str"/>
      <x:c r="K1066" s="14" t="str">
        <x:v>Scale</x:v>
      </x:c>
      <x:c r="L1066" s="14" t="str"/>
      <x:c r="M1066" s="14" t="str">
        <x:v>Alternate</x:v>
      </x:c>
      <x:c r="N1066" s="14" t="n">
        <x:f>IF(E1066&lt;&gt;"",1,0)+IF(F1066&lt;&gt;"",1,0)+IF(H1066&lt;&gt;"",1,0)+IF(J1066&lt;&gt;"",1,0)+IF(L1066&lt;&gt;"",1,0)</x:f>
        <x:v>1</x:v>
      </x:c>
      <x:c r="O1066" s="14" t="str">
        <x:f>IF(E1066="","MISSING MAIN",IF(N1066=1,"MAIN ONLY","MULTI-PHOTO"))</x:f>
        <x:v>MAIN ONLY</x:v>
      </x:c>
      <x:c r="P1066" s="14" t="str">
        <x:v>1231_</x:v>
      </x:c>
      <x:c r="Q1066" s="14" t="str">
        <x:v>https://mb1advancedsolutions.github.io/mb1-catalog/index.html?design=1231</x:v>
      </x:c>
      <x:c r="R1066" s="14" t="str"/>
    </x:row>
    <x:row r="1067">
      <x:c r="A1067" s="13" t="str">
        <x:v>MB1-1232</x:v>
      </x:c>
      <x:c r="B1067" s="13" t="str">
        <x:v>MB1-1232</x:v>
      </x:c>
      <x:c r="C1067" s="14" t="str">
        <x:v>mistletoe</x:v>
      </x:c>
      <x:c r="D1067" s="14" t="str">
        <x:v>seasonal and holiday</x:v>
      </x:c>
      <x:c r="E1067" s="14" t="str">
        <x:v>https://res.cloudinary.com/oxygre42/image/upload/f_auto,q_auto,c_pad,b_white,w_1200,h_1200/v1788350864/1232_mistletoe.png</x:v>
      </x:c>
      <x:c r="F1067" s="14" t="str"/>
      <x:c r="G1067" s="14" t="str">
        <x:v>Lifestyle</x:v>
      </x:c>
      <x:c r="H1067" s="14" t="str"/>
      <x:c r="I1067" s="14" t="str">
        <x:v>Detail</x:v>
      </x:c>
      <x:c r="J1067" s="14" t="str"/>
      <x:c r="K1067" s="14" t="str">
        <x:v>Scale</x:v>
      </x:c>
      <x:c r="L1067" s="14" t="str"/>
      <x:c r="M1067" s="14" t="str">
        <x:v>Alternate</x:v>
      </x:c>
      <x:c r="N1067" s="14" t="n">
        <x:f>IF(E1067&lt;&gt;"",1,0)+IF(F1067&lt;&gt;"",1,0)+IF(H1067&lt;&gt;"",1,0)+IF(J1067&lt;&gt;"",1,0)+IF(L1067&lt;&gt;"",1,0)</x:f>
        <x:v>1</x:v>
      </x:c>
      <x:c r="O1067" s="14" t="str">
        <x:f>IF(E1067="","MISSING MAIN",IF(N1067=1,"MAIN ONLY","MULTI-PHOTO"))</x:f>
        <x:v>MAIN ONLY</x:v>
      </x:c>
      <x:c r="P1067" s="14" t="str">
        <x:v>1232_</x:v>
      </x:c>
      <x:c r="Q1067" s="14" t="str">
        <x:v>https://mb1advancedsolutions.github.io/mb1-catalog/index.html?design=1232</x:v>
      </x:c>
      <x:c r="R1067" s="14" t="str"/>
    </x:row>
    <x:row r="1068">
      <x:c r="A1068" s="13" t="str">
        <x:v>MB1-1233</x:v>
      </x:c>
      <x:c r="B1068" s="13" t="str">
        <x:v>MB1-1233</x:v>
      </x:c>
      <x:c r="C1068" s="14" t="str">
        <x:v>monogram Round Fleur</x:v>
      </x:c>
      <x:c r="D1068" s="14" t="str">
        <x:v>family &amp; name</x:v>
      </x:c>
      <x:c r="E1068" s="14" t="str">
        <x:v>https://res.cloudinary.com/oxygre42/image/upload/f_auto,q_auto,c_pad,b_white,w_1200,h_1200/v1788350866/1233_monogram_Round_Fleur.png</x:v>
      </x:c>
      <x:c r="F1068" s="14" t="str"/>
      <x:c r="G1068" s="14" t="str">
        <x:v>Lifestyle</x:v>
      </x:c>
      <x:c r="H1068" s="14" t="str"/>
      <x:c r="I1068" s="14" t="str">
        <x:v>Detail</x:v>
      </x:c>
      <x:c r="J1068" s="14" t="str"/>
      <x:c r="K1068" s="14" t="str">
        <x:v>Scale</x:v>
      </x:c>
      <x:c r="L1068" s="14" t="str"/>
      <x:c r="M1068" s="14" t="str">
        <x:v>Alternate</x:v>
      </x:c>
      <x:c r="N1068" s="14" t="n">
        <x:f>IF(E1068&lt;&gt;"",1,0)+IF(F1068&lt;&gt;"",1,0)+IF(H1068&lt;&gt;"",1,0)+IF(J1068&lt;&gt;"",1,0)+IF(L1068&lt;&gt;"",1,0)</x:f>
        <x:v>1</x:v>
      </x:c>
      <x:c r="O1068" s="14" t="str">
        <x:f>IF(E1068="","MISSING MAIN",IF(N1068=1,"MAIN ONLY","MULTI-PHOTO"))</x:f>
        <x:v>MAIN ONLY</x:v>
      </x:c>
      <x:c r="P1068" s="14" t="str">
        <x:v>1233_</x:v>
      </x:c>
      <x:c r="Q1068" s="14" t="str">
        <x:v>https://mb1advancedsolutions.github.io/mb1-catalog/index.html?design=1233</x:v>
      </x:c>
      <x:c r="R1068" s="14" t="str"/>
    </x:row>
    <x:row r="1069">
      <x:c r="A1069" s="13" t="str">
        <x:v>MB1-1234</x:v>
      </x:c>
      <x:c r="B1069" s="13" t="str">
        <x:v>MB1-1234</x:v>
      </x:c>
      <x:c r="C1069" s="14" t="str">
        <x:v>motor home with name plaque</x:v>
      </x:c>
      <x:c r="D1069" s="14" t="str">
        <x:v>family &amp; name</x:v>
      </x:c>
      <x:c r="E1069" s="14" t="str">
        <x:v>https://res.cloudinary.com/oxygre42/image/upload/f_auto,q_auto,c_pad,b_white,w_1200,h_1200/v1788350868/1234_motor_home_with_name_plaque.png</x:v>
      </x:c>
      <x:c r="F1069" s="14" t="str"/>
      <x:c r="G1069" s="14" t="str">
        <x:v>Lifestyle</x:v>
      </x:c>
      <x:c r="H1069" s="14" t="str"/>
      <x:c r="I1069" s="14" t="str">
        <x:v>Detail</x:v>
      </x:c>
      <x:c r="J1069" s="14" t="str"/>
      <x:c r="K1069" s="14" t="str">
        <x:v>Scale</x:v>
      </x:c>
      <x:c r="L1069" s="14" t="str"/>
      <x:c r="M1069" s="14" t="str">
        <x:v>Alternate</x:v>
      </x:c>
      <x:c r="N1069" s="14" t="n">
        <x:f>IF(E1069&lt;&gt;"",1,0)+IF(F1069&lt;&gt;"",1,0)+IF(H1069&lt;&gt;"",1,0)+IF(J1069&lt;&gt;"",1,0)+IF(L1069&lt;&gt;"",1,0)</x:f>
        <x:v>1</x:v>
      </x:c>
      <x:c r="O1069" s="14" t="str">
        <x:f>IF(E1069="","MISSING MAIN",IF(N1069=1,"MAIN ONLY","MULTI-PHOTO"))</x:f>
        <x:v>MAIN ONLY</x:v>
      </x:c>
      <x:c r="P1069" s="14" t="str">
        <x:v>1234_</x:v>
      </x:c>
      <x:c r="Q1069" s="14" t="str">
        <x:v>https://mb1advancedsolutions.github.io/mb1-catalog/index.html?design=1234</x:v>
      </x:c>
      <x:c r="R1069" s="14" t="str"/>
    </x:row>
    <x:row r="1070">
      <x:c r="A1070" s="13" t="str">
        <x:v>MB1-1236</x:v>
      </x:c>
      <x:c r="B1070" s="13" t="str">
        <x:v>MB1-1236</x:v>
      </x:c>
      <x:c r="C1070" s="14" t="str">
        <x:v>north pole post</x:v>
      </x:c>
      <x:c r="D1070" s="14" t="str">
        <x:v>seasonal and holiday</x:v>
      </x:c>
      <x:c r="E1070" s="14" t="str">
        <x:v>https://res.cloudinary.com/oxygre42/image/upload/f_auto,q_auto,c_pad,b_white,w_1200,h_1200/v1788350870/1236_north_pole_post.png</x:v>
      </x:c>
      <x:c r="F1070" s="14" t="str"/>
      <x:c r="G1070" s="14" t="str">
        <x:v>Lifestyle</x:v>
      </x:c>
      <x:c r="H1070" s="14" t="str"/>
      <x:c r="I1070" s="14" t="str">
        <x:v>Detail</x:v>
      </x:c>
      <x:c r="J1070" s="14" t="str"/>
      <x:c r="K1070" s="14" t="str">
        <x:v>Scale</x:v>
      </x:c>
      <x:c r="L1070" s="14" t="str"/>
      <x:c r="M1070" s="14" t="str">
        <x:v>Alternate</x:v>
      </x:c>
      <x:c r="N1070" s="14" t="n">
        <x:f>IF(E1070&lt;&gt;"",1,0)+IF(F1070&lt;&gt;"",1,0)+IF(H1070&lt;&gt;"",1,0)+IF(J1070&lt;&gt;"",1,0)+IF(L1070&lt;&gt;"",1,0)</x:f>
        <x:v>1</x:v>
      </x:c>
      <x:c r="O1070" s="14" t="str">
        <x:f>IF(E1070="","MISSING MAIN",IF(N1070=1,"MAIN ONLY","MULTI-PHOTO"))</x:f>
        <x:v>MAIN ONLY</x:v>
      </x:c>
      <x:c r="P1070" s="14" t="str">
        <x:v>1236_</x:v>
      </x:c>
      <x:c r="Q1070" s="14" t="str">
        <x:v>https://mb1advancedsolutions.github.io/mb1-catalog/index.html?design=1236</x:v>
      </x:c>
      <x:c r="R1070" s="14" t="str"/>
    </x:row>
    <x:row r="1071">
      <x:c r="A1071" s="13" t="str">
        <x:v>MB1-1237</x:v>
      </x:c>
      <x:c r="B1071" s="13" t="str">
        <x:v>MB1-1237</x:v>
      </x:c>
      <x:c r="C1071" s="14" t="str">
        <x:v>olive tree of life</x:v>
      </x:c>
      <x:c r="D1071" s="14" t="str">
        <x:v>home decor and inspirational</x:v>
      </x:c>
      <x:c r="E1071" s="14" t="str">
        <x:v>https://res.cloudinary.com/oxygre42/image/upload/f_auto,q_auto,c_pad,b_white,w_1200,h_1200/v1788350872/1237_olive_tree_of_life.png</x:v>
      </x:c>
      <x:c r="F1071" s="14" t="str"/>
      <x:c r="G1071" s="14" t="str">
        <x:v>Lifestyle</x:v>
      </x:c>
      <x:c r="H1071" s="14" t="str"/>
      <x:c r="I1071" s="14" t="str">
        <x:v>Detail</x:v>
      </x:c>
      <x:c r="J1071" s="14" t="str"/>
      <x:c r="K1071" s="14" t="str">
        <x:v>Scale</x:v>
      </x:c>
      <x:c r="L1071" s="14" t="str"/>
      <x:c r="M1071" s="14" t="str">
        <x:v>Alternate</x:v>
      </x:c>
      <x:c r="N1071" s="14" t="n">
        <x:f>IF(E1071&lt;&gt;"",1,0)+IF(F1071&lt;&gt;"",1,0)+IF(H1071&lt;&gt;"",1,0)+IF(J1071&lt;&gt;"",1,0)+IF(L1071&lt;&gt;"",1,0)</x:f>
        <x:v>1</x:v>
      </x:c>
      <x:c r="O1071" s="14" t="str">
        <x:f>IF(E1071="","MISSING MAIN",IF(N1071=1,"MAIN ONLY","MULTI-PHOTO"))</x:f>
        <x:v>MAIN ONLY</x:v>
      </x:c>
      <x:c r="P1071" s="14" t="str">
        <x:v>1237_</x:v>
      </x:c>
      <x:c r="Q1071" s="14" t="str">
        <x:v>https://mb1advancedsolutions.github.io/mb1-catalog/index.html?design=1237</x:v>
      </x:c>
      <x:c r="R1071" s="14" t="str"/>
    </x:row>
    <x:row r="1072">
      <x:c r="A1072" s="13" t="str">
        <x:v>MB1-1238</x:v>
      </x:c>
      <x:c r="B1072" s="13" t="str">
        <x:v>MB1-1238</x:v>
      </x:c>
      <x:c r="C1072" s="14" t="str">
        <x:v>popcorn</x:v>
      </x:c>
      <x:c r="D1072" s="14" t="str">
        <x:v>sports and hobbies</x:v>
      </x:c>
      <x:c r="E1072" s="14" t="str">
        <x:v>https://res.cloudinary.com/oxygre42/image/upload/f_auto,q_auto,c_pad,b_white,w_1200,h_1200/v1788350874/1238_popcorn.png</x:v>
      </x:c>
      <x:c r="F1072" s="14" t="str"/>
      <x:c r="G1072" s="14" t="str">
        <x:v>Lifestyle</x:v>
      </x:c>
      <x:c r="H1072" s="14" t="str"/>
      <x:c r="I1072" s="14" t="str">
        <x:v>Detail</x:v>
      </x:c>
      <x:c r="J1072" s="14" t="str"/>
      <x:c r="K1072" s="14" t="str">
        <x:v>Scale</x:v>
      </x:c>
      <x:c r="L1072" s="14" t="str"/>
      <x:c r="M1072" s="14" t="str">
        <x:v>Alternate</x:v>
      </x:c>
      <x:c r="N1072" s="14" t="n">
        <x:f>IF(E1072&lt;&gt;"",1,0)+IF(F1072&lt;&gt;"",1,0)+IF(H1072&lt;&gt;"",1,0)+IF(J1072&lt;&gt;"",1,0)+IF(L1072&lt;&gt;"",1,0)</x:f>
        <x:v>1</x:v>
      </x:c>
      <x:c r="O1072" s="14" t="str">
        <x:f>IF(E1072="","MISSING MAIN",IF(N1072=1,"MAIN ONLY","MULTI-PHOTO"))</x:f>
        <x:v>MAIN ONLY</x:v>
      </x:c>
      <x:c r="P1072" s="14" t="str">
        <x:v>1238_</x:v>
      </x:c>
      <x:c r="Q1072" s="14" t="str">
        <x:v>https://mb1advancedsolutions.github.io/mb1-catalog/index.html?design=1238</x:v>
      </x:c>
      <x:c r="R1072" s="14" t="str"/>
    </x:row>
    <x:row r="1073">
      <x:c r="A1073" s="13" t="str">
        <x:v>MB1-1239</x:v>
      </x:c>
      <x:c r="B1073" s="13" t="str">
        <x:v>MB1-1239</x:v>
      </x:c>
      <x:c r="C1073" s="14" t="str">
        <x:v>quarter</x:v>
      </x:c>
      <x:c r="D1073" s="14" t="str">
        <x:v>sports and hobbies</x:v>
      </x:c>
      <x:c r="E1073" s="14" t="str">
        <x:v>https://res.cloudinary.com/oxygre42/image/upload/f_auto,q_auto,c_pad,b_white,w_1200,h_1200/v1788350875/1239_quarter.png</x:v>
      </x:c>
      <x:c r="F1073" s="14" t="str"/>
      <x:c r="G1073" s="14" t="str">
        <x:v>Lifestyle</x:v>
      </x:c>
      <x:c r="H1073" s="14" t="str"/>
      <x:c r="I1073" s="14" t="str">
        <x:v>Detail</x:v>
      </x:c>
      <x:c r="J1073" s="14" t="str"/>
      <x:c r="K1073" s="14" t="str">
        <x:v>Scale</x:v>
      </x:c>
      <x:c r="L1073" s="14" t="str"/>
      <x:c r="M1073" s="14" t="str">
        <x:v>Alternate</x:v>
      </x:c>
      <x:c r="N1073" s="14" t="n">
        <x:f>IF(E1073&lt;&gt;"",1,0)+IF(F1073&lt;&gt;"",1,0)+IF(H1073&lt;&gt;"",1,0)+IF(J1073&lt;&gt;"",1,0)+IF(L1073&lt;&gt;"",1,0)</x:f>
        <x:v>1</x:v>
      </x:c>
      <x:c r="O1073" s="14" t="str">
        <x:f>IF(E1073="","MISSING MAIN",IF(N1073=1,"MAIN ONLY","MULTI-PHOTO"))</x:f>
        <x:v>MAIN ONLY</x:v>
      </x:c>
      <x:c r="P1073" s="14" t="str">
        <x:v>1239_</x:v>
      </x:c>
      <x:c r="Q1073" s="14" t="str">
        <x:v>https://mb1advancedsolutions.github.io/mb1-catalog/index.html?design=1239</x:v>
      </x:c>
      <x:c r="R1073" s="14" t="str"/>
    </x:row>
    <x:row r="1074">
      <x:c r="A1074" s="13" t="str">
        <x:v>MB1-1240</x:v>
      </x:c>
      <x:c r="B1074" s="13" t="str">
        <x:v>MB1-1240</x:v>
      </x:c>
      <x:c r="C1074" s="14" t="str">
        <x:v>reindeer</x:v>
      </x:c>
      <x:c r="D1074" s="14" t="str">
        <x:v>seasonal and holiday</x:v>
      </x:c>
      <x:c r="E1074" s="14" t="str">
        <x:v>https://res.cloudinary.com/oxygre42/image/upload/f_auto,q_auto,c_pad,b_white,w_1200,h_1200/v1788350877/1240_reindeer.png</x:v>
      </x:c>
      <x:c r="F1074" s="14" t="str"/>
      <x:c r="G1074" s="14" t="str">
        <x:v>Lifestyle</x:v>
      </x:c>
      <x:c r="H1074" s="14" t="str"/>
      <x:c r="I1074" s="14" t="str">
        <x:v>Detail</x:v>
      </x:c>
      <x:c r="J1074" s="14" t="str"/>
      <x:c r="K1074" s="14" t="str">
        <x:v>Scale</x:v>
      </x:c>
      <x:c r="L1074" s="14" t="str"/>
      <x:c r="M1074" s="14" t="str">
        <x:v>Alternate</x:v>
      </x:c>
      <x:c r="N1074" s="14" t="n">
        <x:f>IF(E1074&lt;&gt;"",1,0)+IF(F1074&lt;&gt;"",1,0)+IF(H1074&lt;&gt;"",1,0)+IF(J1074&lt;&gt;"",1,0)+IF(L1074&lt;&gt;"",1,0)</x:f>
        <x:v>1</x:v>
      </x:c>
      <x:c r="O1074" s="14" t="str">
        <x:f>IF(E1074="","MISSING MAIN",IF(N1074=1,"MAIN ONLY","MULTI-PHOTO"))</x:f>
        <x:v>MAIN ONLY</x:v>
      </x:c>
      <x:c r="P1074" s="14" t="str">
        <x:v>1240_</x:v>
      </x:c>
      <x:c r="Q1074" s="14" t="str">
        <x:v>https://mb1advancedsolutions.github.io/mb1-catalog/index.html?design=1240</x:v>
      </x:c>
      <x:c r="R1074" s="14" t="str"/>
    </x:row>
    <x:row r="1075">
      <x:c r="A1075" s="13" t="str">
        <x:v>MB1-1241</x:v>
      </x:c>
      <x:c r="B1075" s="13" t="str">
        <x:v>MB1-1241</x:v>
      </x:c>
      <x:c r="C1075" s="14" t="str">
        <x:v>rooster wind vane</x:v>
      </x:c>
      <x:c r="D1075" s="14" t="str">
        <x:v>farm and western</x:v>
      </x:c>
      <x:c r="E1075" s="14" t="str">
        <x:v>https://res.cloudinary.com/oxygre42/image/upload/f_auto,q_auto,c_pad,b_white,w_1200,h_1200/v1788350879/1241_rooster_wind_vane.png</x:v>
      </x:c>
      <x:c r="F1075" s="14" t="str"/>
      <x:c r="G1075" s="14" t="str">
        <x:v>Lifestyle</x:v>
      </x:c>
      <x:c r="H1075" s="14" t="str"/>
      <x:c r="I1075" s="14" t="str">
        <x:v>Detail</x:v>
      </x:c>
      <x:c r="J1075" s="14" t="str"/>
      <x:c r="K1075" s="14" t="str">
        <x:v>Scale</x:v>
      </x:c>
      <x:c r="L1075" s="14" t="str"/>
      <x:c r="M1075" s="14" t="str">
        <x:v>Alternate</x:v>
      </x:c>
      <x:c r="N1075" s="14" t="n">
        <x:f>IF(E1075&lt;&gt;"",1,0)+IF(F1075&lt;&gt;"",1,0)+IF(H1075&lt;&gt;"",1,0)+IF(J1075&lt;&gt;"",1,0)+IF(L1075&lt;&gt;"",1,0)</x:f>
        <x:v>1</x:v>
      </x:c>
      <x:c r="O1075" s="14" t="str">
        <x:f>IF(E1075="","MISSING MAIN",IF(N1075=1,"MAIN ONLY","MULTI-PHOTO"))</x:f>
        <x:v>MAIN ONLY</x:v>
      </x:c>
      <x:c r="P1075" s="14" t="str">
        <x:v>1241_</x:v>
      </x:c>
      <x:c r="Q1075" s="14" t="str">
        <x:v>https://mb1advancedsolutions.github.io/mb1-catalog/index.html?design=1241</x:v>
      </x:c>
      <x:c r="R1075" s="14" t="str"/>
    </x:row>
    <x:row r="1076">
      <x:c r="A1076" s="13" t="str">
        <x:v>MB1-1242</x:v>
      </x:c>
      <x:c r="B1076" s="13" t="str">
        <x:v>MB1-1242</x:v>
      </x:c>
      <x:c r="C1076" s="14" t="str">
        <x:v>scroll monogram</x:v>
      </x:c>
      <x:c r="D1076" s="14" t="str">
        <x:v>family &amp; name</x:v>
      </x:c>
      <x:c r="E1076" s="14" t="str">
        <x:v>https://res.cloudinary.com/oxygre42/image/upload/f_auto,q_auto,c_pad,b_white,w_1200,h_1200/v1788350881/1242_scroll_monogram.png</x:v>
      </x:c>
      <x:c r="F1076" s="14" t="str"/>
      <x:c r="G1076" s="14" t="str">
        <x:v>Lifestyle</x:v>
      </x:c>
      <x:c r="H1076" s="14" t="str"/>
      <x:c r="I1076" s="14" t="str">
        <x:v>Detail</x:v>
      </x:c>
      <x:c r="J1076" s="14" t="str"/>
      <x:c r="K1076" s="14" t="str">
        <x:v>Scale</x:v>
      </x:c>
      <x:c r="L1076" s="14" t="str"/>
      <x:c r="M1076" s="14" t="str">
        <x:v>Alternate</x:v>
      </x:c>
      <x:c r="N1076" s="14" t="n">
        <x:f>IF(E1076&lt;&gt;"",1,0)+IF(F1076&lt;&gt;"",1,0)+IF(H1076&lt;&gt;"",1,0)+IF(J1076&lt;&gt;"",1,0)+IF(L1076&lt;&gt;"",1,0)</x:f>
        <x:v>1</x:v>
      </x:c>
      <x:c r="O1076" s="14" t="str">
        <x:f>IF(E1076="","MISSING MAIN",IF(N1076=1,"MAIN ONLY","MULTI-PHOTO"))</x:f>
        <x:v>MAIN ONLY</x:v>
      </x:c>
      <x:c r="P1076" s="14" t="str">
        <x:v>1242_</x:v>
      </x:c>
      <x:c r="Q1076" s="14" t="str">
        <x:v>https://mb1advancedsolutions.github.io/mb1-catalog/index.html?design=1242</x:v>
      </x:c>
      <x:c r="R1076" s="14" t="str"/>
    </x:row>
    <x:row r="1077">
      <x:c r="A1077" s="13" t="str">
        <x:v>MB1-1243</x:v>
      </x:c>
      <x:c r="B1077" s="13" t="str">
        <x:v>MB1-1243</x:v>
      </x:c>
      <x:c r="C1077" s="14" t="str">
        <x:v>sugar bull skull</x:v>
      </x:c>
      <x:c r="D1077" s="14" t="str">
        <x:v>farm and western</x:v>
      </x:c>
      <x:c r="E1077" s="14" t="str">
        <x:v>https://res.cloudinary.com/oxygre42/image/upload/f_auto,q_auto,c_pad,b_white,w_1200,h_1200/v1788350883/1243_sugar_bull_skull.png</x:v>
      </x:c>
      <x:c r="F1077" s="14" t="str"/>
      <x:c r="G1077" s="14" t="str">
        <x:v>Lifestyle</x:v>
      </x:c>
      <x:c r="H1077" s="14" t="str"/>
      <x:c r="I1077" s="14" t="str">
        <x:v>Detail</x:v>
      </x:c>
      <x:c r="J1077" s="14" t="str"/>
      <x:c r="K1077" s="14" t="str">
        <x:v>Scale</x:v>
      </x:c>
      <x:c r="L1077" s="14" t="str"/>
      <x:c r="M1077" s="14" t="str">
        <x:v>Alternate</x:v>
      </x:c>
      <x:c r="N1077" s="14" t="n">
        <x:f>IF(E1077&lt;&gt;"",1,0)+IF(F1077&lt;&gt;"",1,0)+IF(H1077&lt;&gt;"",1,0)+IF(J1077&lt;&gt;"",1,0)+IF(L1077&lt;&gt;"",1,0)</x:f>
        <x:v>1</x:v>
      </x:c>
      <x:c r="O1077" s="14" t="str">
        <x:f>IF(E1077="","MISSING MAIN",IF(N1077=1,"MAIN ONLY","MULTI-PHOTO"))</x:f>
        <x:v>MAIN ONLY</x:v>
      </x:c>
      <x:c r="P1077" s="14" t="str">
        <x:v>1243_</x:v>
      </x:c>
      <x:c r="Q1077" s="14" t="str">
        <x:v>https://mb1advancedsolutions.github.io/mb1-catalog/index.html?design=1243</x:v>
      </x:c>
      <x:c r="R1077" s="14" t="str"/>
    </x:row>
    <x:row r="1078">
      <x:c r="A1078" s="13" t="str">
        <x:v>MB1-1245</x:v>
      </x:c>
      <x:c r="B1078" s="13" t="str">
        <x:v>MB1-1245</x:v>
      </x:c>
      <x:c r="C1078" s="14" t="str">
        <x:v>walleye Hunter</x:v>
      </x:c>
      <x:c r="D1078" s="14" t="str">
        <x:v>sports and hobbies</x:v>
      </x:c>
      <x:c r="E1078" s="14" t="str">
        <x:v>https://res.cloudinary.com/oxygre42/image/upload/f_auto,q_auto,c_pad,b_white,w_1200,h_1200/v1788350885/1245_walleye_Hunter.png</x:v>
      </x:c>
      <x:c r="F1078" s="14" t="str"/>
      <x:c r="G1078" s="14" t="str">
        <x:v>Lifestyle</x:v>
      </x:c>
      <x:c r="H1078" s="14" t="str"/>
      <x:c r="I1078" s="14" t="str">
        <x:v>Detail</x:v>
      </x:c>
      <x:c r="J1078" s="14" t="str"/>
      <x:c r="K1078" s="14" t="str">
        <x:v>Scale</x:v>
      </x:c>
      <x:c r="L1078" s="14" t="str"/>
      <x:c r="M1078" s="14" t="str">
        <x:v>Alternate</x:v>
      </x:c>
      <x:c r="N1078" s="14" t="n">
        <x:f>IF(E1078&lt;&gt;"",1,0)+IF(F1078&lt;&gt;"",1,0)+IF(H1078&lt;&gt;"",1,0)+IF(J1078&lt;&gt;"",1,0)+IF(L1078&lt;&gt;"",1,0)</x:f>
        <x:v>1</x:v>
      </x:c>
      <x:c r="O1078" s="14" t="str">
        <x:f>IF(E1078="","MISSING MAIN",IF(N1078=1,"MAIN ONLY","MULTI-PHOTO"))</x:f>
        <x:v>MAIN ONLY</x:v>
      </x:c>
      <x:c r="P1078" s="14" t="str">
        <x:v>1245_</x:v>
      </x:c>
      <x:c r="Q1078" s="14" t="str">
        <x:v>https://mb1advancedsolutions.github.io/mb1-catalog/index.html?design=1245</x:v>
      </x:c>
      <x:c r="R1078" s="14" t="str"/>
    </x:row>
    <x:row r="1079">
      <x:c r="A1079" s="13" t="str">
        <x:v>MB1-1246</x:v>
      </x:c>
      <x:c r="B1079" s="13" t="str">
        <x:v>MB1-1246</x:v>
      </x:c>
      <x:c r="C1079" s="14" t="str">
        <x:v>welding helmet 2</x:v>
      </x:c>
      <x:c r="D1079" s="14" t="str">
        <x:v>sports and hobbies</x:v>
      </x:c>
      <x:c r="E1079" s="14" t="str">
        <x:v>https://res.cloudinary.com/oxygre42/image/upload/f_auto,q_auto,c_pad,b_white,w_1200,h_1200/v1788350887/1246_welding_helmet_2.png</x:v>
      </x:c>
      <x:c r="F1079" s="14" t="str"/>
      <x:c r="G1079" s="14" t="str">
        <x:v>Lifestyle</x:v>
      </x:c>
      <x:c r="H1079" s="14" t="str"/>
      <x:c r="I1079" s="14" t="str">
        <x:v>Detail</x:v>
      </x:c>
      <x:c r="J1079" s="14" t="str"/>
      <x:c r="K1079" s="14" t="str">
        <x:v>Scale</x:v>
      </x:c>
      <x:c r="L1079" s="14" t="str"/>
      <x:c r="M1079" s="14" t="str">
        <x:v>Alternate</x:v>
      </x:c>
      <x:c r="N1079" s="14" t="n">
        <x:f>IF(E1079&lt;&gt;"",1,0)+IF(F1079&lt;&gt;"",1,0)+IF(H1079&lt;&gt;"",1,0)+IF(J1079&lt;&gt;"",1,0)+IF(L1079&lt;&gt;"",1,0)</x:f>
        <x:v>1</x:v>
      </x:c>
      <x:c r="O1079" s="14" t="str">
        <x:f>IF(E1079="","MISSING MAIN",IF(N1079=1,"MAIN ONLY","MULTI-PHOTO"))</x:f>
        <x:v>MAIN ONLY</x:v>
      </x:c>
      <x:c r="P1079" s="14" t="str">
        <x:v>1246_</x:v>
      </x:c>
      <x:c r="Q1079" s="14" t="str">
        <x:v>https://mb1advancedsolutions.github.io/mb1-catalog/index.html?design=1246</x:v>
      </x:c>
      <x:c r="R1079" s="14" t="str"/>
    </x:row>
    <x:row r="1080">
      <x:c r="A1080" s="13" t="str">
        <x:v>MB1-1247</x:v>
      </x:c>
      <x:c r="B1080" s="13" t="str">
        <x:v>MB1-1247</x:v>
      </x:c>
      <x:c r="C1080" s="14" t="str">
        <x:v>windmill monogram</x:v>
      </x:c>
      <x:c r="D1080" s="14" t="str">
        <x:v>family &amp; name</x:v>
      </x:c>
      <x:c r="E1080" s="14" t="str">
        <x:v>https://res.cloudinary.com/oxygre42/image/upload/f_auto,q_auto,c_pad,b_white,w_1200,h_1200/v1788350888/1247_windmill_monogram.png</x:v>
      </x:c>
      <x:c r="F1080" s="14" t="str"/>
      <x:c r="G1080" s="14" t="str">
        <x:v>Lifestyle</x:v>
      </x:c>
      <x:c r="H1080" s="14" t="str"/>
      <x:c r="I1080" s="14" t="str">
        <x:v>Detail</x:v>
      </x:c>
      <x:c r="J1080" s="14" t="str"/>
      <x:c r="K1080" s="14" t="str">
        <x:v>Scale</x:v>
      </x:c>
      <x:c r="L1080" s="14" t="str"/>
      <x:c r="M1080" s="14" t="str">
        <x:v>Alternate</x:v>
      </x:c>
      <x:c r="N1080" s="14" t="n">
        <x:f>IF(E1080&lt;&gt;"",1,0)+IF(F1080&lt;&gt;"",1,0)+IF(H1080&lt;&gt;"",1,0)+IF(J1080&lt;&gt;"",1,0)+IF(L1080&lt;&gt;"",1,0)</x:f>
        <x:v>1</x:v>
      </x:c>
      <x:c r="O1080" s="14" t="str">
        <x:f>IF(E1080="","MISSING MAIN",IF(N1080=1,"MAIN ONLY","MULTI-PHOTO"))</x:f>
        <x:v>MAIN ONLY</x:v>
      </x:c>
      <x:c r="P1080" s="14" t="str">
        <x:v>1247_</x:v>
      </x:c>
      <x:c r="Q1080" s="14" t="str">
        <x:v>https://mb1advancedsolutions.github.io/mb1-catalog/index.html?design=1247</x:v>
      </x:c>
      <x:c r="R1080" s="14" t="str"/>
    </x:row>
    <x:row r="1081">
      <x:c r="A1081" s="13" t="str">
        <x:v>MB1-1248</x:v>
      </x:c>
      <x:c r="B1081" s="13" t="str">
        <x:v>MB1-1248</x:v>
      </x:c>
      <x:c r="C1081" s="14" t="str">
        <x:v>ALL MAD HERE</x:v>
      </x:c>
      <x:c r="D1081" s="14" t="str">
        <x:v>home decor and inspirational</x:v>
      </x:c>
      <x:c r="E1081" s="14" t="str">
        <x:v>https://res.cloudinary.com/oxygre42/image/upload/f_auto,q_auto,c_pad,b_white,w_1200,h_1200/v1788350890/1248_ALL_MAD_HERE.png</x:v>
      </x:c>
      <x:c r="F1081" s="14" t="str"/>
      <x:c r="G1081" s="14" t="str">
        <x:v>Lifestyle</x:v>
      </x:c>
      <x:c r="H1081" s="14" t="str"/>
      <x:c r="I1081" s="14" t="str">
        <x:v>Detail</x:v>
      </x:c>
      <x:c r="J1081" s="14" t="str"/>
      <x:c r="K1081" s="14" t="str">
        <x:v>Scale</x:v>
      </x:c>
      <x:c r="L1081" s="14" t="str"/>
      <x:c r="M1081" s="14" t="str">
        <x:v>Alternate</x:v>
      </x:c>
      <x:c r="N1081" s="14" t="n">
        <x:f>IF(E1081&lt;&gt;"",1,0)+IF(F1081&lt;&gt;"",1,0)+IF(H1081&lt;&gt;"",1,0)+IF(J1081&lt;&gt;"",1,0)+IF(L1081&lt;&gt;"",1,0)</x:f>
        <x:v>1</x:v>
      </x:c>
      <x:c r="O1081" s="14" t="str">
        <x:f>IF(E1081="","MISSING MAIN",IF(N1081=1,"MAIN ONLY","MULTI-PHOTO"))</x:f>
        <x:v>MAIN ONLY</x:v>
      </x:c>
      <x:c r="P1081" s="14" t="str">
        <x:v>1248_</x:v>
      </x:c>
      <x:c r="Q1081" s="14" t="str">
        <x:v>https://mb1advancedsolutions.github.io/mb1-catalog/index.html?design=1248</x:v>
      </x:c>
      <x:c r="R1081" s="14" t="str"/>
    </x:row>
    <x:row r="1082">
      <x:c r="A1082" s="13" t="str">
        <x:v>MB1-1249</x:v>
      </x:c>
      <x:c r="B1082" s="13" t="str">
        <x:v>MB1-1249</x:v>
      </x:c>
      <x:c r="C1082" s="14" t="str">
        <x:v>Beer Served Here Key Football</x:v>
      </x:c>
      <x:c r="D1082" s="14" t="str">
        <x:v>sports and hobbies</x:v>
      </x:c>
      <x:c r="E1082" s="14" t="str">
        <x:v>https://res.cloudinary.com/oxygre42/image/upload/f_auto,q_auto,c_pad,b_white,w_1200,h_1200/v1788350892/1249_Beer_Served_Here_Key_Football.png</x:v>
      </x:c>
      <x:c r="F1082" s="14" t="str"/>
      <x:c r="G1082" s="14" t="str">
        <x:v>Lifestyle</x:v>
      </x:c>
      <x:c r="H1082" s="14" t="str"/>
      <x:c r="I1082" s="14" t="str">
        <x:v>Detail</x:v>
      </x:c>
      <x:c r="J1082" s="14" t="str"/>
      <x:c r="K1082" s="14" t="str">
        <x:v>Scale</x:v>
      </x:c>
      <x:c r="L1082" s="14" t="str"/>
      <x:c r="M1082" s="14" t="str">
        <x:v>Alternate</x:v>
      </x:c>
      <x:c r="N1082" s="14" t="n">
        <x:f>IF(E1082&lt;&gt;"",1,0)+IF(F1082&lt;&gt;"",1,0)+IF(H1082&lt;&gt;"",1,0)+IF(J1082&lt;&gt;"",1,0)+IF(L1082&lt;&gt;"",1,0)</x:f>
        <x:v>1</x:v>
      </x:c>
      <x:c r="O1082" s="14" t="str">
        <x:f>IF(E1082="","MISSING MAIN",IF(N1082=1,"MAIN ONLY","MULTI-PHOTO"))</x:f>
        <x:v>MAIN ONLY</x:v>
      </x:c>
      <x:c r="P1082" s="14" t="str">
        <x:v>1249_</x:v>
      </x:c>
      <x:c r="Q1082" s="14" t="str">
        <x:v>https://mb1advancedsolutions.github.io/mb1-catalog/index.html?design=1249</x:v>
      </x:c>
      <x:c r="R1082" s="14" t="str"/>
    </x:row>
    <x:row r="1083">
      <x:c r="A1083" s="13" t="str">
        <x:v>MB1-1250</x:v>
      </x:c>
      <x:c r="B1083" s="13" t="str">
        <x:v>MB1-1250</x:v>
      </x:c>
      <x:c r="C1083" s="14" t="str">
        <x:v>Beer Served Here Key Helmet</x:v>
      </x:c>
      <x:c r="D1083" s="14" t="str">
        <x:v>sports and hobbies</x:v>
      </x:c>
      <x:c r="E1083" s="14" t="str">
        <x:v>https://res.cloudinary.com/oxygre42/image/upload/f_auto,q_auto,c_pad,b_white,w_1200,h_1200/v1788350894/1250_Beer_Served_Here_Key_Helmet.png</x:v>
      </x:c>
      <x:c r="F1083" s="14" t="str"/>
      <x:c r="G1083" s="14" t="str">
        <x:v>Lifestyle</x:v>
      </x:c>
      <x:c r="H1083" s="14" t="str"/>
      <x:c r="I1083" s="14" t="str">
        <x:v>Detail</x:v>
      </x:c>
      <x:c r="J1083" s="14" t="str"/>
      <x:c r="K1083" s="14" t="str">
        <x:v>Scale</x:v>
      </x:c>
      <x:c r="L1083" s="14" t="str"/>
      <x:c r="M1083" s="14" t="str">
        <x:v>Alternate</x:v>
      </x:c>
      <x:c r="N1083" s="14" t="n">
        <x:f>IF(E1083&lt;&gt;"",1,0)+IF(F1083&lt;&gt;"",1,0)+IF(H1083&lt;&gt;"",1,0)+IF(J1083&lt;&gt;"",1,0)+IF(L1083&lt;&gt;"",1,0)</x:f>
        <x:v>1</x:v>
      </x:c>
      <x:c r="O1083" s="14" t="str">
        <x:f>IF(E1083="","MISSING MAIN",IF(N1083=1,"MAIN ONLY","MULTI-PHOTO"))</x:f>
        <x:v>MAIN ONLY</x:v>
      </x:c>
      <x:c r="P1083" s="14" t="str">
        <x:v>1250_</x:v>
      </x:c>
      <x:c r="Q1083" s="14" t="str">
        <x:v>https://mb1advancedsolutions.github.io/mb1-catalog/index.html?design=1250</x:v>
      </x:c>
      <x:c r="R1083" s="14" t="str"/>
    </x:row>
    <x:row r="1084">
      <x:c r="A1084" s="13" t="str">
        <x:v>MB1-1251</x:v>
      </x:c>
      <x:c r="B1084" s="13" t="str">
        <x:v>MB1-1251</x:v>
      </x:c>
      <x:c r="C1084" s="14" t="str">
        <x:v>Beer Served Here Key</x:v>
      </x:c>
      <x:c r="D1084" s="14" t="str">
        <x:v>sports and hobbies</x:v>
      </x:c>
      <x:c r="E1084" s="14" t="str">
        <x:v>https://res.cloudinary.com/oxygre42/image/upload/f_auto,q_auto,c_pad,b_white,w_1200,h_1200/v1788350896/1251_Beer_Served_Here_Key.png</x:v>
      </x:c>
      <x:c r="F1084" s="14" t="str"/>
      <x:c r="G1084" s="14" t="str">
        <x:v>Lifestyle</x:v>
      </x:c>
      <x:c r="H1084" s="14" t="str"/>
      <x:c r="I1084" s="14" t="str">
        <x:v>Detail</x:v>
      </x:c>
      <x:c r="J1084" s="14" t="str"/>
      <x:c r="K1084" s="14" t="str">
        <x:v>Scale</x:v>
      </x:c>
      <x:c r="L1084" s="14" t="str"/>
      <x:c r="M1084" s="14" t="str">
        <x:v>Alternate</x:v>
      </x:c>
      <x:c r="N1084" s="14" t="n">
        <x:f>IF(E1084&lt;&gt;"",1,0)+IF(F1084&lt;&gt;"",1,0)+IF(H1084&lt;&gt;"",1,0)+IF(J1084&lt;&gt;"",1,0)+IF(L1084&lt;&gt;"",1,0)</x:f>
        <x:v>1</x:v>
      </x:c>
      <x:c r="O1084" s="14" t="str">
        <x:f>IF(E1084="","MISSING MAIN",IF(N1084=1,"MAIN ONLY","MULTI-PHOTO"))</x:f>
        <x:v>MAIN ONLY</x:v>
      </x:c>
      <x:c r="P1084" s="14" t="str">
        <x:v>1251_</x:v>
      </x:c>
      <x:c r="Q1084" s="14" t="str">
        <x:v>https://mb1advancedsolutions.github.io/mb1-catalog/index.html?design=1251</x:v>
      </x:c>
      <x:c r="R1084" s="14" t="str"/>
    </x:row>
    <x:row r="1085">
      <x:c r="A1085" s="13" t="str">
        <x:v>MB1-1252</x:v>
      </x:c>
      <x:c r="B1085" s="13" t="str">
        <x:v>MB1-1252</x:v>
      </x:c>
      <x:c r="C1085" s="14" t="str">
        <x:v>DIRTY HANDS CLEAN MONEY PISTON</x:v>
      </x:c>
      <x:c r="D1085" s="14" t="str">
        <x:v>garage and workshop</x:v>
      </x:c>
      <x:c r="E1085" s="14" t="str">
        <x:v>https://res.cloudinary.com/oxygre42/image/upload/f_auto,q_auto,c_pad,b_white,w_1200,h_1200/v1788350898/1252_DIRTY_HANDS_CLEAN_MONEY_PISTON.png</x:v>
      </x:c>
      <x:c r="F1085" s="14" t="str"/>
      <x:c r="G1085" s="14" t="str">
        <x:v>Lifestyle</x:v>
      </x:c>
      <x:c r="H1085" s="14" t="str"/>
      <x:c r="I1085" s="14" t="str">
        <x:v>Detail</x:v>
      </x:c>
      <x:c r="J1085" s="14" t="str"/>
      <x:c r="K1085" s="14" t="str">
        <x:v>Scale</x:v>
      </x:c>
      <x:c r="L1085" s="14" t="str"/>
      <x:c r="M1085" s="14" t="str">
        <x:v>Alternate</x:v>
      </x:c>
      <x:c r="N1085" s="14" t="n">
        <x:f>IF(E1085&lt;&gt;"",1,0)+IF(F1085&lt;&gt;"",1,0)+IF(H1085&lt;&gt;"",1,0)+IF(J1085&lt;&gt;"",1,0)+IF(L1085&lt;&gt;"",1,0)</x:f>
        <x:v>1</x:v>
      </x:c>
      <x:c r="O1085" s="14" t="str">
        <x:f>IF(E1085="","MISSING MAIN",IF(N1085=1,"MAIN ONLY","MULTI-PHOTO"))</x:f>
        <x:v>MAIN ONLY</x:v>
      </x:c>
      <x:c r="P1085" s="14" t="str">
        <x:v>1252_</x:v>
      </x:c>
      <x:c r="Q1085" s="14" t="str">
        <x:v>https://mb1advancedsolutions.github.io/mb1-catalog/index.html?design=1252</x:v>
      </x:c>
      <x:c r="R1085" s="14" t="str"/>
    </x:row>
    <x:row r="1086">
      <x:c r="A1086" s="13" t="str">
        <x:v>MB1-1253</x:v>
      </x:c>
      <x:c r="B1086" s="13" t="str">
        <x:v>MB1-1253</x:v>
      </x:c>
      <x:c r="C1086" s="14" t="str">
        <x:v>EAGLE USA FLAG</x:v>
      </x:c>
      <x:c r="D1086" s="14" t="str">
        <x:v>seasonal and holiday</x:v>
      </x:c>
      <x:c r="E1086" s="14" t="str">
        <x:v>https://res.cloudinary.com/oxygre42/image/upload/f_auto,q_auto,c_pad,b_white,w_1200,h_1200/v1788350900/1253_EAGLE_USA_FLAG.png</x:v>
      </x:c>
      <x:c r="F1086" s="14" t="str"/>
      <x:c r="G1086" s="14" t="str">
        <x:v>Lifestyle</x:v>
      </x:c>
      <x:c r="H1086" s="14" t="str"/>
      <x:c r="I1086" s="14" t="str">
        <x:v>Detail</x:v>
      </x:c>
      <x:c r="J1086" s="14" t="str"/>
      <x:c r="K1086" s="14" t="str">
        <x:v>Scale</x:v>
      </x:c>
      <x:c r="L1086" s="14" t="str"/>
      <x:c r="M1086" s="14" t="str">
        <x:v>Alternate</x:v>
      </x:c>
      <x:c r="N1086" s="14" t="n">
        <x:f>IF(E1086&lt;&gt;"",1,0)+IF(F1086&lt;&gt;"",1,0)+IF(H1086&lt;&gt;"",1,0)+IF(J1086&lt;&gt;"",1,0)+IF(L1086&lt;&gt;"",1,0)</x:f>
        <x:v>1</x:v>
      </x:c>
      <x:c r="O1086" s="14" t="str">
        <x:f>IF(E1086="","MISSING MAIN",IF(N1086=1,"MAIN ONLY","MULTI-PHOTO"))</x:f>
        <x:v>MAIN ONLY</x:v>
      </x:c>
      <x:c r="P1086" s="14" t="str">
        <x:v>1253_</x:v>
      </x:c>
      <x:c r="Q1086" s="14" t="str">
        <x:v>https://mb1advancedsolutions.github.io/mb1-catalog/index.html?design=1253</x:v>
      </x:c>
      <x:c r="R1086" s="14" t="str"/>
    </x:row>
    <x:row r="1087">
      <x:c r="A1087" s="13" t="str">
        <x:v>MB1-1254</x:v>
      </x:c>
      <x:c r="B1087" s="13" t="str">
        <x:v>MB1-1254</x:v>
      </x:c>
      <x:c r="C1087" s="14" t="str">
        <x:v>GARAGE RETRO SIGN</x:v>
      </x:c>
      <x:c r="D1087" s="14" t="str">
        <x:v>garage and workshop</x:v>
      </x:c>
      <x:c r="E1087" s="14" t="str">
        <x:v>https://res.cloudinary.com/oxygre42/image/upload/f_auto,q_auto,c_pad,b_white,w_1200,h_1200/v1788350902/1254_GARAGE_RETRO_SIGN.png</x:v>
      </x:c>
      <x:c r="F1087" s="14" t="str"/>
      <x:c r="G1087" s="14" t="str">
        <x:v>Lifestyle</x:v>
      </x:c>
      <x:c r="H1087" s="14" t="str"/>
      <x:c r="I1087" s="14" t="str">
        <x:v>Detail</x:v>
      </x:c>
      <x:c r="J1087" s="14" t="str"/>
      <x:c r="K1087" s="14" t="str">
        <x:v>Scale</x:v>
      </x:c>
      <x:c r="L1087" s="14" t="str"/>
      <x:c r="M1087" s="14" t="str">
        <x:v>Alternate</x:v>
      </x:c>
      <x:c r="N1087" s="14" t="n">
        <x:f>IF(E1087&lt;&gt;"",1,0)+IF(F1087&lt;&gt;"",1,0)+IF(H1087&lt;&gt;"",1,0)+IF(J1087&lt;&gt;"",1,0)+IF(L1087&lt;&gt;"",1,0)</x:f>
        <x:v>1</x:v>
      </x:c>
      <x:c r="O1087" s="14" t="str">
        <x:f>IF(E1087="","MISSING MAIN",IF(N1087=1,"MAIN ONLY","MULTI-PHOTO"))</x:f>
        <x:v>MAIN ONLY</x:v>
      </x:c>
      <x:c r="P1087" s="14" t="str">
        <x:v>1254_</x:v>
      </x:c>
      <x:c r="Q1087" s="14" t="str">
        <x:v>https://mb1advancedsolutions.github.io/mb1-catalog/index.html?design=1254</x:v>
      </x:c>
      <x:c r="R1087" s="14" t="str"/>
    </x:row>
    <x:row r="1088">
      <x:c r="A1088" s="13" t="str">
        <x:v>MB1-1259</x:v>
      </x:c>
      <x:c r="B1088" s="13" t="str">
        <x:v>MB1-1259</x:v>
      </x:c>
      <x:c r="C1088" s="14" t="str">
        <x:v>KISS MY BASS OVAL</x:v>
      </x:c>
      <x:c r="D1088" s="14" t="str">
        <x:v>wildlife and outdoors</x:v>
      </x:c>
      <x:c r="E1088" s="14" t="str">
        <x:v>https://res.cloudinary.com/oxygre42/image/upload/f_auto,q_auto,c_pad,b_white,w_1200,h_1200/v1788350911/1259_KISS_MY_BASS_OVAL.png</x:v>
      </x:c>
      <x:c r="F1088" s="14" t="str"/>
      <x:c r="G1088" s="14" t="str">
        <x:v>Lifestyle</x:v>
      </x:c>
      <x:c r="H1088" s="14" t="str"/>
      <x:c r="I1088" s="14" t="str">
        <x:v>Detail</x:v>
      </x:c>
      <x:c r="J1088" s="14" t="str"/>
      <x:c r="K1088" s="14" t="str">
        <x:v>Scale</x:v>
      </x:c>
      <x:c r="L1088" s="14" t="str"/>
      <x:c r="M1088" s="14" t="str">
        <x:v>Alternate</x:v>
      </x:c>
      <x:c r="N1088" s="14" t="n">
        <x:f>IF(E1088&lt;&gt;"",1,0)+IF(F1088&lt;&gt;"",1,0)+IF(H1088&lt;&gt;"",1,0)+IF(J1088&lt;&gt;"",1,0)+IF(L1088&lt;&gt;"",1,0)</x:f>
        <x:v>1</x:v>
      </x:c>
      <x:c r="O1088" s="14" t="str">
        <x:f>IF(E1088="","MISSING MAIN",IF(N1088=1,"MAIN ONLY","MULTI-PHOTO"))</x:f>
        <x:v>MAIN ONLY</x:v>
      </x:c>
      <x:c r="P1088" s="14" t="str">
        <x:v>1259_</x:v>
      </x:c>
      <x:c r="Q1088" s="14" t="str">
        <x:v>https://mb1advancedsolutions.github.io/mb1-catalog/index.html?design=1259</x:v>
      </x:c>
      <x:c r="R1088" s="14" t="str"/>
    </x:row>
    <x:row r="1089">
      <x:c r="A1089" s="13" t="str">
        <x:v>MB1-1260</x:v>
      </x:c>
      <x:c r="B1089" s="13" t="str">
        <x:v>MB1-1260</x:v>
      </x:c>
      <x:c r="C1089" s="14" t="str">
        <x:v>OVAL US FLAG EAGLE</x:v>
      </x:c>
      <x:c r="D1089" s="14" t="str">
        <x:v>seasonal and holiday</x:v>
      </x:c>
      <x:c r="E1089" s="14" t="str">
        <x:v>https://res.cloudinary.com/oxygre42/image/upload/f_auto,q_auto,c_pad,b_white,w_1200,h_1200/v1788350913/1260_OVAL_US_FLAG_EAGLE.png</x:v>
      </x:c>
      <x:c r="F1089" s="14" t="str"/>
      <x:c r="G1089" s="14" t="str">
        <x:v>Lifestyle</x:v>
      </x:c>
      <x:c r="H1089" s="14" t="str"/>
      <x:c r="I1089" s="14" t="str">
        <x:v>Detail</x:v>
      </x:c>
      <x:c r="J1089" s="14" t="str"/>
      <x:c r="K1089" s="14" t="str">
        <x:v>Scale</x:v>
      </x:c>
      <x:c r="L1089" s="14" t="str"/>
      <x:c r="M1089" s="14" t="str">
        <x:v>Alternate</x:v>
      </x:c>
      <x:c r="N1089" s="14" t="n">
        <x:f>IF(E1089&lt;&gt;"",1,0)+IF(F1089&lt;&gt;"",1,0)+IF(H1089&lt;&gt;"",1,0)+IF(J1089&lt;&gt;"",1,0)+IF(L1089&lt;&gt;"",1,0)</x:f>
        <x:v>1</x:v>
      </x:c>
      <x:c r="O1089" s="14" t="str">
        <x:f>IF(E1089="","MISSING MAIN",IF(N1089=1,"MAIN ONLY","MULTI-PHOTO"))</x:f>
        <x:v>MAIN ONLY</x:v>
      </x:c>
      <x:c r="P1089" s="14" t="str">
        <x:v>1260_</x:v>
      </x:c>
      <x:c r="Q1089" s="14" t="str">
        <x:v>https://mb1advancedsolutions.github.io/mb1-catalog/index.html?design=1260</x:v>
      </x:c>
      <x:c r="R1089" s="14" t="str"/>
    </x:row>
    <x:row r="1090">
      <x:c r="A1090" s="13" t="str">
        <x:v>MB1-1261</x:v>
      </x:c>
      <x:c r="B1090" s="13" t="str">
        <x:v>MB1-1261</x:v>
      </x:c>
      <x:c r="C1090" s="14" t="str">
        <x:v>PROTECTED BY AR-15</x:v>
      </x:c>
      <x:c r="D1090" s="14" t="str">
        <x:v>address and property</x:v>
      </x:c>
      <x:c r="E1090" s="14" t="str">
        <x:v>https://res.cloudinary.com/oxygre42/image/upload/f_auto,q_auto,c_pad,b_white,w_1200,h_1200/v1788350915/1261_PROTECTED_BY_AR-15.png</x:v>
      </x:c>
      <x:c r="F1090" s="14" t="str"/>
      <x:c r="G1090" s="14" t="str">
        <x:v>Lifestyle</x:v>
      </x:c>
      <x:c r="H1090" s="14" t="str"/>
      <x:c r="I1090" s="14" t="str">
        <x:v>Detail</x:v>
      </x:c>
      <x:c r="J1090" s="14" t="str"/>
      <x:c r="K1090" s="14" t="str">
        <x:v>Scale</x:v>
      </x:c>
      <x:c r="L1090" s="14" t="str"/>
      <x:c r="M1090" s="14" t="str">
        <x:v>Alternate</x:v>
      </x:c>
      <x:c r="N1090" s="14" t="n">
        <x:f>IF(E1090&lt;&gt;"",1,0)+IF(F1090&lt;&gt;"",1,0)+IF(H1090&lt;&gt;"",1,0)+IF(J1090&lt;&gt;"",1,0)+IF(L1090&lt;&gt;"",1,0)</x:f>
        <x:v>1</x:v>
      </x:c>
      <x:c r="O1090" s="14" t="str">
        <x:f>IF(E1090="","MISSING MAIN",IF(N1090=1,"MAIN ONLY","MULTI-PHOTO"))</x:f>
        <x:v>MAIN ONLY</x:v>
      </x:c>
      <x:c r="P1090" s="14" t="str">
        <x:v>1261_</x:v>
      </x:c>
      <x:c r="Q1090" s="14" t="str">
        <x:v>https://mb1advancedsolutions.github.io/mb1-catalog/index.html?design=1261</x:v>
      </x:c>
      <x:c r="R1090" s="14" t="str"/>
    </x:row>
    <x:row r="1091">
      <x:c r="A1091" s="13" t="str">
        <x:v>MB1-1262</x:v>
      </x:c>
      <x:c r="B1091" s="13" t="str">
        <x:v>MB1-1262</x:v>
      </x:c>
      <x:c r="C1091" s="14" t="str">
        <x:v>PROTECTED BY THE LORD</x:v>
      </x:c>
      <x:c r="D1091" s="14" t="str">
        <x:v>home decor and inspirational</x:v>
      </x:c>
      <x:c r="E1091" s="14" t="str">
        <x:v>https://res.cloudinary.com/oxygre42/image/upload/f_auto,q_auto,c_pad,b_white,w_1200,h_1200/v1788350917/1262_PROTECTED_BY_THE_LORD.png</x:v>
      </x:c>
      <x:c r="F1091" s="14" t="str"/>
      <x:c r="G1091" s="14" t="str">
        <x:v>Lifestyle</x:v>
      </x:c>
      <x:c r="H1091" s="14" t="str"/>
      <x:c r="I1091" s="14" t="str">
        <x:v>Detail</x:v>
      </x:c>
      <x:c r="J1091" s="14" t="str"/>
      <x:c r="K1091" s="14" t="str">
        <x:v>Scale</x:v>
      </x:c>
      <x:c r="L1091" s="14" t="str"/>
      <x:c r="M1091" s="14" t="str">
        <x:v>Alternate</x:v>
      </x:c>
      <x:c r="N1091" s="14" t="n">
        <x:f>IF(E1091&lt;&gt;"",1,0)+IF(F1091&lt;&gt;"",1,0)+IF(H1091&lt;&gt;"",1,0)+IF(J1091&lt;&gt;"",1,0)+IF(L1091&lt;&gt;"",1,0)</x:f>
        <x:v>1</x:v>
      </x:c>
      <x:c r="O1091" s="14" t="str">
        <x:f>IF(E1091="","MISSING MAIN",IF(N1091=1,"MAIN ONLY","MULTI-PHOTO"))</x:f>
        <x:v>MAIN ONLY</x:v>
      </x:c>
      <x:c r="P1091" s="14" t="str">
        <x:v>1262_</x:v>
      </x:c>
      <x:c r="Q1091" s="14" t="str">
        <x:v>https://mb1advancedsolutions.github.io/mb1-catalog/index.html?design=1262</x:v>
      </x:c>
      <x:c r="R1091" s="14" t="str"/>
    </x:row>
    <x:row r="1092">
      <x:c r="A1092" s="13" t="str">
        <x:v>MB1-1263</x:v>
      </x:c>
      <x:c r="B1092" s="13" t="str">
        <x:v>MB1-1263</x:v>
      </x:c>
      <x:c r="C1092" s="14" t="str">
        <x:v>SAW BLADE HORSE</x:v>
      </x:c>
      <x:c r="D1092" s="14" t="str">
        <x:v>farm and western</x:v>
      </x:c>
      <x:c r="E1092" s="14" t="str">
        <x:v>https://res.cloudinary.com/oxygre42/image/upload/f_auto,q_auto,c_pad,b_white,w_1200,h_1200/v1788350919/1263_SAW_BLADE_HORSE.png</x:v>
      </x:c>
      <x:c r="F1092" s="14" t="str"/>
      <x:c r="G1092" s="14" t="str">
        <x:v>Lifestyle</x:v>
      </x:c>
      <x:c r="H1092" s="14" t="str"/>
      <x:c r="I1092" s="14" t="str">
        <x:v>Detail</x:v>
      </x:c>
      <x:c r="J1092" s="14" t="str"/>
      <x:c r="K1092" s="14" t="str">
        <x:v>Scale</x:v>
      </x:c>
      <x:c r="L1092" s="14" t="str"/>
      <x:c r="M1092" s="14" t="str">
        <x:v>Alternate</x:v>
      </x:c>
      <x:c r="N1092" s="14" t="n">
        <x:f>IF(E1092&lt;&gt;"",1,0)+IF(F1092&lt;&gt;"",1,0)+IF(H1092&lt;&gt;"",1,0)+IF(J1092&lt;&gt;"",1,0)+IF(L1092&lt;&gt;"",1,0)</x:f>
        <x:v>1</x:v>
      </x:c>
      <x:c r="O1092" s="14" t="str">
        <x:f>IF(E1092="","MISSING MAIN",IF(N1092=1,"MAIN ONLY","MULTI-PHOTO"))</x:f>
        <x:v>MAIN ONLY</x:v>
      </x:c>
      <x:c r="P1092" s="14" t="str">
        <x:v>1263_</x:v>
      </x:c>
      <x:c r="Q1092" s="14" t="str">
        <x:v>https://mb1advancedsolutions.github.io/mb1-catalog/index.html?design=1263</x:v>
      </x:c>
      <x:c r="R1092" s="14" t="str"/>
    </x:row>
    <x:row r="1093">
      <x:c r="A1093" s="13" t="str">
        <x:v>MB1-1264</x:v>
      </x:c>
      <x:c r="B1093" s="13" t="str">
        <x:v>MB1-1264</x:v>
      </x:c>
      <x:c r="C1093" s="14" t="str">
        <x:v>Sewing room</x:v>
      </x:c>
      <x:c r="D1093" s="14" t="str">
        <x:v>sports and hobbies</x:v>
      </x:c>
      <x:c r="E1093" s="14" t="str">
        <x:v>https://res.cloudinary.com/oxygre42/image/upload/f_auto,q_auto,c_pad,b_white,w_1200,h_1200/v1788350920/1264_Sewing_room.png</x:v>
      </x:c>
      <x:c r="F1093" s="14" t="str"/>
      <x:c r="G1093" s="14" t="str">
        <x:v>Lifestyle</x:v>
      </x:c>
      <x:c r="H1093" s="14" t="str"/>
      <x:c r="I1093" s="14" t="str">
        <x:v>Detail</x:v>
      </x:c>
      <x:c r="J1093" s="14" t="str"/>
      <x:c r="K1093" s="14" t="str">
        <x:v>Scale</x:v>
      </x:c>
      <x:c r="L1093" s="14" t="str"/>
      <x:c r="M1093" s="14" t="str">
        <x:v>Alternate</x:v>
      </x:c>
      <x:c r="N1093" s="14" t="n">
        <x:f>IF(E1093&lt;&gt;"",1,0)+IF(F1093&lt;&gt;"",1,0)+IF(H1093&lt;&gt;"",1,0)+IF(J1093&lt;&gt;"",1,0)+IF(L1093&lt;&gt;"",1,0)</x:f>
        <x:v>1</x:v>
      </x:c>
      <x:c r="O1093" s="14" t="str">
        <x:f>IF(E1093="","MISSING MAIN",IF(N1093=1,"MAIN ONLY","MULTI-PHOTO"))</x:f>
        <x:v>MAIN ONLY</x:v>
      </x:c>
      <x:c r="P1093" s="14" t="str">
        <x:v>1264_</x:v>
      </x:c>
      <x:c r="Q1093" s="14" t="str">
        <x:v>https://mb1advancedsolutions.github.io/mb1-catalog/index.html?design=1264</x:v>
      </x:c>
      <x:c r="R1093" s="14" t="str"/>
    </x:row>
    <x:row r="1094">
      <x:c r="A1094" s="13" t="str">
        <x:v>MB1-1265</x:v>
      </x:c>
      <x:c r="B1094" s="13" t="str">
        <x:v>MB1-1265</x:v>
      </x:c>
      <x:c r="C1094" s="14" t="str">
        <x:v>Skull Calavera Pistolera</x:v>
      </x:c>
      <x:c r="D1094" s="14" t="str">
        <x:v>home decor and inspirational</x:v>
      </x:c>
      <x:c r="E1094" s="14" t="str">
        <x:v>https://res.cloudinary.com/oxygre42/image/upload/f_auto,q_auto,c_pad,b_white,w_1200,h_1200/v1788350922/1265_Skull_Calavera_Pistolera.png</x:v>
      </x:c>
      <x:c r="F1094" s="14" t="str"/>
      <x:c r="G1094" s="14" t="str">
        <x:v>Lifestyle</x:v>
      </x:c>
      <x:c r="H1094" s="14" t="str"/>
      <x:c r="I1094" s="14" t="str">
        <x:v>Detail</x:v>
      </x:c>
      <x:c r="J1094" s="14" t="str"/>
      <x:c r="K1094" s="14" t="str">
        <x:v>Scale</x:v>
      </x:c>
      <x:c r="L1094" s="14" t="str"/>
      <x:c r="M1094" s="14" t="str">
        <x:v>Alternate</x:v>
      </x:c>
      <x:c r="N1094" s="14" t="n">
        <x:f>IF(E1094&lt;&gt;"",1,0)+IF(F1094&lt;&gt;"",1,0)+IF(H1094&lt;&gt;"",1,0)+IF(J1094&lt;&gt;"",1,0)+IF(L1094&lt;&gt;"",1,0)</x:f>
        <x:v>1</x:v>
      </x:c>
      <x:c r="O1094" s="14" t="str">
        <x:f>IF(E1094="","MISSING MAIN",IF(N1094=1,"MAIN ONLY","MULTI-PHOTO"))</x:f>
        <x:v>MAIN ONLY</x:v>
      </x:c>
      <x:c r="P1094" s="14" t="str">
        <x:v>1265_</x:v>
      </x:c>
      <x:c r="Q1094" s="14" t="str">
        <x:v>https://mb1advancedsolutions.github.io/mb1-catalog/index.html?design=1265</x:v>
      </x:c>
      <x:c r="R1094" s="14" t="str"/>
    </x:row>
    <x:row r="1095">
      <x:c r="A1095" s="13" t="str">
        <x:v>MB1-1266</x:v>
      </x:c>
      <x:c r="B1095" s="13" t="str">
        <x:v>MB1-1266</x:v>
      </x:c>
      <x:c r="C1095" s="14" t="str">
        <x:v>Smokin Barrel Sign</x:v>
      </x:c>
      <x:c r="D1095" s="14" t="str">
        <x:v>home decor and inspirational</x:v>
      </x:c>
      <x:c r="E1095" s="14" t="str">
        <x:v>https://res.cloudinary.com/oxygre42/image/upload/f_auto,q_auto,c_pad,b_white,w_1200,h_1200/v1788350924/1266_Smokin_Barrel_Sign.png</x:v>
      </x:c>
      <x:c r="F1095" s="14" t="str"/>
      <x:c r="G1095" s="14" t="str">
        <x:v>Lifestyle</x:v>
      </x:c>
      <x:c r="H1095" s="14" t="str"/>
      <x:c r="I1095" s="14" t="str">
        <x:v>Detail</x:v>
      </x:c>
      <x:c r="J1095" s="14" t="str"/>
      <x:c r="K1095" s="14" t="str">
        <x:v>Scale</x:v>
      </x:c>
      <x:c r="L1095" s="14" t="str"/>
      <x:c r="M1095" s="14" t="str">
        <x:v>Alternate</x:v>
      </x:c>
      <x:c r="N1095" s="14" t="n">
        <x:f>IF(E1095&lt;&gt;"",1,0)+IF(F1095&lt;&gt;"",1,0)+IF(H1095&lt;&gt;"",1,0)+IF(J1095&lt;&gt;"",1,0)+IF(L1095&lt;&gt;"",1,0)</x:f>
        <x:v>1</x:v>
      </x:c>
      <x:c r="O1095" s="14" t="str">
        <x:f>IF(E1095="","MISSING MAIN",IF(N1095=1,"MAIN ONLY","MULTI-PHOTO"))</x:f>
        <x:v>MAIN ONLY</x:v>
      </x:c>
      <x:c r="P1095" s="14" t="str">
        <x:v>1266_</x:v>
      </x:c>
      <x:c r="Q1095" s="14" t="str">
        <x:v>https://mb1advancedsolutions.github.io/mb1-catalog/index.html?design=1266</x:v>
      </x:c>
      <x:c r="R1095" s="14" t="str"/>
    </x:row>
    <x:row r="1096">
      <x:c r="A1096" s="13" t="str">
        <x:v>MB1-1267</x:v>
      </x:c>
      <x:c r="B1096" s="13" t="str">
        <x:v>MB1-1267</x:v>
      </x:c>
      <x:c r="C1096" s="14" t="str">
        <x:v>TIKI BAR MONKEY</x:v>
      </x:c>
      <x:c r="D1096" s="14" t="str">
        <x:v>sports and hobbies</x:v>
      </x:c>
      <x:c r="E1096" s="14" t="str">
        <x:v>https://res.cloudinary.com/oxygre42/image/upload/f_auto,q_auto,c_pad,b_white,w_1200,h_1200/v1788350926/1267_TIKI_BAR_MONKEY.png</x:v>
      </x:c>
      <x:c r="F1096" s="14" t="str"/>
      <x:c r="G1096" s="14" t="str">
        <x:v>Lifestyle</x:v>
      </x:c>
      <x:c r="H1096" s="14" t="str"/>
      <x:c r="I1096" s="14" t="str">
        <x:v>Detail</x:v>
      </x:c>
      <x:c r="J1096" s="14" t="str"/>
      <x:c r="K1096" s="14" t="str">
        <x:v>Scale</x:v>
      </x:c>
      <x:c r="L1096" s="14" t="str"/>
      <x:c r="M1096" s="14" t="str">
        <x:v>Alternate</x:v>
      </x:c>
      <x:c r="N1096" s="14" t="n">
        <x:f>IF(E1096&lt;&gt;"",1,0)+IF(F1096&lt;&gt;"",1,0)+IF(H1096&lt;&gt;"",1,0)+IF(J1096&lt;&gt;"",1,0)+IF(L1096&lt;&gt;"",1,0)</x:f>
        <x:v>1</x:v>
      </x:c>
      <x:c r="O1096" s="14" t="str">
        <x:f>IF(E1096="","MISSING MAIN",IF(N1096=1,"MAIN ONLY","MULTI-PHOTO"))</x:f>
        <x:v>MAIN ONLY</x:v>
      </x:c>
      <x:c r="P1096" s="14" t="str">
        <x:v>1267_</x:v>
      </x:c>
      <x:c r="Q1096" s="14" t="str">
        <x:v>https://mb1advancedsolutions.github.io/mb1-catalog/index.html?design=1267</x:v>
      </x:c>
      <x:c r="R1096" s="14" t="str"/>
    </x:row>
    <x:row r="1097">
      <x:c r="A1097" s="13" t="str">
        <x:v>MB1-1268</x:v>
      </x:c>
      <x:c r="B1097" s="13" t="str">
        <x:v>MB1-1268</x:v>
      </x:c>
      <x:c r="C1097" s="14" t="str">
        <x:v>VINTAGE CAR FRONT END</x:v>
      </x:c>
      <x:c r="D1097" s="14" t="str">
        <x:v>garage and workshop</x:v>
      </x:c>
      <x:c r="E1097" s="14" t="str">
        <x:v>https://res.cloudinary.com/oxygre42/image/upload/f_auto,q_auto,c_pad,b_white,w_1200,h_1200/v1788350928/1268_VINTAGE_CAR_FRONT_END.png</x:v>
      </x:c>
      <x:c r="F1097" s="14" t="str"/>
      <x:c r="G1097" s="14" t="str">
        <x:v>Lifestyle</x:v>
      </x:c>
      <x:c r="H1097" s="14" t="str"/>
      <x:c r="I1097" s="14" t="str">
        <x:v>Detail</x:v>
      </x:c>
      <x:c r="J1097" s="14" t="str"/>
      <x:c r="K1097" s="14" t="str">
        <x:v>Scale</x:v>
      </x:c>
      <x:c r="L1097" s="14" t="str"/>
      <x:c r="M1097" s="14" t="str">
        <x:v>Alternate</x:v>
      </x:c>
      <x:c r="N1097" s="14" t="n">
        <x:f>IF(E1097&lt;&gt;"",1,0)+IF(F1097&lt;&gt;"",1,0)+IF(H1097&lt;&gt;"",1,0)+IF(J1097&lt;&gt;"",1,0)+IF(L1097&lt;&gt;"",1,0)</x:f>
        <x:v>1</x:v>
      </x:c>
      <x:c r="O1097" s="14" t="str">
        <x:f>IF(E1097="","MISSING MAIN",IF(N1097=1,"MAIN ONLY","MULTI-PHOTO"))</x:f>
        <x:v>MAIN ONLY</x:v>
      </x:c>
      <x:c r="P1097" s="14" t="str">
        <x:v>1268_</x:v>
      </x:c>
      <x:c r="Q1097" s="14" t="str">
        <x:v>https://mb1advancedsolutions.github.io/mb1-catalog/index.html?design=1268</x:v>
      </x:c>
      <x:c r="R1097" s="14" t="str"/>
    </x:row>
    <x:row r="1098">
      <x:c r="A1098" s="13" t="str">
        <x:v>MB1-1269</x:v>
      </x:c>
      <x:c r="B1098" s="13" t="str">
        <x:v>MB1-1269</x:v>
      </x:c>
      <x:c r="C1098" s="14" t="str">
        <x:v>antler deer</x:v>
      </x:c>
      <x:c r="D1098" s="14" t="str">
        <x:v>wildlife and outdoors</x:v>
      </x:c>
      <x:c r="E1098" s="14" t="str">
        <x:v>https://res.cloudinary.com/oxygre42/image/upload/f_auto,q_auto,c_pad,b_white,w_1200,h_1200/v1788350930/1269_antler_deer.png</x:v>
      </x:c>
      <x:c r="F1098" s="14" t="str"/>
      <x:c r="G1098" s="14" t="str">
        <x:v>Lifestyle</x:v>
      </x:c>
      <x:c r="H1098" s="14" t="str"/>
      <x:c r="I1098" s="14" t="str">
        <x:v>Detail</x:v>
      </x:c>
      <x:c r="J1098" s="14" t="str"/>
      <x:c r="K1098" s="14" t="str">
        <x:v>Scale</x:v>
      </x:c>
      <x:c r="L1098" s="14" t="str"/>
      <x:c r="M1098" s="14" t="str">
        <x:v>Alternate</x:v>
      </x:c>
      <x:c r="N1098" s="14" t="n">
        <x:f>IF(E1098&lt;&gt;"",1,0)+IF(F1098&lt;&gt;"",1,0)+IF(H1098&lt;&gt;"",1,0)+IF(J1098&lt;&gt;"",1,0)+IF(L1098&lt;&gt;"",1,0)</x:f>
        <x:v>1</x:v>
      </x:c>
      <x:c r="O1098" s="14" t="str">
        <x:f>IF(E1098="","MISSING MAIN",IF(N1098=1,"MAIN ONLY","MULTI-PHOTO"))</x:f>
        <x:v>MAIN ONLY</x:v>
      </x:c>
      <x:c r="P1098" s="14" t="str">
        <x:v>1269_</x:v>
      </x:c>
      <x:c r="Q1098" s="14" t="str">
        <x:v>https://mb1advancedsolutions.github.io/mb1-catalog/index.html?design=1269</x:v>
      </x:c>
      <x:c r="R1098" s="14" t="str"/>
    </x:row>
    <x:row r="1099">
      <x:c r="A1099" s="13" t="str">
        <x:v>MB1-1270</x:v>
      </x:c>
      <x:c r="B1099" s="13" t="str">
        <x:v>MB1-1270</x:v>
      </x:c>
      <x:c r="C1099" s="14" t="str">
        <x:v>beach view firepit welcome sign </x:v>
      </x:c>
      <x:c r="D1099" s="14" t="str">
        <x:v>beach and coastal</x:v>
      </x:c>
      <x:c r="E1099" s="14" t="str">
        <x:v>https://res.cloudinary.com/oxygre42/image/upload/f_auto,q_auto,c_pad,b_white,w_1200,h_1200/v1788350932/1270_beach_view_firepit_welcome_sign.png</x:v>
      </x:c>
      <x:c r="F1099" s="14" t="str"/>
      <x:c r="G1099" s="14" t="str">
        <x:v>Lifestyle</x:v>
      </x:c>
      <x:c r="H1099" s="14" t="str"/>
      <x:c r="I1099" s="14" t="str">
        <x:v>Detail</x:v>
      </x:c>
      <x:c r="J1099" s="14" t="str"/>
      <x:c r="K1099" s="14" t="str">
        <x:v>Scale</x:v>
      </x:c>
      <x:c r="L1099" s="14" t="str"/>
      <x:c r="M1099" s="14" t="str">
        <x:v>Alternate</x:v>
      </x:c>
      <x:c r="N1099" s="14" t="n">
        <x:f>IF(E1099&lt;&gt;"",1,0)+IF(F1099&lt;&gt;"",1,0)+IF(H1099&lt;&gt;"",1,0)+IF(J1099&lt;&gt;"",1,0)+IF(L1099&lt;&gt;"",1,0)</x:f>
        <x:v>1</x:v>
      </x:c>
      <x:c r="O1099" s="14" t="str">
        <x:f>IF(E1099="","MISSING MAIN",IF(N1099=1,"MAIN ONLY","MULTI-PHOTO"))</x:f>
        <x:v>MAIN ONLY</x:v>
      </x:c>
      <x:c r="P1099" s="14" t="str">
        <x:v>1270_</x:v>
      </x:c>
      <x:c r="Q1099" s="14" t="str">
        <x:v>https://mb1advancedsolutions.github.io/mb1-catalog/index.html?design=1270</x:v>
      </x:c>
      <x:c r="R1099" s="14" t="str"/>
    </x:row>
    <x:row r="1100">
      <x:c r="A1100" s="13" t="str">
        <x:v>MB1-1271</x:v>
      </x:c>
      <x:c r="B1100" s="13" t="str">
        <x:v>MB1-1271</x:v>
      </x:c>
      <x:c r="C1100" s="14" t="str">
        <x:v>birds welcome sign</x:v>
      </x:c>
      <x:c r="D1100" s="14" t="str">
        <x:v>home decor and inspirational</x:v>
      </x:c>
      <x:c r="E1100" s="14" t="str">
        <x:v>https://res.cloudinary.com/oxygre42/image/upload/f_auto,q_auto,c_pad,b_white,w_1200,h_1200/v1788350934/1271_birds_welcome_sign.png</x:v>
      </x:c>
      <x:c r="F1100" s="14" t="str"/>
      <x:c r="G1100" s="14" t="str">
        <x:v>Lifestyle</x:v>
      </x:c>
      <x:c r="H1100" s="14" t="str"/>
      <x:c r="I1100" s="14" t="str">
        <x:v>Detail</x:v>
      </x:c>
      <x:c r="J1100" s="14" t="str"/>
      <x:c r="K1100" s="14" t="str">
        <x:v>Scale</x:v>
      </x:c>
      <x:c r="L1100" s="14" t="str"/>
      <x:c r="M1100" s="14" t="str">
        <x:v>Alternate</x:v>
      </x:c>
      <x:c r="N1100" s="14" t="n">
        <x:f>IF(E1100&lt;&gt;"",1,0)+IF(F1100&lt;&gt;"",1,0)+IF(H1100&lt;&gt;"",1,0)+IF(J1100&lt;&gt;"",1,0)+IF(L1100&lt;&gt;"",1,0)</x:f>
        <x:v>1</x:v>
      </x:c>
      <x:c r="O1100" s="14" t="str">
        <x:f>IF(E1100="","MISSING MAIN",IF(N1100=1,"MAIN ONLY","MULTI-PHOTO"))</x:f>
        <x:v>MAIN ONLY</x:v>
      </x:c>
      <x:c r="P1100" s="14" t="str">
        <x:v>1271_</x:v>
      </x:c>
      <x:c r="Q1100" s="14" t="str">
        <x:v>https://mb1advancedsolutions.github.io/mb1-catalog/index.html?design=1271</x:v>
      </x:c>
      <x:c r="R1100" s="14" t="str"/>
    </x:row>
    <x:row r="1101">
      <x:c r="A1101" s="13" t="str">
        <x:v>MB1-1272</x:v>
      </x:c>
      <x:c r="B1101" s="13" t="str">
        <x:v>MB1-1272</x:v>
      </x:c>
      <x:c r="C1101" s="14" t="str">
        <x:v>boots &amp; dogs </x:v>
      </x:c>
      <x:c r="D1101" s="14" t="str">
        <x:v>home decor and inspirational</x:v>
      </x:c>
      <x:c r="E1101" s="14" t="str">
        <x:v>https://res.cloudinary.com/oxygre42/image/upload/f_auto,q_auto,c_pad,b_white,w_1200,h_1200/v1788350935/1272_boots_dogs.png</x:v>
      </x:c>
      <x:c r="F1101" s="14" t="str"/>
      <x:c r="G1101" s="14" t="str">
        <x:v>Lifestyle</x:v>
      </x:c>
      <x:c r="H1101" s="14" t="str"/>
      <x:c r="I1101" s="14" t="str">
        <x:v>Detail</x:v>
      </x:c>
      <x:c r="J1101" s="14" t="str"/>
      <x:c r="K1101" s="14" t="str">
        <x:v>Scale</x:v>
      </x:c>
      <x:c r="L1101" s="14" t="str"/>
      <x:c r="M1101" s="14" t="str">
        <x:v>Alternate</x:v>
      </x:c>
      <x:c r="N1101" s="14" t="n">
        <x:f>IF(E1101&lt;&gt;"",1,0)+IF(F1101&lt;&gt;"",1,0)+IF(H1101&lt;&gt;"",1,0)+IF(J1101&lt;&gt;"",1,0)+IF(L1101&lt;&gt;"",1,0)</x:f>
        <x:v>1</x:v>
      </x:c>
      <x:c r="O1101" s="14" t="str">
        <x:f>IF(E1101="","MISSING MAIN",IF(N1101=1,"MAIN ONLY","MULTI-PHOTO"))</x:f>
        <x:v>MAIN ONLY</x:v>
      </x:c>
      <x:c r="P1101" s="14" t="str">
        <x:v>1272_</x:v>
      </x:c>
      <x:c r="Q1101" s="14" t="str">
        <x:v>https://mb1advancedsolutions.github.io/mb1-catalog/index.html?design=1272</x:v>
      </x:c>
      <x:c r="R1101" s="14" t="str"/>
    </x:row>
    <x:row r="1102">
      <x:c r="A1102" s="13" t="str">
        <x:v>MB1-1273</x:v>
      </x:c>
      <x:c r="B1102" s="13" t="str">
        <x:v>MB1-1273</x:v>
      </x:c>
      <x:c r="C1102" s="14" t="str">
        <x:v>bull dog trespassers </x:v>
      </x:c>
      <x:c r="D1102" s="14" t="str">
        <x:v>farm and western</x:v>
      </x:c>
      <x:c r="E1102" s="14" t="str">
        <x:v>https://res.cloudinary.com/oxygre42/image/upload/f_auto,q_auto,c_pad,b_white,w_1200,h_1200/v1788350937/1273_bull_dog_trespassers.png</x:v>
      </x:c>
      <x:c r="F1102" s="14" t="str"/>
      <x:c r="G1102" s="14" t="str">
        <x:v>Lifestyle</x:v>
      </x:c>
      <x:c r="H1102" s="14" t="str"/>
      <x:c r="I1102" s="14" t="str">
        <x:v>Detail</x:v>
      </x:c>
      <x:c r="J1102" s="14" t="str"/>
      <x:c r="K1102" s="14" t="str">
        <x:v>Scale</x:v>
      </x:c>
      <x:c r="L1102" s="14" t="str"/>
      <x:c r="M1102" s="14" t="str">
        <x:v>Alternate</x:v>
      </x:c>
      <x:c r="N1102" s="14" t="n">
        <x:f>IF(E1102&lt;&gt;"",1,0)+IF(F1102&lt;&gt;"",1,0)+IF(H1102&lt;&gt;"",1,0)+IF(J1102&lt;&gt;"",1,0)+IF(L1102&lt;&gt;"",1,0)</x:f>
        <x:v>1</x:v>
      </x:c>
      <x:c r="O1102" s="14" t="str">
        <x:f>IF(E1102="","MISSING MAIN",IF(N1102=1,"MAIN ONLY","MULTI-PHOTO"))</x:f>
        <x:v>MAIN ONLY</x:v>
      </x:c>
      <x:c r="P1102" s="14" t="str">
        <x:v>1273_</x:v>
      </x:c>
      <x:c r="Q1102" s="14" t="str">
        <x:v>https://mb1advancedsolutions.github.io/mb1-catalog/index.html?design=1273</x:v>
      </x:c>
      <x:c r="R1102" s="14" t="str"/>
    </x:row>
    <x:row r="1103">
      <x:c r="A1103" s="13" t="str">
        <x:v>MB1-1274</x:v>
      </x:c>
      <x:c r="B1103" s="13" t="str">
        <x:v>MB1-1274</x:v>
      </x:c>
      <x:c r="C1103" s="14" t="str">
        <x:v>bulldog head</x:v>
      </x:c>
      <x:c r="D1103" s="14" t="str">
        <x:v>home decor and inspirational</x:v>
      </x:c>
      <x:c r="E1103" s="14" t="str">
        <x:v>https://res.cloudinary.com/oxygre42/image/upload/f_auto,q_auto,c_pad,b_white,w_1200,h_1200/v1788350939/1274_bulldog_head.png</x:v>
      </x:c>
      <x:c r="F1103" s="14" t="str"/>
      <x:c r="G1103" s="14" t="str">
        <x:v>Lifestyle</x:v>
      </x:c>
      <x:c r="H1103" s="14" t="str"/>
      <x:c r="I1103" s="14" t="str">
        <x:v>Detail</x:v>
      </x:c>
      <x:c r="J1103" s="14" t="str"/>
      <x:c r="K1103" s="14" t="str">
        <x:v>Scale</x:v>
      </x:c>
      <x:c r="L1103" s="14" t="str"/>
      <x:c r="M1103" s="14" t="str">
        <x:v>Alternate</x:v>
      </x:c>
      <x:c r="N1103" s="14" t="n">
        <x:f>IF(E1103&lt;&gt;"",1,0)+IF(F1103&lt;&gt;"",1,0)+IF(H1103&lt;&gt;"",1,0)+IF(J1103&lt;&gt;"",1,0)+IF(L1103&lt;&gt;"",1,0)</x:f>
        <x:v>1</x:v>
      </x:c>
      <x:c r="O1103" s="14" t="str">
        <x:f>IF(E1103="","MISSING MAIN",IF(N1103=1,"MAIN ONLY","MULTI-PHOTO"))</x:f>
        <x:v>MAIN ONLY</x:v>
      </x:c>
      <x:c r="P1103" s="14" t="str">
        <x:v>1274_</x:v>
      </x:c>
      <x:c r="Q1103" s="14" t="str">
        <x:v>https://mb1advancedsolutions.github.io/mb1-catalog/index.html?design=1274</x:v>
      </x:c>
      <x:c r="R1103" s="14" t="str"/>
    </x:row>
    <x:row r="1104">
      <x:c r="A1104" s="13" t="str">
        <x:v>MB1-1275</x:v>
      </x:c>
      <x:c r="B1104" s="13" t="str">
        <x:v>MB1-1275</x:v>
      </x:c>
      <x:c r="C1104" s="14" t="str">
        <x:v>cheap fast quality sign</x:v>
      </x:c>
      <x:c r="D1104" s="14" t="str">
        <x:v>home decor and inspirational</x:v>
      </x:c>
      <x:c r="E1104" s="14" t="str">
        <x:v>https://res.cloudinary.com/oxygre42/image/upload/f_auto,q_auto,c_pad,b_white,w_1200,h_1200/v1788350941/1275_cheap_fast_quality_sign.png</x:v>
      </x:c>
      <x:c r="F1104" s="14" t="str"/>
      <x:c r="G1104" s="14" t="str">
        <x:v>Lifestyle</x:v>
      </x:c>
      <x:c r="H1104" s="14" t="str"/>
      <x:c r="I1104" s="14" t="str">
        <x:v>Detail</x:v>
      </x:c>
      <x:c r="J1104" s="14" t="str"/>
      <x:c r="K1104" s="14" t="str">
        <x:v>Scale</x:v>
      </x:c>
      <x:c r="L1104" s="14" t="str"/>
      <x:c r="M1104" s="14" t="str">
        <x:v>Alternate</x:v>
      </x:c>
      <x:c r="N1104" s="14" t="n">
        <x:f>IF(E1104&lt;&gt;"",1,0)+IF(F1104&lt;&gt;"",1,0)+IF(H1104&lt;&gt;"",1,0)+IF(J1104&lt;&gt;"",1,0)+IF(L1104&lt;&gt;"",1,0)</x:f>
        <x:v>1</x:v>
      </x:c>
      <x:c r="O1104" s="14" t="str">
        <x:f>IF(E1104="","MISSING MAIN",IF(N1104=1,"MAIN ONLY","MULTI-PHOTO"))</x:f>
        <x:v>MAIN ONLY</x:v>
      </x:c>
      <x:c r="P1104" s="14" t="str">
        <x:v>1275_</x:v>
      </x:c>
      <x:c r="Q1104" s="14" t="str">
        <x:v>https://mb1advancedsolutions.github.io/mb1-catalog/index.html?design=1275</x:v>
      </x:c>
      <x:c r="R1104" s="14" t="str"/>
    </x:row>
    <x:row r="1105">
      <x:c r="A1105" s="13" t="str">
        <x:v>MB1-1276</x:v>
      </x:c>
      <x:c r="B1105" s="13" t="str">
        <x:v>MB1-1276</x:v>
      </x:c>
      <x:c r="C1105" s="14" t="str">
        <x:v>eagle triangle mountain</x:v>
      </x:c>
      <x:c r="D1105" s="14" t="str">
        <x:v>wildlife and outdoors</x:v>
      </x:c>
      <x:c r="E1105" s="14" t="str">
        <x:v>https://res.cloudinary.com/oxygre42/image/upload/f_auto,q_auto,c_pad,b_white,w_1200,h_1200/v1788350943/1276_eagle_triangle_mountain.png</x:v>
      </x:c>
      <x:c r="F1105" s="14" t="str"/>
      <x:c r="G1105" s="14" t="str">
        <x:v>Lifestyle</x:v>
      </x:c>
      <x:c r="H1105" s="14" t="str"/>
      <x:c r="I1105" s="14" t="str">
        <x:v>Detail</x:v>
      </x:c>
      <x:c r="J1105" s="14" t="str"/>
      <x:c r="K1105" s="14" t="str">
        <x:v>Scale</x:v>
      </x:c>
      <x:c r="L1105" s="14" t="str"/>
      <x:c r="M1105" s="14" t="str">
        <x:v>Alternate</x:v>
      </x:c>
      <x:c r="N1105" s="14" t="n">
        <x:f>IF(E1105&lt;&gt;"",1,0)+IF(F1105&lt;&gt;"",1,0)+IF(H1105&lt;&gt;"",1,0)+IF(J1105&lt;&gt;"",1,0)+IF(L1105&lt;&gt;"",1,0)</x:f>
        <x:v>1</x:v>
      </x:c>
      <x:c r="O1105" s="14" t="str">
        <x:f>IF(E1105="","MISSING MAIN",IF(N1105=1,"MAIN ONLY","MULTI-PHOTO"))</x:f>
        <x:v>MAIN ONLY</x:v>
      </x:c>
      <x:c r="P1105" s="14" t="str">
        <x:v>1276_</x:v>
      </x:c>
      <x:c r="Q1105" s="14" t="str">
        <x:v>https://mb1advancedsolutions.github.io/mb1-catalog/index.html?design=1276</x:v>
      </x:c>
      <x:c r="R1105" s="14" t="str"/>
    </x:row>
    <x:row r="1106">
      <x:c r="A1106" s="13" t="str">
        <x:v>MB1-1277</x:v>
      </x:c>
      <x:c r="B1106" s="13" t="str">
        <x:v>MB1-1277</x:v>
      </x:c>
      <x:c r="C1106" s="14" t="str">
        <x:v>fence warning sign</x:v>
      </x:c>
      <x:c r="D1106" s="14" t="str">
        <x:v>address and property</x:v>
      </x:c>
      <x:c r="E1106" s="14" t="str">
        <x:v>https://res.cloudinary.com/oxygre42/image/upload/f_auto,q_auto,c_pad,b_white,w_1200,h_1200/v1788350945/1277_fence_warning_sign.png</x:v>
      </x:c>
      <x:c r="F1106" s="14" t="str"/>
      <x:c r="G1106" s="14" t="str">
        <x:v>Lifestyle</x:v>
      </x:c>
      <x:c r="H1106" s="14" t="str"/>
      <x:c r="I1106" s="14" t="str">
        <x:v>Detail</x:v>
      </x:c>
      <x:c r="J1106" s="14" t="str"/>
      <x:c r="K1106" s="14" t="str">
        <x:v>Scale</x:v>
      </x:c>
      <x:c r="L1106" s="14" t="str"/>
      <x:c r="M1106" s="14" t="str">
        <x:v>Alternate</x:v>
      </x:c>
      <x:c r="N1106" s="14" t="n">
        <x:f>IF(E1106&lt;&gt;"",1,0)+IF(F1106&lt;&gt;"",1,0)+IF(H1106&lt;&gt;"",1,0)+IF(J1106&lt;&gt;"",1,0)+IF(L1106&lt;&gt;"",1,0)</x:f>
        <x:v>1</x:v>
      </x:c>
      <x:c r="O1106" s="14" t="str">
        <x:f>IF(E1106="","MISSING MAIN",IF(N1106=1,"MAIN ONLY","MULTI-PHOTO"))</x:f>
        <x:v>MAIN ONLY</x:v>
      </x:c>
      <x:c r="P1106" s="14" t="str">
        <x:v>1277_</x:v>
      </x:c>
      <x:c r="Q1106" s="14" t="str">
        <x:v>https://mb1advancedsolutions.github.io/mb1-catalog/index.html?design=1277</x:v>
      </x:c>
      <x:c r="R1106" s="14" t="str"/>
    </x:row>
    <x:row r="1107">
      <x:c r="A1107" s="13" t="str">
        <x:v>MB1-1278</x:v>
      </x:c>
      <x:c r="B1107" s="13" t="str">
        <x:v>MB1-1278</x:v>
      </x:c>
      <x:c r="C1107" s="14" t="str">
        <x:v>fish us flag</x:v>
      </x:c>
      <x:c r="D1107" s="14" t="str">
        <x:v>seasonal and holiday</x:v>
      </x:c>
      <x:c r="E1107" s="14" t="str">
        <x:v>https://res.cloudinary.com/oxygre42/image/upload/f_auto,q_auto,c_pad,b_white,w_1200,h_1200/v1788350947/1278_fish_us_flag.png</x:v>
      </x:c>
      <x:c r="F1107" s="14" t="str"/>
      <x:c r="G1107" s="14" t="str">
        <x:v>Lifestyle</x:v>
      </x:c>
      <x:c r="H1107" s="14" t="str"/>
      <x:c r="I1107" s="14" t="str">
        <x:v>Detail</x:v>
      </x:c>
      <x:c r="J1107" s="14" t="str"/>
      <x:c r="K1107" s="14" t="str">
        <x:v>Scale</x:v>
      </x:c>
      <x:c r="L1107" s="14" t="str"/>
      <x:c r="M1107" s="14" t="str">
        <x:v>Alternate</x:v>
      </x:c>
      <x:c r="N1107" s="14" t="n">
        <x:f>IF(E1107&lt;&gt;"",1,0)+IF(F1107&lt;&gt;"",1,0)+IF(H1107&lt;&gt;"",1,0)+IF(J1107&lt;&gt;"",1,0)+IF(L1107&lt;&gt;"",1,0)</x:f>
        <x:v>1</x:v>
      </x:c>
      <x:c r="O1107" s="14" t="str">
        <x:f>IF(E1107="","MISSING MAIN",IF(N1107=1,"MAIN ONLY","MULTI-PHOTO"))</x:f>
        <x:v>MAIN ONLY</x:v>
      </x:c>
      <x:c r="P1107" s="14" t="str">
        <x:v>1278_</x:v>
      </x:c>
      <x:c r="Q1107" s="14" t="str">
        <x:v>https://mb1advancedsolutions.github.io/mb1-catalog/index.html?design=1278</x:v>
      </x:c>
      <x:c r="R1107" s="14" t="str"/>
    </x:row>
    <x:row r="1108">
      <x:c r="A1108" s="13" t="str">
        <x:v>MB1-1279</x:v>
      </x:c>
      <x:c r="B1108" s="13" t="str">
        <x:v>MB1-1279</x:v>
      </x:c>
      <x:c r="C1108" s="14" t="str">
        <x:v>go away gnome</x:v>
      </x:c>
      <x:c r="D1108" s="14" t="str">
        <x:v>home decor and inspirational</x:v>
      </x:c>
      <x:c r="E1108" s="14" t="str">
        <x:v>https://res.cloudinary.com/oxygre42/image/upload/f_auto,q_auto,c_pad,b_white,w_1200,h_1200/v1788350948/1279_go_away_gnome.png</x:v>
      </x:c>
      <x:c r="F1108" s="14" t="str"/>
      <x:c r="G1108" s="14" t="str">
        <x:v>Lifestyle</x:v>
      </x:c>
      <x:c r="H1108" s="14" t="str"/>
      <x:c r="I1108" s="14" t="str">
        <x:v>Detail</x:v>
      </x:c>
      <x:c r="J1108" s="14" t="str"/>
      <x:c r="K1108" s="14" t="str">
        <x:v>Scale</x:v>
      </x:c>
      <x:c r="L1108" s="14" t="str"/>
      <x:c r="M1108" s="14" t="str">
        <x:v>Alternate</x:v>
      </x:c>
      <x:c r="N1108" s="14" t="n">
        <x:f>IF(E1108&lt;&gt;"",1,0)+IF(F1108&lt;&gt;"",1,0)+IF(H1108&lt;&gt;"",1,0)+IF(J1108&lt;&gt;"",1,0)+IF(L1108&lt;&gt;"",1,0)</x:f>
        <x:v>1</x:v>
      </x:c>
      <x:c r="O1108" s="14" t="str">
        <x:f>IF(E1108="","MISSING MAIN",IF(N1108=1,"MAIN ONLY","MULTI-PHOTO"))</x:f>
        <x:v>MAIN ONLY</x:v>
      </x:c>
      <x:c r="P1108" s="14" t="str">
        <x:v>1279_</x:v>
      </x:c>
      <x:c r="Q1108" s="14" t="str">
        <x:v>https://mb1advancedsolutions.github.io/mb1-catalog/index.html?design=1279</x:v>
      </x:c>
      <x:c r="R1108" s="14" t="str"/>
    </x:row>
    <x:row r="1109">
      <x:c r="A1109" s="13" t="str">
        <x:v>MB1-1281</x:v>
      </x:c>
      <x:c r="B1109" s="13" t="str">
        <x:v>MB1-1281</x:v>
      </x:c>
      <x:c r="C1109" s="14" t="str">
        <x:v>home sweet home </x:v>
      </x:c>
      <x:c r="D1109" s="14" t="str">
        <x:v>home decor and inspirational</x:v>
      </x:c>
      <x:c r="E1109" s="14" t="str">
        <x:v>https://res.cloudinary.com/oxygre42/image/upload/f_auto,q_auto,c_pad,b_white,w_1200,h_1200/v1788350952/1281_home_sweet_home.png</x:v>
      </x:c>
      <x:c r="F1109" s="14" t="str"/>
      <x:c r="G1109" s="14" t="str">
        <x:v>Lifestyle</x:v>
      </x:c>
      <x:c r="H1109" s="14" t="str"/>
      <x:c r="I1109" s="14" t="str">
        <x:v>Detail</x:v>
      </x:c>
      <x:c r="J1109" s="14" t="str"/>
      <x:c r="K1109" s="14" t="str">
        <x:v>Scale</x:v>
      </x:c>
      <x:c r="L1109" s="14" t="str"/>
      <x:c r="M1109" s="14" t="str">
        <x:v>Alternate</x:v>
      </x:c>
      <x:c r="N1109" s="14" t="n">
        <x:f>IF(E1109&lt;&gt;"",1,0)+IF(F1109&lt;&gt;"",1,0)+IF(H1109&lt;&gt;"",1,0)+IF(J1109&lt;&gt;"",1,0)+IF(L1109&lt;&gt;"",1,0)</x:f>
        <x:v>1</x:v>
      </x:c>
      <x:c r="O1109" s="14" t="str">
        <x:f>IF(E1109="","MISSING MAIN",IF(N1109=1,"MAIN ONLY","MULTI-PHOTO"))</x:f>
        <x:v>MAIN ONLY</x:v>
      </x:c>
      <x:c r="P1109" s="14" t="str">
        <x:v>1281_</x:v>
      </x:c>
      <x:c r="Q1109" s="14" t="str">
        <x:v>https://mb1advancedsolutions.github.io/mb1-catalog/index.html?design=1281</x:v>
      </x:c>
      <x:c r="R1109" s="14" t="str"/>
    </x:row>
    <x:row r="1110">
      <x:c r="A1110" s="13" t="str">
        <x:v>MB1-1282</x:v>
      </x:c>
      <x:c r="B1110" s="13" t="str">
        <x:v>MB1-1282</x:v>
      </x:c>
      <x:c r="C1110" s="14" t="str">
        <x:v>home sweet home 2</x:v>
      </x:c>
      <x:c r="D1110" s="14" t="str">
        <x:v>home decor and inspirational</x:v>
      </x:c>
      <x:c r="E1110" s="14" t="str">
        <x:v>https://res.cloudinary.com/oxygre42/image/upload/f_auto,q_auto,c_pad,b_white,w_1200,h_1200/v1788350954/1282_home_sweet_home_2.png</x:v>
      </x:c>
      <x:c r="F1110" s="14" t="str"/>
      <x:c r="G1110" s="14" t="str">
        <x:v>Lifestyle</x:v>
      </x:c>
      <x:c r="H1110" s="14" t="str"/>
      <x:c r="I1110" s="14" t="str">
        <x:v>Detail</x:v>
      </x:c>
      <x:c r="J1110" s="14" t="str"/>
      <x:c r="K1110" s="14" t="str">
        <x:v>Scale</x:v>
      </x:c>
      <x:c r="L1110" s="14" t="str"/>
      <x:c r="M1110" s="14" t="str">
        <x:v>Alternate</x:v>
      </x:c>
      <x:c r="N1110" s="14" t="n">
        <x:f>IF(E1110&lt;&gt;"",1,0)+IF(F1110&lt;&gt;"",1,0)+IF(H1110&lt;&gt;"",1,0)+IF(J1110&lt;&gt;"",1,0)+IF(L1110&lt;&gt;"",1,0)</x:f>
        <x:v>1</x:v>
      </x:c>
      <x:c r="O1110" s="14" t="str">
        <x:f>IF(E1110="","MISSING MAIN",IF(N1110=1,"MAIN ONLY","MULTI-PHOTO"))</x:f>
        <x:v>MAIN ONLY</x:v>
      </x:c>
      <x:c r="P1110" s="14" t="str">
        <x:v>1282_</x:v>
      </x:c>
      <x:c r="Q1110" s="14" t="str">
        <x:v>https://mb1advancedsolutions.github.io/mb1-catalog/index.html?design=1282</x:v>
      </x:c>
      <x:c r="R1110" s="14" t="str"/>
    </x:row>
    <x:row r="1111">
      <x:c r="A1111" s="13" t="str">
        <x:v>MB1-1283</x:v>
      </x:c>
      <x:c r="B1111" s="13" t="str">
        <x:v>MB1-1283</x:v>
      </x:c>
      <x:c r="C1111" s="14" t="str">
        <x:v>hummingbird</x:v>
      </x:c>
      <x:c r="D1111" s="14" t="str">
        <x:v>wildlife and outdoors</x:v>
      </x:c>
      <x:c r="E1111" s="14" t="str">
        <x:v>https://res.cloudinary.com/oxygre42/image/upload/f_auto,q_auto,c_pad,b_white,w_1200,h_1200/v1788350956/1283_hummingbird.png</x:v>
      </x:c>
      <x:c r="F1111" s="14" t="str"/>
      <x:c r="G1111" s="14" t="str">
        <x:v>Lifestyle</x:v>
      </x:c>
      <x:c r="H1111" s="14" t="str"/>
      <x:c r="I1111" s="14" t="str">
        <x:v>Detail</x:v>
      </x:c>
      <x:c r="J1111" s="14" t="str"/>
      <x:c r="K1111" s="14" t="str">
        <x:v>Scale</x:v>
      </x:c>
      <x:c r="L1111" s="14" t="str"/>
      <x:c r="M1111" s="14" t="str">
        <x:v>Alternate</x:v>
      </x:c>
      <x:c r="N1111" s="14" t="n">
        <x:f>IF(E1111&lt;&gt;"",1,0)+IF(F1111&lt;&gt;"",1,0)+IF(H1111&lt;&gt;"",1,0)+IF(J1111&lt;&gt;"",1,0)+IF(L1111&lt;&gt;"",1,0)</x:f>
        <x:v>1</x:v>
      </x:c>
      <x:c r="O1111" s="14" t="str">
        <x:f>IF(E1111="","MISSING MAIN",IF(N1111=1,"MAIN ONLY","MULTI-PHOTO"))</x:f>
        <x:v>MAIN ONLY</x:v>
      </x:c>
      <x:c r="P1111" s="14" t="str">
        <x:v>1283_</x:v>
      </x:c>
      <x:c r="Q1111" s="14" t="str">
        <x:v>https://mb1advancedsolutions.github.io/mb1-catalog/index.html?design=1283</x:v>
      </x:c>
      <x:c r="R1111" s="14" t="str"/>
    </x:row>
    <x:row r="1112">
      <x:c r="A1112" s="13" t="str">
        <x:v>MB1-1285</x:v>
      </x:c>
      <x:c r="B1112" s="13" t="str">
        <x:v>MB1-1285</x:v>
      </x:c>
      <x:c r="C1112" s="14" t="str">
        <x:v>journey lineman</x:v>
      </x:c>
      <x:c r="D1112" s="14" t="str">
        <x:v>home decor and inspirational</x:v>
      </x:c>
      <x:c r="E1112" s="14" t="str">
        <x:v>https://res.cloudinary.com/oxygre42/image/upload/f_auto,q_auto,c_pad,b_white,w_1200,h_1200/v1788350960/1285_journey_lineman.png</x:v>
      </x:c>
      <x:c r="F1112" s="14" t="str"/>
      <x:c r="G1112" s="14" t="str">
        <x:v>Lifestyle</x:v>
      </x:c>
      <x:c r="H1112" s="14" t="str"/>
      <x:c r="I1112" s="14" t="str">
        <x:v>Detail</x:v>
      </x:c>
      <x:c r="J1112" s="14" t="str"/>
      <x:c r="K1112" s="14" t="str">
        <x:v>Scale</x:v>
      </x:c>
      <x:c r="L1112" s="14" t="str"/>
      <x:c r="M1112" s="14" t="str">
        <x:v>Alternate</x:v>
      </x:c>
      <x:c r="N1112" s="14" t="n">
        <x:f>IF(E1112&lt;&gt;"",1,0)+IF(F1112&lt;&gt;"",1,0)+IF(H1112&lt;&gt;"",1,0)+IF(J1112&lt;&gt;"",1,0)+IF(L1112&lt;&gt;"",1,0)</x:f>
        <x:v>1</x:v>
      </x:c>
      <x:c r="O1112" s="14" t="str">
        <x:f>IF(E1112="","MISSING MAIN",IF(N1112=1,"MAIN ONLY","MULTI-PHOTO"))</x:f>
        <x:v>MAIN ONLY</x:v>
      </x:c>
      <x:c r="P1112" s="14" t="str">
        <x:v>1285_</x:v>
      </x:c>
      <x:c r="Q1112" s="14" t="str">
        <x:v>https://mb1advancedsolutions.github.io/mb1-catalog/index.html?design=1285</x:v>
      </x:c>
      <x:c r="R1112" s="14" t="str"/>
    </x:row>
    <x:row r="1113">
      <x:c r="A1113" s="13" t="str">
        <x:v>MB1-1286</x:v>
      </x:c>
      <x:c r="B1113" s="13" t="str">
        <x:v>MB1-1286</x:v>
      </x:c>
      <x:c r="C1113" s="14" t="str">
        <x:v>journeyman lineman</x:v>
      </x:c>
      <x:c r="D1113" s="14" t="str">
        <x:v>home decor and inspirational</x:v>
      </x:c>
      <x:c r="E1113" s="14" t="str">
        <x:v>https://res.cloudinary.com/oxygre42/image/upload/f_auto,q_auto,c_pad,b_white,w_1200,h_1200/v1788350962/1286_journeyman_lineman.png</x:v>
      </x:c>
      <x:c r="F1113" s="14" t="str"/>
      <x:c r="G1113" s="14" t="str">
        <x:v>Lifestyle</x:v>
      </x:c>
      <x:c r="H1113" s="14" t="str"/>
      <x:c r="I1113" s="14" t="str">
        <x:v>Detail</x:v>
      </x:c>
      <x:c r="J1113" s="14" t="str"/>
      <x:c r="K1113" s="14" t="str">
        <x:v>Scale</x:v>
      </x:c>
      <x:c r="L1113" s="14" t="str"/>
      <x:c r="M1113" s="14" t="str">
        <x:v>Alternate</x:v>
      </x:c>
      <x:c r="N1113" s="14" t="n">
        <x:f>IF(E1113&lt;&gt;"",1,0)+IF(F1113&lt;&gt;"",1,0)+IF(H1113&lt;&gt;"",1,0)+IF(J1113&lt;&gt;"",1,0)+IF(L1113&lt;&gt;"",1,0)</x:f>
        <x:v>1</x:v>
      </x:c>
      <x:c r="O1113" s="14" t="str">
        <x:f>IF(E1113="","MISSING MAIN",IF(N1113=1,"MAIN ONLY","MULTI-PHOTO"))</x:f>
        <x:v>MAIN ONLY</x:v>
      </x:c>
      <x:c r="P1113" s="14" t="str">
        <x:v>1286_</x:v>
      </x:c>
      <x:c r="Q1113" s="14" t="str">
        <x:v>https://mb1advancedsolutions.github.io/mb1-catalog/index.html?design=1286</x:v>
      </x:c>
      <x:c r="R1113" s="14" t="str"/>
    </x:row>
    <x:row r="1114">
      <x:c r="A1114" s="13" t="str">
        <x:v>MB1-1287</x:v>
      </x:c>
      <x:c r="B1114" s="13" t="str">
        <x:v>MB1-1287</x:v>
      </x:c>
      <x:c r="C1114" s="14" t="str">
        <x:v>las vegas welcome sign </x:v>
      </x:c>
      <x:c r="D1114" s="14" t="str">
        <x:v>home decor and inspirational</x:v>
      </x:c>
      <x:c r="E1114" s="14" t="str">
        <x:v>https://res.cloudinary.com/oxygre42/image/upload/f_auto,q_auto,c_pad,b_white,w_1200,h_1200/v1788350963/1287_las_vegas_welcome_sign.png</x:v>
      </x:c>
      <x:c r="F1114" s="14" t="str"/>
      <x:c r="G1114" s="14" t="str">
        <x:v>Lifestyle</x:v>
      </x:c>
      <x:c r="H1114" s="14" t="str"/>
      <x:c r="I1114" s="14" t="str">
        <x:v>Detail</x:v>
      </x:c>
      <x:c r="J1114" s="14" t="str"/>
      <x:c r="K1114" s="14" t="str">
        <x:v>Scale</x:v>
      </x:c>
      <x:c r="L1114" s="14" t="str"/>
      <x:c r="M1114" s="14" t="str">
        <x:v>Alternate</x:v>
      </x:c>
      <x:c r="N1114" s="14" t="n">
        <x:f>IF(E1114&lt;&gt;"",1,0)+IF(F1114&lt;&gt;"",1,0)+IF(H1114&lt;&gt;"",1,0)+IF(J1114&lt;&gt;"",1,0)+IF(L1114&lt;&gt;"",1,0)</x:f>
        <x:v>1</x:v>
      </x:c>
      <x:c r="O1114" s="14" t="str">
        <x:f>IF(E1114="","MISSING MAIN",IF(N1114=1,"MAIN ONLY","MULTI-PHOTO"))</x:f>
        <x:v>MAIN ONLY</x:v>
      </x:c>
      <x:c r="P1114" s="14" t="str">
        <x:v>1287_</x:v>
      </x:c>
      <x:c r="Q1114" s="14" t="str">
        <x:v>https://mb1advancedsolutions.github.io/mb1-catalog/index.html?design=1287</x:v>
      </x:c>
      <x:c r="R1114" s="14" t="str"/>
    </x:row>
    <x:row r="1115">
      <x:c r="A1115" s="13" t="str">
        <x:v>MB1-1288</x:v>
      </x:c>
      <x:c r="B1115" s="13" t="str">
        <x:v>MB1-1288</x:v>
      </x:c>
      <x:c r="C1115" s="14" t="str">
        <x:v>number one eagle usa 1</x:v>
      </x:c>
      <x:c r="D1115" s="14" t="str">
        <x:v>seasonal and holiday</x:v>
      </x:c>
      <x:c r="E1115" s="14" t="str">
        <x:v>https://res.cloudinary.com/oxygre42/image/upload/f_auto,q_auto,c_pad,b_white,w_1200,h_1200/v1788350965/1288_number_one_eagle_usa_1.png</x:v>
      </x:c>
      <x:c r="F1115" s="14" t="str"/>
      <x:c r="G1115" s="14" t="str">
        <x:v>Lifestyle</x:v>
      </x:c>
      <x:c r="H1115" s="14" t="str"/>
      <x:c r="I1115" s="14" t="str">
        <x:v>Detail</x:v>
      </x:c>
      <x:c r="J1115" s="14" t="str"/>
      <x:c r="K1115" s="14" t="str">
        <x:v>Scale</x:v>
      </x:c>
      <x:c r="L1115" s="14" t="str"/>
      <x:c r="M1115" s="14" t="str">
        <x:v>Alternate</x:v>
      </x:c>
      <x:c r="N1115" s="14" t="n">
        <x:f>IF(E1115&lt;&gt;"",1,0)+IF(F1115&lt;&gt;"",1,0)+IF(H1115&lt;&gt;"",1,0)+IF(J1115&lt;&gt;"",1,0)+IF(L1115&lt;&gt;"",1,0)</x:f>
        <x:v>1</x:v>
      </x:c>
      <x:c r="O1115" s="14" t="str">
        <x:f>IF(E1115="","MISSING MAIN",IF(N1115=1,"MAIN ONLY","MULTI-PHOTO"))</x:f>
        <x:v>MAIN ONLY</x:v>
      </x:c>
      <x:c r="P1115" s="14" t="str">
        <x:v>1288_</x:v>
      </x:c>
      <x:c r="Q1115" s="14" t="str">
        <x:v>https://mb1advancedsolutions.github.io/mb1-catalog/index.html?design=1288</x:v>
      </x:c>
      <x:c r="R1115" s="14" t="str"/>
    </x:row>
    <x:row r="1116">
      <x:c r="A1116" s="13" t="str">
        <x:v>MB1-1289</x:v>
      </x:c>
      <x:c r="B1116" s="13" t="str">
        <x:v>MB1-1289</x:v>
      </x:c>
      <x:c r="C1116" s="14" t="str">
        <x:v>number one eagle usa 2</x:v>
      </x:c>
      <x:c r="D1116" s="14" t="str">
        <x:v>seasonal and holiday</x:v>
      </x:c>
      <x:c r="E1116" s="14" t="str">
        <x:v>https://res.cloudinary.com/oxygre42/image/upload/f_auto,q_auto,c_pad,b_white,w_1200,h_1200/v1788350967/1289_number_one_eagle_usa_2.png</x:v>
      </x:c>
      <x:c r="F1116" s="14" t="str"/>
      <x:c r="G1116" s="14" t="str">
        <x:v>Lifestyle</x:v>
      </x:c>
      <x:c r="H1116" s="14" t="str"/>
      <x:c r="I1116" s="14" t="str">
        <x:v>Detail</x:v>
      </x:c>
      <x:c r="J1116" s="14" t="str"/>
      <x:c r="K1116" s="14" t="str">
        <x:v>Scale</x:v>
      </x:c>
      <x:c r="L1116" s="14" t="str"/>
      <x:c r="M1116" s="14" t="str">
        <x:v>Alternate</x:v>
      </x:c>
      <x:c r="N1116" s="14" t="n">
        <x:f>IF(E1116&lt;&gt;"",1,0)+IF(F1116&lt;&gt;"",1,0)+IF(H1116&lt;&gt;"",1,0)+IF(J1116&lt;&gt;"",1,0)+IF(L1116&lt;&gt;"",1,0)</x:f>
        <x:v>1</x:v>
      </x:c>
      <x:c r="O1116" s="14" t="str">
        <x:f>IF(E1116="","MISSING MAIN",IF(N1116=1,"MAIN ONLY","MULTI-PHOTO"))</x:f>
        <x:v>MAIN ONLY</x:v>
      </x:c>
      <x:c r="P1116" s="14" t="str">
        <x:v>1289_</x:v>
      </x:c>
      <x:c r="Q1116" s="14" t="str">
        <x:v>https://mb1advancedsolutions.github.io/mb1-catalog/index.html?design=1289</x:v>
      </x:c>
      <x:c r="R1116" s="14" t="str"/>
    </x:row>
    <x:row r="1117">
      <x:c r="A1117" s="13" t="str">
        <x:v>MB1-1290</x:v>
      </x:c>
      <x:c r="B1117" s="13" t="str">
        <x:v>MB1-1290</x:v>
      </x:c>
      <x:c r="C1117" s="14" t="str">
        <x:v>number one skull flowers</x:v>
      </x:c>
      <x:c r="D1117" s="14" t="str">
        <x:v>home decor and inspirational</x:v>
      </x:c>
      <x:c r="E1117" s="14" t="str">
        <x:v>https://res.cloudinary.com/oxygre42/image/upload/f_auto,q_auto,c_pad,b_white,w_1200,h_1200/v1788350969/1290_number_one_skull_flowers.png</x:v>
      </x:c>
      <x:c r="F1117" s="14" t="str"/>
      <x:c r="G1117" s="14" t="str">
        <x:v>Lifestyle</x:v>
      </x:c>
      <x:c r="H1117" s="14" t="str"/>
      <x:c r="I1117" s="14" t="str">
        <x:v>Detail</x:v>
      </x:c>
      <x:c r="J1117" s="14" t="str"/>
      <x:c r="K1117" s="14" t="str">
        <x:v>Scale</x:v>
      </x:c>
      <x:c r="L1117" s="14" t="str"/>
      <x:c r="M1117" s="14" t="str">
        <x:v>Alternate</x:v>
      </x:c>
      <x:c r="N1117" s="14" t="n">
        <x:f>IF(E1117&lt;&gt;"",1,0)+IF(F1117&lt;&gt;"",1,0)+IF(H1117&lt;&gt;"",1,0)+IF(J1117&lt;&gt;"",1,0)+IF(L1117&lt;&gt;"",1,0)</x:f>
        <x:v>1</x:v>
      </x:c>
      <x:c r="O1117" s="14" t="str">
        <x:f>IF(E1117="","MISSING MAIN",IF(N1117=1,"MAIN ONLY","MULTI-PHOTO"))</x:f>
        <x:v>MAIN ONLY</x:v>
      </x:c>
      <x:c r="P1117" s="14" t="str">
        <x:v>1290_</x:v>
      </x:c>
      <x:c r="Q1117" s="14" t="str">
        <x:v>https://mb1advancedsolutions.github.io/mb1-catalog/index.html?design=1290</x:v>
      </x:c>
      <x:c r="R1117" s="14" t="str"/>
    </x:row>
    <x:row r="1118">
      <x:c r="A1118" s="13" t="str">
        <x:v>MB1-1291</x:v>
      </x:c>
      <x:c r="B1118" s="13" t="str">
        <x:v>MB1-1291</x:v>
      </x:c>
      <x:c r="C1118" s="14" t="str">
        <x:v>phoenix</x:v>
      </x:c>
      <x:c r="D1118" s="14" t="str">
        <x:v>wildlife and outdoors</x:v>
      </x:c>
      <x:c r="E1118" s="14" t="str">
        <x:v>https://res.cloudinary.com/oxygre42/image/upload/f_auto,q_auto,c_pad,b_white,w_1200,h_1200/v1788350971/1291_phoenix.png</x:v>
      </x:c>
      <x:c r="F1118" s="14" t="str"/>
      <x:c r="G1118" s="14" t="str">
        <x:v>Lifestyle</x:v>
      </x:c>
      <x:c r="H1118" s="14" t="str"/>
      <x:c r="I1118" s="14" t="str">
        <x:v>Detail</x:v>
      </x:c>
      <x:c r="J1118" s="14" t="str"/>
      <x:c r="K1118" s="14" t="str">
        <x:v>Scale</x:v>
      </x:c>
      <x:c r="L1118" s="14" t="str"/>
      <x:c r="M1118" s="14" t="str">
        <x:v>Alternate</x:v>
      </x:c>
      <x:c r="N1118" s="14" t="n">
        <x:f>IF(E1118&lt;&gt;"",1,0)+IF(F1118&lt;&gt;"",1,0)+IF(H1118&lt;&gt;"",1,0)+IF(J1118&lt;&gt;"",1,0)+IF(L1118&lt;&gt;"",1,0)</x:f>
        <x:v>1</x:v>
      </x:c>
      <x:c r="O1118" s="14" t="str">
        <x:f>IF(E1118="","MISSING MAIN",IF(N1118=1,"MAIN ONLY","MULTI-PHOTO"))</x:f>
        <x:v>MAIN ONLY</x:v>
      </x:c>
      <x:c r="P1118" s="14" t="str">
        <x:v>1291_</x:v>
      </x:c>
      <x:c r="Q1118" s="14" t="str">
        <x:v>https://mb1advancedsolutions.github.io/mb1-catalog/index.html?design=1291</x:v>
      </x:c>
      <x:c r="R1118" s="14" t="str"/>
    </x:row>
    <x:row r="1119">
      <x:c r="A1119" s="13" t="str">
        <x:v>MB1-1292</x:v>
      </x:c>
      <x:c r="B1119" s="13" t="str">
        <x:v>MB1-1292</x:v>
      </x:c>
      <x:c r="C1119" s="14" t="str">
        <x:v>pool shark</x:v>
      </x:c>
      <x:c r="D1119" s="14" t="str">
        <x:v>sports and hobbies</x:v>
      </x:c>
      <x:c r="E1119" s="14" t="str">
        <x:v>https://res.cloudinary.com/oxygre42/image/upload/f_auto,q_auto,c_pad,b_white,w_1200,h_1200/v1788350973/1292_pool_shark.png</x:v>
      </x:c>
      <x:c r="F1119" s="14" t="str"/>
      <x:c r="G1119" s="14" t="str">
        <x:v>Lifestyle</x:v>
      </x:c>
      <x:c r="H1119" s="14" t="str"/>
      <x:c r="I1119" s="14" t="str">
        <x:v>Detail</x:v>
      </x:c>
      <x:c r="J1119" s="14" t="str"/>
      <x:c r="K1119" s="14" t="str">
        <x:v>Scale</x:v>
      </x:c>
      <x:c r="L1119" s="14" t="str"/>
      <x:c r="M1119" s="14" t="str">
        <x:v>Alternate</x:v>
      </x:c>
      <x:c r="N1119" s="14" t="n">
        <x:f>IF(E1119&lt;&gt;"",1,0)+IF(F1119&lt;&gt;"",1,0)+IF(H1119&lt;&gt;"",1,0)+IF(J1119&lt;&gt;"",1,0)+IF(L1119&lt;&gt;"",1,0)</x:f>
        <x:v>1</x:v>
      </x:c>
      <x:c r="O1119" s="14" t="str">
        <x:f>IF(E1119="","MISSING MAIN",IF(N1119=1,"MAIN ONLY","MULTI-PHOTO"))</x:f>
        <x:v>MAIN ONLY</x:v>
      </x:c>
      <x:c r="P1119" s="14" t="str">
        <x:v>1292_</x:v>
      </x:c>
      <x:c r="Q1119" s="14" t="str">
        <x:v>https://mb1advancedsolutions.github.io/mb1-catalog/index.html?design=1292</x:v>
      </x:c>
      <x:c r="R1119" s="14" t="str"/>
    </x:row>
    <x:row r="1120">
      <x:c r="A1120" s="13" t="str">
        <x:v>MB1-1295</x:v>
      </x:c>
      <x:c r="B1120" s="13" t="str">
        <x:v>MB1-1295</x:v>
      </x:c>
      <x:c r="C1120" s="14" t="str">
        <x:v>skull biohazard</x:v>
      </x:c>
      <x:c r="D1120" s="14" t="str">
        <x:v>home decor and inspirational</x:v>
      </x:c>
      <x:c r="E1120" s="14" t="str">
        <x:v>https://res.cloudinary.com/oxygre42/image/upload/f_auto,q_auto,c_pad,b_white,w_1200,h_1200/v1788350983/1295_skull_biohazard.png</x:v>
      </x:c>
      <x:c r="F1120" s="14" t="str"/>
      <x:c r="G1120" s="14" t="str">
        <x:v>Lifestyle</x:v>
      </x:c>
      <x:c r="H1120" s="14" t="str"/>
      <x:c r="I1120" s="14" t="str">
        <x:v>Detail</x:v>
      </x:c>
      <x:c r="J1120" s="14" t="str"/>
      <x:c r="K1120" s="14" t="str">
        <x:v>Scale</x:v>
      </x:c>
      <x:c r="L1120" s="14" t="str"/>
      <x:c r="M1120" s="14" t="str">
        <x:v>Alternate</x:v>
      </x:c>
      <x:c r="N1120" s="14" t="n">
        <x:f>IF(E1120&lt;&gt;"",1,0)+IF(F1120&lt;&gt;"",1,0)+IF(H1120&lt;&gt;"",1,0)+IF(J1120&lt;&gt;"",1,0)+IF(L1120&lt;&gt;"",1,0)</x:f>
        <x:v>1</x:v>
      </x:c>
      <x:c r="O1120" s="14" t="str">
        <x:f>IF(E1120="","MISSING MAIN",IF(N1120=1,"MAIN ONLY","MULTI-PHOTO"))</x:f>
        <x:v>MAIN ONLY</x:v>
      </x:c>
      <x:c r="P1120" s="14" t="str">
        <x:v>1295_</x:v>
      </x:c>
      <x:c r="Q1120" s="14" t="str">
        <x:v>https://mb1advancedsolutions.github.io/mb1-catalog/index.html?design=1295</x:v>
      </x:c>
      <x:c r="R1120" s="14" t="str"/>
    </x:row>
    <x:row r="1121">
      <x:c r="A1121" s="13" t="str">
        <x:v>MB1-1297</x:v>
      </x:c>
      <x:c r="B1121" s="13" t="str">
        <x:v>MB1-1297</x:v>
      </x:c>
      <x:c r="C1121" s="14" t="str">
        <x:v>skull wings</x:v>
      </x:c>
      <x:c r="D1121" s="14" t="str">
        <x:v>home decor and inspirational</x:v>
      </x:c>
      <x:c r="E1121" s="14" t="str">
        <x:v>https://res.cloudinary.com/oxygre42/image/upload/f_auto,q_auto,c_pad,b_white,w_1200,h_1200/v1788350982/1297_skull_wings.png</x:v>
      </x:c>
      <x:c r="F1121" s="14" t="str"/>
      <x:c r="G1121" s="14" t="str">
        <x:v>Lifestyle</x:v>
      </x:c>
      <x:c r="H1121" s="14" t="str"/>
      <x:c r="I1121" s="14" t="str">
        <x:v>Detail</x:v>
      </x:c>
      <x:c r="J1121" s="14" t="str"/>
      <x:c r="K1121" s="14" t="str">
        <x:v>Scale</x:v>
      </x:c>
      <x:c r="L1121" s="14" t="str"/>
      <x:c r="M1121" s="14" t="str">
        <x:v>Alternate</x:v>
      </x:c>
      <x:c r="N1121" s="14" t="n">
        <x:f>IF(E1121&lt;&gt;"",1,0)+IF(F1121&lt;&gt;"",1,0)+IF(H1121&lt;&gt;"",1,0)+IF(J1121&lt;&gt;"",1,0)+IF(L1121&lt;&gt;"",1,0)</x:f>
        <x:v>1</x:v>
      </x:c>
      <x:c r="O1121" s="14" t="str">
        <x:f>IF(E1121="","MISSING MAIN",IF(N1121=1,"MAIN ONLY","MULTI-PHOTO"))</x:f>
        <x:v>MAIN ONLY</x:v>
      </x:c>
      <x:c r="P1121" s="14" t="str">
        <x:v>1297_</x:v>
      </x:c>
      <x:c r="Q1121" s="14" t="str">
        <x:v>https://mb1advancedsolutions.github.io/mb1-catalog/index.html?design=1297</x:v>
      </x:c>
      <x:c r="R1121" s="14" t="str"/>
    </x:row>
    <x:row r="1122">
      <x:c r="A1122" s="13" t="str">
        <x:v>MB1-1298</x:v>
      </x:c>
      <x:c r="B1122" s="13" t="str">
        <x:v>MB1-1298</x:v>
      </x:c>
      <x:c r="C1122" s="14" t="str">
        <x:v>snake sign</x:v>
      </x:c>
      <x:c r="D1122" s="14" t="str">
        <x:v>home decor and inspirational</x:v>
      </x:c>
      <x:c r="E1122" s="14" t="str">
        <x:v>https://res.cloudinary.com/oxygre42/image/upload/f_auto,q_auto,c_pad,b_white,w_1200,h_1200/v1788350984/1298_snake_sign.png</x:v>
      </x:c>
      <x:c r="F1122" s="14" t="str"/>
      <x:c r="G1122" s="14" t="str">
        <x:v>Lifestyle</x:v>
      </x:c>
      <x:c r="H1122" s="14" t="str"/>
      <x:c r="I1122" s="14" t="str">
        <x:v>Detail</x:v>
      </x:c>
      <x:c r="J1122" s="14" t="str"/>
      <x:c r="K1122" s="14" t="str">
        <x:v>Scale</x:v>
      </x:c>
      <x:c r="L1122" s="14" t="str"/>
      <x:c r="M1122" s="14" t="str">
        <x:v>Alternate</x:v>
      </x:c>
      <x:c r="N1122" s="14" t="n">
        <x:f>IF(E1122&lt;&gt;"",1,0)+IF(F1122&lt;&gt;"",1,0)+IF(H1122&lt;&gt;"",1,0)+IF(J1122&lt;&gt;"",1,0)+IF(L1122&lt;&gt;"",1,0)</x:f>
        <x:v>1</x:v>
      </x:c>
      <x:c r="O1122" s="14" t="str">
        <x:f>IF(E1122="","MISSING MAIN",IF(N1122=1,"MAIN ONLY","MULTI-PHOTO"))</x:f>
        <x:v>MAIN ONLY</x:v>
      </x:c>
      <x:c r="P1122" s="14" t="str">
        <x:v>1298_</x:v>
      </x:c>
      <x:c r="Q1122" s="14" t="str">
        <x:v>https://mb1advancedsolutions.github.io/mb1-catalog/index.html?design=1298</x:v>
      </x:c>
      <x:c r="R1122" s="14" t="str"/>
    </x:row>
    <x:row r="1123">
      <x:c r="A1123" s="13" t="str">
        <x:v>MB1-1299</x:v>
      </x:c>
      <x:c r="B1123" s="13" t="str">
        <x:v>MB1-1299</x:v>
      </x:c>
      <x:c r="C1123" s="14" t="str">
        <x:v>stone firepit monogram welcome</x:v>
      </x:c>
      <x:c r="D1123" s="14" t="str">
        <x:v>family &amp; name</x:v>
      </x:c>
      <x:c r="E1123" s="14" t="str">
        <x:v>https://res.cloudinary.com/oxygre42/image/upload/f_auto,q_auto,c_pad,b_white,w_1200,h_1200/v1788350986/1299_stone_firepit_monogram_welcome.png</x:v>
      </x:c>
      <x:c r="F1123" s="14" t="str"/>
      <x:c r="G1123" s="14" t="str">
        <x:v>Lifestyle</x:v>
      </x:c>
      <x:c r="H1123" s="14" t="str"/>
      <x:c r="I1123" s="14" t="str">
        <x:v>Detail</x:v>
      </x:c>
      <x:c r="J1123" s="14" t="str"/>
      <x:c r="K1123" s="14" t="str">
        <x:v>Scale</x:v>
      </x:c>
      <x:c r="L1123" s="14" t="str"/>
      <x:c r="M1123" s="14" t="str">
        <x:v>Alternate</x:v>
      </x:c>
      <x:c r="N1123" s="14" t="n">
        <x:f>IF(E1123&lt;&gt;"",1,0)+IF(F1123&lt;&gt;"",1,0)+IF(H1123&lt;&gt;"",1,0)+IF(J1123&lt;&gt;"",1,0)+IF(L1123&lt;&gt;"",1,0)</x:f>
        <x:v>1</x:v>
      </x:c>
      <x:c r="O1123" s="14" t="str">
        <x:f>IF(E1123="","MISSING MAIN",IF(N1123=1,"MAIN ONLY","MULTI-PHOTO"))</x:f>
        <x:v>MAIN ONLY</x:v>
      </x:c>
      <x:c r="P1123" s="14" t="str">
        <x:v>1299_</x:v>
      </x:c>
      <x:c r="Q1123" s="14" t="str">
        <x:v>https://mb1advancedsolutions.github.io/mb1-catalog/index.html?design=1299</x:v>
      </x:c>
      <x:c r="R1123" s="14" t="str"/>
    </x:row>
    <x:row r="1124">
      <x:c r="A1124" s="13" t="str">
        <x:v>MB1-1300</x:v>
      </x:c>
      <x:c r="B1124" s="13" t="str">
        <x:v>MB1-1300</x:v>
      </x:c>
      <x:c r="C1124" s="14" t="str">
        <x:v>weed it and reap</x:v>
      </x:c>
      <x:c r="D1124" s="14" t="str">
        <x:v>home decor and inspirational</x:v>
      </x:c>
      <x:c r="E1124" s="14" t="str">
        <x:v>https://res.cloudinary.com/oxygre42/image/upload/f_auto,q_auto,c_pad,b_white,w_1200,h_1200/v1788350988/1300_weed_it_and_reap.png</x:v>
      </x:c>
      <x:c r="F1124" s="14" t="str"/>
      <x:c r="G1124" s="14" t="str">
        <x:v>Lifestyle</x:v>
      </x:c>
      <x:c r="H1124" s="14" t="str"/>
      <x:c r="I1124" s="14" t="str">
        <x:v>Detail</x:v>
      </x:c>
      <x:c r="J1124" s="14" t="str"/>
      <x:c r="K1124" s="14" t="str">
        <x:v>Scale</x:v>
      </x:c>
      <x:c r="L1124" s="14" t="str"/>
      <x:c r="M1124" s="14" t="str">
        <x:v>Alternate</x:v>
      </x:c>
      <x:c r="N1124" s="14" t="n">
        <x:f>IF(E1124&lt;&gt;"",1,0)+IF(F1124&lt;&gt;"",1,0)+IF(H1124&lt;&gt;"",1,0)+IF(J1124&lt;&gt;"",1,0)+IF(L1124&lt;&gt;"",1,0)</x:f>
        <x:v>1</x:v>
      </x:c>
      <x:c r="O1124" s="14" t="str">
        <x:f>IF(E1124="","MISSING MAIN",IF(N1124=1,"MAIN ONLY","MULTI-PHOTO"))</x:f>
        <x:v>MAIN ONLY</x:v>
      </x:c>
      <x:c r="P1124" s="14" t="str">
        <x:v>1300_</x:v>
      </x:c>
      <x:c r="Q1124" s="14" t="str">
        <x:v>https://mb1advancedsolutions.github.io/mb1-catalog/index.html?design=1300</x:v>
      </x:c>
      <x:c r="R1124" s="14" t="str"/>
    </x:row>
    <x:row r="1125">
      <x:c r="A1125" s="13" t="str">
        <x:v>MB1-1301</x:v>
      </x:c>
      <x:c r="B1125" s="13" t="str">
        <x:v>MB1-1301</x:v>
      </x:c>
      <x:c r="C1125" s="14" t="str">
        <x:v>welcome to our home flowers</x:v>
      </x:c>
      <x:c r="D1125" s="14" t="str">
        <x:v>home decor and inspirational</x:v>
      </x:c>
      <x:c r="E1125" s="14" t="str">
        <x:v>https://res.cloudinary.com/oxygre42/image/upload/f_auto,q_auto,c_pad,b_white,w_1200,h_1200/v1788350990/1301_welcome_to_our_home_flowers.png</x:v>
      </x:c>
      <x:c r="F1125" s="14" t="str"/>
      <x:c r="G1125" s="14" t="str">
        <x:v>Lifestyle</x:v>
      </x:c>
      <x:c r="H1125" s="14" t="str"/>
      <x:c r="I1125" s="14" t="str">
        <x:v>Detail</x:v>
      </x:c>
      <x:c r="J1125" s="14" t="str"/>
      <x:c r="K1125" s="14" t="str">
        <x:v>Scale</x:v>
      </x:c>
      <x:c r="L1125" s="14" t="str"/>
      <x:c r="M1125" s="14" t="str">
        <x:v>Alternate</x:v>
      </x:c>
      <x:c r="N1125" s="14" t="n">
        <x:f>IF(E1125&lt;&gt;"",1,0)+IF(F1125&lt;&gt;"",1,0)+IF(H1125&lt;&gt;"",1,0)+IF(J1125&lt;&gt;"",1,0)+IF(L1125&lt;&gt;"",1,0)</x:f>
        <x:v>1</x:v>
      </x:c>
      <x:c r="O1125" s="14" t="str">
        <x:f>IF(E1125="","MISSING MAIN",IF(N1125=1,"MAIN ONLY","MULTI-PHOTO"))</x:f>
        <x:v>MAIN ONLY</x:v>
      </x:c>
      <x:c r="P1125" s="14" t="str">
        <x:v>1301_</x:v>
      </x:c>
      <x:c r="Q1125" s="14" t="str">
        <x:v>https://mb1advancedsolutions.github.io/mb1-catalog/index.html?design=1301</x:v>
      </x:c>
      <x:c r="R1125" s="14" t="str"/>
    </x:row>
    <x:row r="1126">
      <x:c r="A1126" s="13" t="str">
        <x:v>MB1-1302</x:v>
      </x:c>
      <x:c r="B1126" s="13" t="str">
        <x:v>MB1-1302</x:v>
      </x:c>
      <x:c r="C1126" s="14" t="str">
        <x:v>x3 life</x:v>
      </x:c>
      <x:c r="D1126" s="14" t="str">
        <x:v>home decor and inspirational</x:v>
      </x:c>
      <x:c r="E1126" s="14" t="str">
        <x:v>https://res.cloudinary.com/oxygre42/image/upload/f_auto,q_auto,c_pad,b_white,w_1200,h_1200/v1788350992/1302_x3_life.png</x:v>
      </x:c>
      <x:c r="F1126" s="14" t="str"/>
      <x:c r="G1126" s="14" t="str">
        <x:v>Lifestyle</x:v>
      </x:c>
      <x:c r="H1126" s="14" t="str"/>
      <x:c r="I1126" s="14" t="str">
        <x:v>Detail</x:v>
      </x:c>
      <x:c r="J1126" s="14" t="str"/>
      <x:c r="K1126" s="14" t="str">
        <x:v>Scale</x:v>
      </x:c>
      <x:c r="L1126" s="14" t="str"/>
      <x:c r="M1126" s="14" t="str">
        <x:v>Alternate</x:v>
      </x:c>
      <x:c r="N1126" s="14" t="n">
        <x:f>IF(E1126&lt;&gt;"",1,0)+IF(F1126&lt;&gt;"",1,0)+IF(H1126&lt;&gt;"",1,0)+IF(J1126&lt;&gt;"",1,0)+IF(L1126&lt;&gt;"",1,0)</x:f>
        <x:v>1</x:v>
      </x:c>
      <x:c r="O1126" s="14" t="str">
        <x:f>IF(E1126="","MISSING MAIN",IF(N1126=1,"MAIN ONLY","MULTI-PHOTO"))</x:f>
        <x:v>MAIN ONLY</x:v>
      </x:c>
      <x:c r="P1126" s="14" t="str">
        <x:v>1302_</x:v>
      </x:c>
      <x:c r="Q1126" s="14" t="str">
        <x:v>https://mb1advancedsolutions.github.io/mb1-catalog/index.html?design=1302</x:v>
      </x:c>
      <x:c r="R1126" s="14" t="str"/>
    </x:row>
    <x:row r="1127">
      <x:c r="A1127" s="13" t="str">
        <x:v>MB1-1316</x:v>
      </x:c>
      <x:c r="B1127" s="13" t="str">
        <x:v>MB1-1316</x:v>
      </x:c>
      <x:c r="C1127" s="14" t="str">
        <x:v>Wall clock Skull stars</x:v>
      </x:c>
      <x:c r="D1127" s="14" t="str">
        <x:v>home decor and inspirational</x:v>
      </x:c>
      <x:c r="E1127" s="14" t="str">
        <x:v>https://res.cloudinary.com/oxygre42/image/upload/f_auto,q_auto,c_pad,b_white,w_1200,h_1200/v1788351018/1316_Wall_clock_Skull_stars.png</x:v>
      </x:c>
      <x:c r="F1127" s="14" t="str"/>
      <x:c r="G1127" s="14" t="str">
        <x:v>Lifestyle</x:v>
      </x:c>
      <x:c r="H1127" s="14" t="str"/>
      <x:c r="I1127" s="14" t="str">
        <x:v>Detail</x:v>
      </x:c>
      <x:c r="J1127" s="14" t="str"/>
      <x:c r="K1127" s="14" t="str">
        <x:v>Scale</x:v>
      </x:c>
      <x:c r="L1127" s="14" t="str"/>
      <x:c r="M1127" s="14" t="str">
        <x:v>Alternate</x:v>
      </x:c>
      <x:c r="N1127" s="14" t="n">
        <x:f>IF(E1127&lt;&gt;"",1,0)+IF(F1127&lt;&gt;"",1,0)+IF(H1127&lt;&gt;"",1,0)+IF(J1127&lt;&gt;"",1,0)+IF(L1127&lt;&gt;"",1,0)</x:f>
        <x:v>1</x:v>
      </x:c>
      <x:c r="O1127" s="14" t="str">
        <x:f>IF(E1127="","MISSING MAIN",IF(N1127=1,"MAIN ONLY","MULTI-PHOTO"))</x:f>
        <x:v>MAIN ONLY</x:v>
      </x:c>
      <x:c r="P1127" s="14" t="str">
        <x:v>1316_</x:v>
      </x:c>
      <x:c r="Q1127" s="14" t="str">
        <x:v>https://mb1advancedsolutions.github.io/mb1-catalog/index.html?design=1316</x:v>
      </x:c>
      <x:c r="R1127" s="14" t="str"/>
    </x:row>
    <x:row r="1128">
      <x:c r="A1128" s="13" t="str">
        <x:v>MB1-1350</x:v>
      </x:c>
      <x:c r="B1128" s="13" t="str">
        <x:v>MB1-1350</x:v>
      </x:c>
      <x:c r="C1128" s="14" t="str">
        <x:v>CAR 1</x:v>
      </x:c>
      <x:c r="D1128" s="14" t="str">
        <x:v>home decor and inspirational</x:v>
      </x:c>
      <x:c r="E1128" s="14" t="str">
        <x:v>https://res.cloudinary.com/oxygre42/image/upload/f_auto,q_auto,c_pad,b_white,w_1200,h_1200/v1788351082/1350_CAR_1.png</x:v>
      </x:c>
      <x:c r="F1128" s="14" t="str"/>
      <x:c r="G1128" s="14" t="str">
        <x:v>Lifestyle</x:v>
      </x:c>
      <x:c r="H1128" s="14" t="str"/>
      <x:c r="I1128" s="14" t="str">
        <x:v>Detail</x:v>
      </x:c>
      <x:c r="J1128" s="14" t="str"/>
      <x:c r="K1128" s="14" t="str">
        <x:v>Scale</x:v>
      </x:c>
      <x:c r="L1128" s="14" t="str"/>
      <x:c r="M1128" s="14" t="str">
        <x:v>Alternate</x:v>
      </x:c>
      <x:c r="N1128" s="14" t="n">
        <x:f>IF(E1128&lt;&gt;"",1,0)+IF(F1128&lt;&gt;"",1,0)+IF(H1128&lt;&gt;"",1,0)+IF(J1128&lt;&gt;"",1,0)+IF(L1128&lt;&gt;"",1,0)</x:f>
        <x:v>1</x:v>
      </x:c>
      <x:c r="O1128" s="14" t="str">
        <x:f>IF(E1128="","MISSING MAIN",IF(N1128=1,"MAIN ONLY","MULTI-PHOTO"))</x:f>
        <x:v>MAIN ONLY</x:v>
      </x:c>
      <x:c r="P1128" s="14" t="str">
        <x:v>1350_</x:v>
      </x:c>
      <x:c r="Q1128" s="14" t="str">
        <x:v>https://mb1advancedsolutions.github.io/mb1-catalog/index.html?design=1350</x:v>
      </x:c>
      <x:c r="R1128" s="14" t="str"/>
    </x:row>
    <x:row r="1129">
      <x:c r="A1129" s="13" t="str">
        <x:v>MB1-1351</x:v>
      </x:c>
      <x:c r="B1129" s="13" t="str">
        <x:v>MB1-1351</x:v>
      </x:c>
      <x:c r="C1129" s="14" t="str">
        <x:v>CAR 10</x:v>
      </x:c>
      <x:c r="D1129" s="14" t="str">
        <x:v>home decor and inspirational</x:v>
      </x:c>
      <x:c r="E1129" s="14" t="str">
        <x:v>https://res.cloudinary.com/oxygre42/image/upload/f_auto,q_auto,c_pad,b_white,w_1200,h_1200/v1788351084/1351_CAR_10.png</x:v>
      </x:c>
      <x:c r="F1129" s="14" t="str"/>
      <x:c r="G1129" s="14" t="str">
        <x:v>Lifestyle</x:v>
      </x:c>
      <x:c r="H1129" s="14" t="str"/>
      <x:c r="I1129" s="14" t="str">
        <x:v>Detail</x:v>
      </x:c>
      <x:c r="J1129" s="14" t="str"/>
      <x:c r="K1129" s="14" t="str">
        <x:v>Scale</x:v>
      </x:c>
      <x:c r="L1129" s="14" t="str"/>
      <x:c r="M1129" s="14" t="str">
        <x:v>Alternate</x:v>
      </x:c>
      <x:c r="N1129" s="14" t="n">
        <x:f>IF(E1129&lt;&gt;"",1,0)+IF(F1129&lt;&gt;"",1,0)+IF(H1129&lt;&gt;"",1,0)+IF(J1129&lt;&gt;"",1,0)+IF(L1129&lt;&gt;"",1,0)</x:f>
        <x:v>1</x:v>
      </x:c>
      <x:c r="O1129" s="14" t="str">
        <x:f>IF(E1129="","MISSING MAIN",IF(N1129=1,"MAIN ONLY","MULTI-PHOTO"))</x:f>
        <x:v>MAIN ONLY</x:v>
      </x:c>
      <x:c r="P1129" s="14" t="str">
        <x:v>1351_</x:v>
      </x:c>
      <x:c r="Q1129" s="14" t="str">
        <x:v>https://mb1advancedsolutions.github.io/mb1-catalog/index.html?design=1351</x:v>
      </x:c>
      <x:c r="R1129" s="14" t="str"/>
    </x:row>
    <x:row r="1130">
      <x:c r="A1130" s="13" t="str">
        <x:v>MB1-1352</x:v>
      </x:c>
      <x:c r="B1130" s="13" t="str">
        <x:v>MB1-1352</x:v>
      </x:c>
      <x:c r="C1130" s="14" t="str">
        <x:v>CAR 11</x:v>
      </x:c>
      <x:c r="D1130" s="14" t="str">
        <x:v>home decor and inspirational</x:v>
      </x:c>
      <x:c r="E1130" s="14" t="str">
        <x:v>https://res.cloudinary.com/oxygre42/image/upload/f_auto,q_auto,c_pad,b_white,w_1200,h_1200/v1788351086/1352_CAR_11.png</x:v>
      </x:c>
      <x:c r="F1130" s="14" t="str"/>
      <x:c r="G1130" s="14" t="str">
        <x:v>Lifestyle</x:v>
      </x:c>
      <x:c r="H1130" s="14" t="str"/>
      <x:c r="I1130" s="14" t="str">
        <x:v>Detail</x:v>
      </x:c>
      <x:c r="J1130" s="14" t="str"/>
      <x:c r="K1130" s="14" t="str">
        <x:v>Scale</x:v>
      </x:c>
      <x:c r="L1130" s="14" t="str"/>
      <x:c r="M1130" s="14" t="str">
        <x:v>Alternate</x:v>
      </x:c>
      <x:c r="N1130" s="14" t="n">
        <x:f>IF(E1130&lt;&gt;"",1,0)+IF(F1130&lt;&gt;"",1,0)+IF(H1130&lt;&gt;"",1,0)+IF(J1130&lt;&gt;"",1,0)+IF(L1130&lt;&gt;"",1,0)</x:f>
        <x:v>1</x:v>
      </x:c>
      <x:c r="O1130" s="14" t="str">
        <x:f>IF(E1130="","MISSING MAIN",IF(N1130=1,"MAIN ONLY","MULTI-PHOTO"))</x:f>
        <x:v>MAIN ONLY</x:v>
      </x:c>
      <x:c r="P1130" s="14" t="str">
        <x:v>1352_</x:v>
      </x:c>
      <x:c r="Q1130" s="14" t="str">
        <x:v>https://mb1advancedsolutions.github.io/mb1-catalog/index.html?design=1352</x:v>
      </x:c>
      <x:c r="R1130" s="14" t="str"/>
    </x:row>
    <x:row r="1131">
      <x:c r="A1131" s="13" t="str">
        <x:v>MB1-1353</x:v>
      </x:c>
      <x:c r="B1131" s="13" t="str">
        <x:v>MB1-1353</x:v>
      </x:c>
      <x:c r="C1131" s="14" t="str">
        <x:v>CAR 12</x:v>
      </x:c>
      <x:c r="D1131" s="14" t="str">
        <x:v>home decor and inspirational</x:v>
      </x:c>
      <x:c r="E1131" s="14" t="str">
        <x:v>https://res.cloudinary.com/oxygre42/image/upload/f_auto,q_auto,c_pad,b_white,w_1200,h_1200/v1788351087/1353_CAR_12.png</x:v>
      </x:c>
      <x:c r="F1131" s="14" t="str"/>
      <x:c r="G1131" s="14" t="str">
        <x:v>Lifestyle</x:v>
      </x:c>
      <x:c r="H1131" s="14" t="str"/>
      <x:c r="I1131" s="14" t="str">
        <x:v>Detail</x:v>
      </x:c>
      <x:c r="J1131" s="14" t="str"/>
      <x:c r="K1131" s="14" t="str">
        <x:v>Scale</x:v>
      </x:c>
      <x:c r="L1131" s="14" t="str"/>
      <x:c r="M1131" s="14" t="str">
        <x:v>Alternate</x:v>
      </x:c>
      <x:c r="N1131" s="14" t="n">
        <x:f>IF(E1131&lt;&gt;"",1,0)+IF(F1131&lt;&gt;"",1,0)+IF(H1131&lt;&gt;"",1,0)+IF(J1131&lt;&gt;"",1,0)+IF(L1131&lt;&gt;"",1,0)</x:f>
        <x:v>1</x:v>
      </x:c>
      <x:c r="O1131" s="14" t="str">
        <x:f>IF(E1131="","MISSING MAIN",IF(N1131=1,"MAIN ONLY","MULTI-PHOTO"))</x:f>
        <x:v>MAIN ONLY</x:v>
      </x:c>
      <x:c r="P1131" s="14" t="str">
        <x:v>1353_</x:v>
      </x:c>
      <x:c r="Q1131" s="14" t="str">
        <x:v>https://mb1advancedsolutions.github.io/mb1-catalog/index.html?design=1353</x:v>
      </x:c>
      <x:c r="R1131" s="14" t="str"/>
    </x:row>
    <x:row r="1132">
      <x:c r="A1132" s="13" t="str">
        <x:v>MB1-1354</x:v>
      </x:c>
      <x:c r="B1132" s="13" t="str">
        <x:v>MB1-1354</x:v>
      </x:c>
      <x:c r="C1132" s="14" t="str">
        <x:v>CAR 13 SVG LASER</x:v>
      </x:c>
      <x:c r="D1132" s="14" t="str">
        <x:v>home decor and inspirational</x:v>
      </x:c>
      <x:c r="E1132" s="14" t="str">
        <x:v>https://res.cloudinary.com/oxygre42/image/upload/f_auto,q_auto,c_pad,b_white,w_1200,h_1200/v1788351089/1354_CAR_13_SVG_LASER.png</x:v>
      </x:c>
      <x:c r="F1132" s="14" t="str"/>
      <x:c r="G1132" s="14" t="str">
        <x:v>Lifestyle</x:v>
      </x:c>
      <x:c r="H1132" s="14" t="str"/>
      <x:c r="I1132" s="14" t="str">
        <x:v>Detail</x:v>
      </x:c>
      <x:c r="J1132" s="14" t="str"/>
      <x:c r="K1132" s="14" t="str">
        <x:v>Scale</x:v>
      </x:c>
      <x:c r="L1132" s="14" t="str"/>
      <x:c r="M1132" s="14" t="str">
        <x:v>Alternate</x:v>
      </x:c>
      <x:c r="N1132" s="14" t="n">
        <x:f>IF(E1132&lt;&gt;"",1,0)+IF(F1132&lt;&gt;"",1,0)+IF(H1132&lt;&gt;"",1,0)+IF(J1132&lt;&gt;"",1,0)+IF(L1132&lt;&gt;"",1,0)</x:f>
        <x:v>1</x:v>
      </x:c>
      <x:c r="O1132" s="14" t="str">
        <x:f>IF(E1132="","MISSING MAIN",IF(N1132=1,"MAIN ONLY","MULTI-PHOTO"))</x:f>
        <x:v>MAIN ONLY</x:v>
      </x:c>
      <x:c r="P1132" s="14" t="str">
        <x:v>1354_</x:v>
      </x:c>
      <x:c r="Q1132" s="14" t="str">
        <x:v>https://mb1advancedsolutions.github.io/mb1-catalog/index.html?design=1354</x:v>
      </x:c>
      <x:c r="R1132" s="14" t="str"/>
    </x:row>
    <x:row r="1133">
      <x:c r="A1133" s="13" t="str">
        <x:v>MB1-1355</x:v>
      </x:c>
      <x:c r="B1133" s="13" t="str">
        <x:v>MB1-1355</x:v>
      </x:c>
      <x:c r="C1133" s="14" t="str">
        <x:v>CAR 13 SVG PLASMA</x:v>
      </x:c>
      <x:c r="D1133" s="14" t="str">
        <x:v>home decor and inspirational</x:v>
      </x:c>
      <x:c r="E1133" s="14" t="str">
        <x:v>https://res.cloudinary.com/oxygre42/image/upload/f_auto,q_auto,c_pad,b_white,w_1200,h_1200/v1788351091/1355_CAR_13_SVG_PLASMA.png</x:v>
      </x:c>
      <x:c r="F1133" s="14" t="str"/>
      <x:c r="G1133" s="14" t="str">
        <x:v>Lifestyle</x:v>
      </x:c>
      <x:c r="H1133" s="14" t="str"/>
      <x:c r="I1133" s="14" t="str">
        <x:v>Detail</x:v>
      </x:c>
      <x:c r="J1133" s="14" t="str"/>
      <x:c r="K1133" s="14" t="str">
        <x:v>Scale</x:v>
      </x:c>
      <x:c r="L1133" s="14" t="str"/>
      <x:c r="M1133" s="14" t="str">
        <x:v>Alternate</x:v>
      </x:c>
      <x:c r="N1133" s="14" t="n">
        <x:f>IF(E1133&lt;&gt;"",1,0)+IF(F1133&lt;&gt;"",1,0)+IF(H1133&lt;&gt;"",1,0)+IF(J1133&lt;&gt;"",1,0)+IF(L1133&lt;&gt;"",1,0)</x:f>
        <x:v>1</x:v>
      </x:c>
      <x:c r="O1133" s="14" t="str">
        <x:f>IF(E1133="","MISSING MAIN",IF(N1133=1,"MAIN ONLY","MULTI-PHOTO"))</x:f>
        <x:v>MAIN ONLY</x:v>
      </x:c>
      <x:c r="P1133" s="14" t="str">
        <x:v>1355_</x:v>
      </x:c>
      <x:c r="Q1133" s="14" t="str">
        <x:v>https://mb1advancedsolutions.github.io/mb1-catalog/index.html?design=1355</x:v>
      </x:c>
      <x:c r="R1133" s="14" t="str"/>
    </x:row>
    <x:row r="1134">
      <x:c r="A1134" s="13" t="str">
        <x:v>MB1-1356</x:v>
      </x:c>
      <x:c r="B1134" s="13" t="str">
        <x:v>MB1-1356</x:v>
      </x:c>
      <x:c r="C1134" s="14" t="str">
        <x:v>CAR 14 SVG LASER</x:v>
      </x:c>
      <x:c r="D1134" s="14" t="str">
        <x:v>home decor and inspirational</x:v>
      </x:c>
      <x:c r="E1134" s="14" t="str">
        <x:v>https://res.cloudinary.com/oxygre42/image/upload/f_auto,q_auto,c_pad,b_white,w_1200,h_1200/v1788351093/1356_CAR_14_SVG_LASER.png</x:v>
      </x:c>
      <x:c r="F1134" s="14" t="str"/>
      <x:c r="G1134" s="14" t="str">
        <x:v>Lifestyle</x:v>
      </x:c>
      <x:c r="H1134" s="14" t="str"/>
      <x:c r="I1134" s="14" t="str">
        <x:v>Detail</x:v>
      </x:c>
      <x:c r="J1134" s="14" t="str"/>
      <x:c r="K1134" s="14" t="str">
        <x:v>Scale</x:v>
      </x:c>
      <x:c r="L1134" s="14" t="str"/>
      <x:c r="M1134" s="14" t="str">
        <x:v>Alternate</x:v>
      </x:c>
      <x:c r="N1134" s="14" t="n">
        <x:f>IF(E1134&lt;&gt;"",1,0)+IF(F1134&lt;&gt;"",1,0)+IF(H1134&lt;&gt;"",1,0)+IF(J1134&lt;&gt;"",1,0)+IF(L1134&lt;&gt;"",1,0)</x:f>
        <x:v>1</x:v>
      </x:c>
      <x:c r="O1134" s="14" t="str">
        <x:f>IF(E1134="","MISSING MAIN",IF(N1134=1,"MAIN ONLY","MULTI-PHOTO"))</x:f>
        <x:v>MAIN ONLY</x:v>
      </x:c>
      <x:c r="P1134" s="14" t="str">
        <x:v>1356_</x:v>
      </x:c>
      <x:c r="Q1134" s="14" t="str">
        <x:v>https://mb1advancedsolutions.github.io/mb1-catalog/index.html?design=1356</x:v>
      </x:c>
      <x:c r="R1134" s="14" t="str"/>
    </x:row>
    <x:row r="1135">
      <x:c r="A1135" s="13" t="str">
        <x:v>MB1-1357</x:v>
      </x:c>
      <x:c r="B1135" s="13" t="str">
        <x:v>MB1-1357</x:v>
      </x:c>
      <x:c r="C1135" s="14" t="str">
        <x:v>CAR 14 SVG PLASMA</x:v>
      </x:c>
      <x:c r="D1135" s="14" t="str">
        <x:v>home decor and inspirational</x:v>
      </x:c>
      <x:c r="E1135" s="14" t="str">
        <x:v>https://res.cloudinary.com/oxygre42/image/upload/f_auto,q_auto,c_pad,b_white,w_1200,h_1200/v1788351095/1357_CAR_14_SVG_PLASMA.png</x:v>
      </x:c>
      <x:c r="F1135" s="14" t="str"/>
      <x:c r="G1135" s="14" t="str">
        <x:v>Lifestyle</x:v>
      </x:c>
      <x:c r="H1135" s="14" t="str"/>
      <x:c r="I1135" s="14" t="str">
        <x:v>Detail</x:v>
      </x:c>
      <x:c r="J1135" s="14" t="str"/>
      <x:c r="K1135" s="14" t="str">
        <x:v>Scale</x:v>
      </x:c>
      <x:c r="L1135" s="14" t="str"/>
      <x:c r="M1135" s="14" t="str">
        <x:v>Alternate</x:v>
      </x:c>
      <x:c r="N1135" s="14" t="n">
        <x:f>IF(E1135&lt;&gt;"",1,0)+IF(F1135&lt;&gt;"",1,0)+IF(H1135&lt;&gt;"",1,0)+IF(J1135&lt;&gt;"",1,0)+IF(L1135&lt;&gt;"",1,0)</x:f>
        <x:v>1</x:v>
      </x:c>
      <x:c r="O1135" s="14" t="str">
        <x:f>IF(E1135="","MISSING MAIN",IF(N1135=1,"MAIN ONLY","MULTI-PHOTO"))</x:f>
        <x:v>MAIN ONLY</x:v>
      </x:c>
      <x:c r="P1135" s="14" t="str">
        <x:v>1357_</x:v>
      </x:c>
      <x:c r="Q1135" s="14" t="str">
        <x:v>https://mb1advancedsolutions.github.io/mb1-catalog/index.html?design=1357</x:v>
      </x:c>
      <x:c r="R1135" s="14" t="str"/>
    </x:row>
    <x:row r="1136">
      <x:c r="A1136" s="13" t="str">
        <x:v>MB1-1358</x:v>
      </x:c>
      <x:c r="B1136" s="13" t="str">
        <x:v>MB1-1358</x:v>
      </x:c>
      <x:c r="C1136" s="14" t="str">
        <x:v>CAR 2</x:v>
      </x:c>
      <x:c r="D1136" s="14" t="str">
        <x:v>home decor and inspirational</x:v>
      </x:c>
      <x:c r="E1136" s="14" t="str">
        <x:v>https://res.cloudinary.com/oxygre42/image/upload/f_auto,q_auto,c_pad,b_white,w_1200,h_1200/v1788351097/1358_CAR_2.png</x:v>
      </x:c>
      <x:c r="F1136" s="14" t="str"/>
      <x:c r="G1136" s="14" t="str">
        <x:v>Lifestyle</x:v>
      </x:c>
      <x:c r="H1136" s="14" t="str"/>
      <x:c r="I1136" s="14" t="str">
        <x:v>Detail</x:v>
      </x:c>
      <x:c r="J1136" s="14" t="str"/>
      <x:c r="K1136" s="14" t="str">
        <x:v>Scale</x:v>
      </x:c>
      <x:c r="L1136" s="14" t="str"/>
      <x:c r="M1136" s="14" t="str">
        <x:v>Alternate</x:v>
      </x:c>
      <x:c r="N1136" s="14" t="n">
        <x:f>IF(E1136&lt;&gt;"",1,0)+IF(F1136&lt;&gt;"",1,0)+IF(H1136&lt;&gt;"",1,0)+IF(J1136&lt;&gt;"",1,0)+IF(L1136&lt;&gt;"",1,0)</x:f>
        <x:v>1</x:v>
      </x:c>
      <x:c r="O1136" s="14" t="str">
        <x:f>IF(E1136="","MISSING MAIN",IF(N1136=1,"MAIN ONLY","MULTI-PHOTO"))</x:f>
        <x:v>MAIN ONLY</x:v>
      </x:c>
      <x:c r="P1136" s="14" t="str">
        <x:v>1358_</x:v>
      </x:c>
      <x:c r="Q1136" s="14" t="str">
        <x:v>https://mb1advancedsolutions.github.io/mb1-catalog/index.html?design=1358</x:v>
      </x:c>
      <x:c r="R1136" s="14" t="str"/>
    </x:row>
    <x:row r="1137">
      <x:c r="A1137" s="13" t="str">
        <x:v>MB1-1359</x:v>
      </x:c>
      <x:c r="B1137" s="13" t="str">
        <x:v>MB1-1359</x:v>
      </x:c>
      <x:c r="C1137" s="14" t="str">
        <x:v>CAR 3</x:v>
      </x:c>
      <x:c r="D1137" s="14" t="str">
        <x:v>home decor and inspirational</x:v>
      </x:c>
      <x:c r="E1137" s="14" t="str">
        <x:v>https://res.cloudinary.com/oxygre42/image/upload/f_auto,q_auto,c_pad,b_white,w_1200,h_1200/v1788351099/1359_CAR_3.png</x:v>
      </x:c>
      <x:c r="F1137" s="14" t="str"/>
      <x:c r="G1137" s="14" t="str">
        <x:v>Lifestyle</x:v>
      </x:c>
      <x:c r="H1137" s="14" t="str"/>
      <x:c r="I1137" s="14" t="str">
        <x:v>Detail</x:v>
      </x:c>
      <x:c r="J1137" s="14" t="str"/>
      <x:c r="K1137" s="14" t="str">
        <x:v>Scale</x:v>
      </x:c>
      <x:c r="L1137" s="14" t="str"/>
      <x:c r="M1137" s="14" t="str">
        <x:v>Alternate</x:v>
      </x:c>
      <x:c r="N1137" s="14" t="n">
        <x:f>IF(E1137&lt;&gt;"",1,0)+IF(F1137&lt;&gt;"",1,0)+IF(H1137&lt;&gt;"",1,0)+IF(J1137&lt;&gt;"",1,0)+IF(L1137&lt;&gt;"",1,0)</x:f>
        <x:v>1</x:v>
      </x:c>
      <x:c r="O1137" s="14" t="str">
        <x:f>IF(E1137="","MISSING MAIN",IF(N1137=1,"MAIN ONLY","MULTI-PHOTO"))</x:f>
        <x:v>MAIN ONLY</x:v>
      </x:c>
      <x:c r="P1137" s="14" t="str">
        <x:v>1359_</x:v>
      </x:c>
      <x:c r="Q1137" s="14" t="str">
        <x:v>https://mb1advancedsolutions.github.io/mb1-catalog/index.html?design=1359</x:v>
      </x:c>
      <x:c r="R1137" s="14" t="str"/>
    </x:row>
    <x:row r="1138">
      <x:c r="A1138" s="13" t="str">
        <x:v>MB1-1360</x:v>
      </x:c>
      <x:c r="B1138" s="13" t="str">
        <x:v>MB1-1360</x:v>
      </x:c>
      <x:c r="C1138" s="14" t="str">
        <x:v>CAR 4</x:v>
      </x:c>
      <x:c r="D1138" s="14" t="str">
        <x:v>home decor and inspirational</x:v>
      </x:c>
      <x:c r="E1138" s="14" t="str">
        <x:v>https://res.cloudinary.com/oxygre42/image/upload/f_auto,q_auto,c_pad,b_white,w_1200,h_1200/v1788351101/1360_CAR_4.png</x:v>
      </x:c>
      <x:c r="F1138" s="14" t="str"/>
      <x:c r="G1138" s="14" t="str">
        <x:v>Lifestyle</x:v>
      </x:c>
      <x:c r="H1138" s="14" t="str"/>
      <x:c r="I1138" s="14" t="str">
        <x:v>Detail</x:v>
      </x:c>
      <x:c r="J1138" s="14" t="str"/>
      <x:c r="K1138" s="14" t="str">
        <x:v>Scale</x:v>
      </x:c>
      <x:c r="L1138" s="14" t="str"/>
      <x:c r="M1138" s="14" t="str">
        <x:v>Alternate</x:v>
      </x:c>
      <x:c r="N1138" s="14" t="n">
        <x:f>IF(E1138&lt;&gt;"",1,0)+IF(F1138&lt;&gt;"",1,0)+IF(H1138&lt;&gt;"",1,0)+IF(J1138&lt;&gt;"",1,0)+IF(L1138&lt;&gt;"",1,0)</x:f>
        <x:v>1</x:v>
      </x:c>
      <x:c r="O1138" s="14" t="str">
        <x:f>IF(E1138="","MISSING MAIN",IF(N1138=1,"MAIN ONLY","MULTI-PHOTO"))</x:f>
        <x:v>MAIN ONLY</x:v>
      </x:c>
      <x:c r="P1138" s="14" t="str">
        <x:v>1360_</x:v>
      </x:c>
      <x:c r="Q1138" s="14" t="str">
        <x:v>https://mb1advancedsolutions.github.io/mb1-catalog/index.html?design=1360</x:v>
      </x:c>
      <x:c r="R1138" s="14" t="str"/>
    </x:row>
    <x:row r="1139">
      <x:c r="A1139" s="13" t="str">
        <x:v>MB1-1361</x:v>
      </x:c>
      <x:c r="B1139" s="13" t="str">
        <x:v>MB1-1361</x:v>
      </x:c>
      <x:c r="C1139" s="14" t="str">
        <x:v>CAR 5</x:v>
      </x:c>
      <x:c r="D1139" s="14" t="str">
        <x:v>home decor and inspirational</x:v>
      </x:c>
      <x:c r="E1139" s="14" t="str">
        <x:v>https://res.cloudinary.com/oxygre42/image/upload/f_auto,q_auto,c_pad,b_white,w_1200,h_1200/v1788351103/1361_CAR_5.png</x:v>
      </x:c>
      <x:c r="F1139" s="14" t="str"/>
      <x:c r="G1139" s="14" t="str">
        <x:v>Lifestyle</x:v>
      </x:c>
      <x:c r="H1139" s="14" t="str"/>
      <x:c r="I1139" s="14" t="str">
        <x:v>Detail</x:v>
      </x:c>
      <x:c r="J1139" s="14" t="str"/>
      <x:c r="K1139" s="14" t="str">
        <x:v>Scale</x:v>
      </x:c>
      <x:c r="L1139" s="14" t="str"/>
      <x:c r="M1139" s="14" t="str">
        <x:v>Alternate</x:v>
      </x:c>
      <x:c r="N1139" s="14" t="n">
        <x:f>IF(E1139&lt;&gt;"",1,0)+IF(F1139&lt;&gt;"",1,0)+IF(H1139&lt;&gt;"",1,0)+IF(J1139&lt;&gt;"",1,0)+IF(L1139&lt;&gt;"",1,0)</x:f>
        <x:v>1</x:v>
      </x:c>
      <x:c r="O1139" s="14" t="str">
        <x:f>IF(E1139="","MISSING MAIN",IF(N1139=1,"MAIN ONLY","MULTI-PHOTO"))</x:f>
        <x:v>MAIN ONLY</x:v>
      </x:c>
      <x:c r="P1139" s="14" t="str">
        <x:v>1361_</x:v>
      </x:c>
      <x:c r="Q1139" s="14" t="str">
        <x:v>https://mb1advancedsolutions.github.io/mb1-catalog/index.html?design=1361</x:v>
      </x:c>
      <x:c r="R1139" s="14" t="str"/>
    </x:row>
    <x:row r="1140">
      <x:c r="A1140" s="13" t="str">
        <x:v>MB1-1362</x:v>
      </x:c>
      <x:c r="B1140" s="13" t="str">
        <x:v>MB1-1362</x:v>
      </x:c>
      <x:c r="C1140" s="14" t="str">
        <x:v>CAR 6</x:v>
      </x:c>
      <x:c r="D1140" s="14" t="str">
        <x:v>home decor and inspirational</x:v>
      </x:c>
      <x:c r="E1140" s="14" t="str">
        <x:v>https://res.cloudinary.com/oxygre42/image/upload/f_auto,q_auto,c_pad,b_white,w_1200,h_1200/v1788351104/1362_CAR_6.png</x:v>
      </x:c>
      <x:c r="F1140" s="14" t="str"/>
      <x:c r="G1140" s="14" t="str">
        <x:v>Lifestyle</x:v>
      </x:c>
      <x:c r="H1140" s="14" t="str"/>
      <x:c r="I1140" s="14" t="str">
        <x:v>Detail</x:v>
      </x:c>
      <x:c r="J1140" s="14" t="str"/>
      <x:c r="K1140" s="14" t="str">
        <x:v>Scale</x:v>
      </x:c>
      <x:c r="L1140" s="14" t="str"/>
      <x:c r="M1140" s="14" t="str">
        <x:v>Alternate</x:v>
      </x:c>
      <x:c r="N1140" s="14" t="n">
        <x:f>IF(E1140&lt;&gt;"",1,0)+IF(F1140&lt;&gt;"",1,0)+IF(H1140&lt;&gt;"",1,0)+IF(J1140&lt;&gt;"",1,0)+IF(L1140&lt;&gt;"",1,0)</x:f>
        <x:v>1</x:v>
      </x:c>
      <x:c r="O1140" s="14" t="str">
        <x:f>IF(E1140="","MISSING MAIN",IF(N1140=1,"MAIN ONLY","MULTI-PHOTO"))</x:f>
        <x:v>MAIN ONLY</x:v>
      </x:c>
      <x:c r="P1140" s="14" t="str">
        <x:v>1362_</x:v>
      </x:c>
      <x:c r="Q1140" s="14" t="str">
        <x:v>https://mb1advancedsolutions.github.io/mb1-catalog/index.html?design=1362</x:v>
      </x:c>
      <x:c r="R1140" s="14" t="str"/>
    </x:row>
    <x:row r="1141">
      <x:c r="A1141" s="13" t="str">
        <x:v>MB1-1363</x:v>
      </x:c>
      <x:c r="B1141" s="13" t="str">
        <x:v>MB1-1363</x:v>
      </x:c>
      <x:c r="C1141" s="14" t="str">
        <x:v>CAR 7</x:v>
      </x:c>
      <x:c r="D1141" s="14" t="str">
        <x:v>home decor and inspirational</x:v>
      </x:c>
      <x:c r="E1141" s="14" t="str">
        <x:v>https://res.cloudinary.com/oxygre42/image/upload/f_auto,q_auto,c_pad,b_white,w_1200,h_1200/v1788351106/1363_CAR_7.png</x:v>
      </x:c>
      <x:c r="F1141" s="14" t="str"/>
      <x:c r="G1141" s="14" t="str">
        <x:v>Lifestyle</x:v>
      </x:c>
      <x:c r="H1141" s="14" t="str"/>
      <x:c r="I1141" s="14" t="str">
        <x:v>Detail</x:v>
      </x:c>
      <x:c r="J1141" s="14" t="str"/>
      <x:c r="K1141" s="14" t="str">
        <x:v>Scale</x:v>
      </x:c>
      <x:c r="L1141" s="14" t="str"/>
      <x:c r="M1141" s="14" t="str">
        <x:v>Alternate</x:v>
      </x:c>
      <x:c r="N1141" s="14" t="n">
        <x:f>IF(E1141&lt;&gt;"",1,0)+IF(F1141&lt;&gt;"",1,0)+IF(H1141&lt;&gt;"",1,0)+IF(J1141&lt;&gt;"",1,0)+IF(L1141&lt;&gt;"",1,0)</x:f>
        <x:v>1</x:v>
      </x:c>
      <x:c r="O1141" s="14" t="str">
        <x:f>IF(E1141="","MISSING MAIN",IF(N1141=1,"MAIN ONLY","MULTI-PHOTO"))</x:f>
        <x:v>MAIN ONLY</x:v>
      </x:c>
      <x:c r="P1141" s="14" t="str">
        <x:v>1363_</x:v>
      </x:c>
      <x:c r="Q1141" s="14" t="str">
        <x:v>https://mb1advancedsolutions.github.io/mb1-catalog/index.html?design=1363</x:v>
      </x:c>
      <x:c r="R1141" s="14" t="str"/>
    </x:row>
    <x:row r="1142">
      <x:c r="A1142" s="13" t="str">
        <x:v>MB1-1364</x:v>
      </x:c>
      <x:c r="B1142" s="13" t="str">
        <x:v>MB1-1364</x:v>
      </x:c>
      <x:c r="C1142" s="14" t="str">
        <x:v>CAR 8</x:v>
      </x:c>
      <x:c r="D1142" s="14" t="str">
        <x:v>home decor and inspirational</x:v>
      </x:c>
      <x:c r="E1142" s="14" t="str">
        <x:v>https://res.cloudinary.com/oxygre42/image/upload/f_auto,q_auto,c_pad,b_white,w_1200,h_1200/v1788351108/1364_CAR_8.png</x:v>
      </x:c>
      <x:c r="F1142" s="14" t="str"/>
      <x:c r="G1142" s="14" t="str">
        <x:v>Lifestyle</x:v>
      </x:c>
      <x:c r="H1142" s="14" t="str"/>
      <x:c r="I1142" s="14" t="str">
        <x:v>Detail</x:v>
      </x:c>
      <x:c r="J1142" s="14" t="str"/>
      <x:c r="K1142" s="14" t="str">
        <x:v>Scale</x:v>
      </x:c>
      <x:c r="L1142" s="14" t="str"/>
      <x:c r="M1142" s="14" t="str">
        <x:v>Alternate</x:v>
      </x:c>
      <x:c r="N1142" s="14" t="n">
        <x:f>IF(E1142&lt;&gt;"",1,0)+IF(F1142&lt;&gt;"",1,0)+IF(H1142&lt;&gt;"",1,0)+IF(J1142&lt;&gt;"",1,0)+IF(L1142&lt;&gt;"",1,0)</x:f>
        <x:v>1</x:v>
      </x:c>
      <x:c r="O1142" s="14" t="str">
        <x:f>IF(E1142="","MISSING MAIN",IF(N1142=1,"MAIN ONLY","MULTI-PHOTO"))</x:f>
        <x:v>MAIN ONLY</x:v>
      </x:c>
      <x:c r="P1142" s="14" t="str">
        <x:v>1364_</x:v>
      </x:c>
      <x:c r="Q1142" s="14" t="str">
        <x:v>https://mb1advancedsolutions.github.io/mb1-catalog/index.html?design=1364</x:v>
      </x:c>
      <x:c r="R1142" s="14" t="str"/>
    </x:row>
    <x:row r="1143">
      <x:c r="A1143" s="13" t="str">
        <x:v>MB1-1365</x:v>
      </x:c>
      <x:c r="B1143" s="13" t="str">
        <x:v>MB1-1365</x:v>
      </x:c>
      <x:c r="C1143" s="14" t="str">
        <x:v>CAR 9</x:v>
      </x:c>
      <x:c r="D1143" s="14" t="str">
        <x:v>home decor and inspirational</x:v>
      </x:c>
      <x:c r="E1143" s="14" t="str">
        <x:v>https://res.cloudinary.com/oxygre42/image/upload/f_auto,q_auto,c_pad,b_white,w_1200,h_1200/v1788351110/1365_CAR_9.png</x:v>
      </x:c>
      <x:c r="F1143" s="14" t="str"/>
      <x:c r="G1143" s="14" t="str">
        <x:v>Lifestyle</x:v>
      </x:c>
      <x:c r="H1143" s="14" t="str"/>
      <x:c r="I1143" s="14" t="str">
        <x:v>Detail</x:v>
      </x:c>
      <x:c r="J1143" s="14" t="str"/>
      <x:c r="K1143" s="14" t="str">
        <x:v>Scale</x:v>
      </x:c>
      <x:c r="L1143" s="14" t="str"/>
      <x:c r="M1143" s="14" t="str">
        <x:v>Alternate</x:v>
      </x:c>
      <x:c r="N1143" s="14" t="n">
        <x:f>IF(E1143&lt;&gt;"",1,0)+IF(F1143&lt;&gt;"",1,0)+IF(H1143&lt;&gt;"",1,0)+IF(J1143&lt;&gt;"",1,0)+IF(L1143&lt;&gt;"",1,0)</x:f>
        <x:v>1</x:v>
      </x:c>
      <x:c r="O1143" s="14" t="str">
        <x:f>IF(E1143="","MISSING MAIN",IF(N1143=1,"MAIN ONLY","MULTI-PHOTO"))</x:f>
        <x:v>MAIN ONLY</x:v>
      </x:c>
      <x:c r="P1143" s="14" t="str">
        <x:v>1365_</x:v>
      </x:c>
      <x:c r="Q1143" s="14" t="str">
        <x:v>https://mb1advancedsolutions.github.io/mb1-catalog/index.html?design=1365</x:v>
      </x:c>
      <x:c r="R1143" s="14" t="str"/>
    </x:row>
    <x:row r="1144">
      <x:c r="A1144" s="13" t="str">
        <x:v>MB1-1366</x:v>
      </x:c>
      <x:c r="B1144" s="13" t="str">
        <x:v>MB1-1366</x:v>
      </x:c>
      <x:c r="C1144" s="14" t="str">
        <x:v>1776</x:v>
      </x:c>
      <x:c r="D1144" s="14" t="str">
        <x:v>seasonal and holiday</x:v>
      </x:c>
      <x:c r="E1144" s="14" t="str">
        <x:v>https://res.cloudinary.com/oxygre42/image/upload/f_auto,q_auto,c_pad,b_white,w_1200,h_1200/v1788351112/1366_1776.png</x:v>
      </x:c>
      <x:c r="F1144" s="14" t="str"/>
      <x:c r="G1144" s="14" t="str">
        <x:v>Lifestyle</x:v>
      </x:c>
      <x:c r="H1144" s="14" t="str"/>
      <x:c r="I1144" s="14" t="str">
        <x:v>Detail</x:v>
      </x:c>
      <x:c r="J1144" s="14" t="str"/>
      <x:c r="K1144" s="14" t="str">
        <x:v>Scale</x:v>
      </x:c>
      <x:c r="L1144" s="14" t="str"/>
      <x:c r="M1144" s="14" t="str">
        <x:v>Alternate</x:v>
      </x:c>
      <x:c r="N1144" s="14" t="n">
        <x:f>IF(E1144&lt;&gt;"",1,0)+IF(F1144&lt;&gt;"",1,0)+IF(H1144&lt;&gt;"",1,0)+IF(J1144&lt;&gt;"",1,0)+IF(L1144&lt;&gt;"",1,0)</x:f>
        <x:v>1</x:v>
      </x:c>
      <x:c r="O1144" s="14" t="str">
        <x:f>IF(E1144="","MISSING MAIN",IF(N1144=1,"MAIN ONLY","MULTI-PHOTO"))</x:f>
        <x:v>MAIN ONLY</x:v>
      </x:c>
      <x:c r="P1144" s="14" t="str">
        <x:v>1366_</x:v>
      </x:c>
      <x:c r="Q1144" s="14" t="str">
        <x:v>https://mb1advancedsolutions.github.io/mb1-catalog/index.html?design=1366</x:v>
      </x:c>
      <x:c r="R1144" s="14" t="str"/>
    </x:row>
    <x:row r="1145">
      <x:c r="A1145" s="13" t="str">
        <x:v>MB1-1388</x:v>
      </x:c>
      <x:c r="B1145" s="13" t="str">
        <x:v>MB1-1388</x:v>
      </x:c>
      <x:c r="C1145" s="14" t="str">
        <x:v>CROSS 1</x:v>
      </x:c>
      <x:c r="D1145" s="14" t="str">
        <x:v>home decor and inspirational</x:v>
      </x:c>
      <x:c r="E1145" s="14" t="str">
        <x:v>https://res.cloudinary.com/oxygre42/image/upload/f_auto,q_auto,c_pad,b_white,w_1200,h_1200/v1788351133/1388_CROSS_1.png</x:v>
      </x:c>
      <x:c r="F1145" s="14" t="str"/>
      <x:c r="G1145" s="14" t="str">
        <x:v>Lifestyle</x:v>
      </x:c>
      <x:c r="H1145" s="14" t="str"/>
      <x:c r="I1145" s="14" t="str">
        <x:v>Detail</x:v>
      </x:c>
      <x:c r="J1145" s="14" t="str"/>
      <x:c r="K1145" s="14" t="str">
        <x:v>Scale</x:v>
      </x:c>
      <x:c r="L1145" s="14" t="str"/>
      <x:c r="M1145" s="14" t="str">
        <x:v>Alternate</x:v>
      </x:c>
      <x:c r="N1145" s="14" t="n">
        <x:f>IF(E1145&lt;&gt;"",1,0)+IF(F1145&lt;&gt;"",1,0)+IF(H1145&lt;&gt;"",1,0)+IF(J1145&lt;&gt;"",1,0)+IF(L1145&lt;&gt;"",1,0)</x:f>
        <x:v>1</x:v>
      </x:c>
      <x:c r="O1145" s="14" t="str">
        <x:f>IF(E1145="","MISSING MAIN",IF(N1145=1,"MAIN ONLY","MULTI-PHOTO"))</x:f>
        <x:v>MAIN ONLY</x:v>
      </x:c>
      <x:c r="P1145" s="14" t="str">
        <x:v>1388_</x:v>
      </x:c>
      <x:c r="Q1145" s="14" t="str">
        <x:v>https://mb1advancedsolutions.github.io/mb1-catalog/index.html?design=1388</x:v>
      </x:c>
      <x:c r="R1145" s="14" t="str"/>
    </x:row>
    <x:row r="1146">
      <x:c r="A1146" s="13" t="str">
        <x:v>MB1-1389</x:v>
      </x:c>
      <x:c r="B1146" s="13" t="str">
        <x:v>MB1-1389</x:v>
      </x:c>
      <x:c r="C1146" s="14" t="str">
        <x:v>CROSS QUOTE 2</x:v>
      </x:c>
      <x:c r="D1146" s="14" t="str">
        <x:v>home decor and inspirational</x:v>
      </x:c>
      <x:c r="E1146" s="14" t="str">
        <x:v>https://res.cloudinary.com/oxygre42/image/upload/f_auto,q_auto,c_pad,b_white,w_1200,h_1200/v1788351134/1389_CROSS_QUOTE_2.png</x:v>
      </x:c>
      <x:c r="F1146" s="14" t="str"/>
      <x:c r="G1146" s="14" t="str">
        <x:v>Lifestyle</x:v>
      </x:c>
      <x:c r="H1146" s="14" t="str"/>
      <x:c r="I1146" s="14" t="str">
        <x:v>Detail</x:v>
      </x:c>
      <x:c r="J1146" s="14" t="str"/>
      <x:c r="K1146" s="14" t="str">
        <x:v>Scale</x:v>
      </x:c>
      <x:c r="L1146" s="14" t="str"/>
      <x:c r="M1146" s="14" t="str">
        <x:v>Alternate</x:v>
      </x:c>
      <x:c r="N1146" s="14" t="n">
        <x:f>IF(E1146&lt;&gt;"",1,0)+IF(F1146&lt;&gt;"",1,0)+IF(H1146&lt;&gt;"",1,0)+IF(J1146&lt;&gt;"",1,0)+IF(L1146&lt;&gt;"",1,0)</x:f>
        <x:v>1</x:v>
      </x:c>
      <x:c r="O1146" s="14" t="str">
        <x:f>IF(E1146="","MISSING MAIN",IF(N1146=1,"MAIN ONLY","MULTI-PHOTO"))</x:f>
        <x:v>MAIN ONLY</x:v>
      </x:c>
      <x:c r="P1146" s="14" t="str">
        <x:v>1389_</x:v>
      </x:c>
      <x:c r="Q1146" s="14" t="str">
        <x:v>https://mb1advancedsolutions.github.io/mb1-catalog/index.html?design=1389</x:v>
      </x:c>
      <x:c r="R1146" s="14" t="str"/>
    </x:row>
    <x:row r="1147">
      <x:c r="A1147" s="13" t="str">
        <x:v>MB1-1390</x:v>
      </x:c>
      <x:c r="B1147" s="13" t="str">
        <x:v>MB1-1390</x:v>
      </x:c>
      <x:c r="C1147" s="14" t="str">
        <x:v>CROSS QUOTE</x:v>
      </x:c>
      <x:c r="D1147" s="14" t="str">
        <x:v>home decor and inspirational</x:v>
      </x:c>
      <x:c r="E1147" s="14" t="str">
        <x:v>https://res.cloudinary.com/oxygre42/image/upload/f_auto,q_auto,c_pad,b_white,w_1200,h_1200/v1788351136/1390_CROSS_QUOTE.png</x:v>
      </x:c>
      <x:c r="F1147" s="14" t="str"/>
      <x:c r="G1147" s="14" t="str">
        <x:v>Lifestyle</x:v>
      </x:c>
      <x:c r="H1147" s="14" t="str"/>
      <x:c r="I1147" s="14" t="str">
        <x:v>Detail</x:v>
      </x:c>
      <x:c r="J1147" s="14" t="str"/>
      <x:c r="K1147" s="14" t="str">
        <x:v>Scale</x:v>
      </x:c>
      <x:c r="L1147" s="14" t="str"/>
      <x:c r="M1147" s="14" t="str">
        <x:v>Alternate</x:v>
      </x:c>
      <x:c r="N1147" s="14" t="n">
        <x:f>IF(E1147&lt;&gt;"",1,0)+IF(F1147&lt;&gt;"",1,0)+IF(H1147&lt;&gt;"",1,0)+IF(J1147&lt;&gt;"",1,0)+IF(L1147&lt;&gt;"",1,0)</x:f>
        <x:v>1</x:v>
      </x:c>
      <x:c r="O1147" s="14" t="str">
        <x:f>IF(E1147="","MISSING MAIN",IF(N1147=1,"MAIN ONLY","MULTI-PHOTO"))</x:f>
        <x:v>MAIN ONLY</x:v>
      </x:c>
      <x:c r="P1147" s="14" t="str">
        <x:v>1390_</x:v>
      </x:c>
      <x:c r="Q1147" s="14" t="str">
        <x:v>https://mb1advancedsolutions.github.io/mb1-catalog/index.html?design=1390</x:v>
      </x:c>
      <x:c r="R1147" s="14" t="str"/>
    </x:row>
    <x:row r="1148">
      <x:c r="A1148" s="13" t="str">
        <x:v>MB1-1391</x:v>
      </x:c>
      <x:c r="B1148" s="13" t="str">
        <x:v>MB1-1391</x:v>
      </x:c>
      <x:c r="C1148" s="14" t="str">
        <x:v>FAITH CROSS</x:v>
      </x:c>
      <x:c r="D1148" s="14" t="str">
        <x:v>home decor and inspirational</x:v>
      </x:c>
      <x:c r="E1148" s="14" t="str">
        <x:v>https://res.cloudinary.com/oxygre42/image/upload/f_auto,q_auto,c_pad,b_white,w_1200,h_1200/v1788351138/1391_FAITH_CROSS.png</x:v>
      </x:c>
      <x:c r="F1148" s="14" t="str"/>
      <x:c r="G1148" s="14" t="str">
        <x:v>Lifestyle</x:v>
      </x:c>
      <x:c r="H1148" s="14" t="str"/>
      <x:c r="I1148" s="14" t="str">
        <x:v>Detail</x:v>
      </x:c>
      <x:c r="J1148" s="14" t="str"/>
      <x:c r="K1148" s="14" t="str">
        <x:v>Scale</x:v>
      </x:c>
      <x:c r="L1148" s="14" t="str"/>
      <x:c r="M1148" s="14" t="str">
        <x:v>Alternate</x:v>
      </x:c>
      <x:c r="N1148" s="14" t="n">
        <x:f>IF(E1148&lt;&gt;"",1,0)+IF(F1148&lt;&gt;"",1,0)+IF(H1148&lt;&gt;"",1,0)+IF(J1148&lt;&gt;"",1,0)+IF(L1148&lt;&gt;"",1,0)</x:f>
        <x:v>1</x:v>
      </x:c>
      <x:c r="O1148" s="14" t="str">
        <x:f>IF(E1148="","MISSING MAIN",IF(N1148=1,"MAIN ONLY","MULTI-PHOTO"))</x:f>
        <x:v>MAIN ONLY</x:v>
      </x:c>
      <x:c r="P1148" s="14" t="str">
        <x:v>1391_</x:v>
      </x:c>
      <x:c r="Q1148" s="14" t="str">
        <x:v>https://mb1advancedsolutions.github.io/mb1-catalog/index.html?design=1391</x:v>
      </x:c>
      <x:c r="R1148" s="14" t="str"/>
    </x:row>
    <x:row r="1149">
      <x:c r="A1149" s="13" t="str">
        <x:v>MB1-1392</x:v>
      </x:c>
      <x:c r="B1149" s="13" t="str">
        <x:v>MB1-1392</x:v>
      </x:c>
      <x:c r="C1149" s="14" t="str">
        <x:v>FAITH LOVE HOPE</x:v>
      </x:c>
      <x:c r="D1149" s="14" t="str">
        <x:v>home decor and inspirational</x:v>
      </x:c>
      <x:c r="E1149" s="14" t="str">
        <x:v>https://res.cloudinary.com/oxygre42/image/upload/f_auto,q_auto,c_pad,b_white,w_1200,h_1200/v1788351140/1392_FAITH_LOVE_HOPE.png</x:v>
      </x:c>
      <x:c r="F1149" s="14" t="str"/>
      <x:c r="G1149" s="14" t="str">
        <x:v>Lifestyle</x:v>
      </x:c>
      <x:c r="H1149" s="14" t="str"/>
      <x:c r="I1149" s="14" t="str">
        <x:v>Detail</x:v>
      </x:c>
      <x:c r="J1149" s="14" t="str"/>
      <x:c r="K1149" s="14" t="str">
        <x:v>Scale</x:v>
      </x:c>
      <x:c r="L1149" s="14" t="str"/>
      <x:c r="M1149" s="14" t="str">
        <x:v>Alternate</x:v>
      </x:c>
      <x:c r="N1149" s="14" t="n">
        <x:f>IF(E1149&lt;&gt;"",1,0)+IF(F1149&lt;&gt;"",1,0)+IF(H1149&lt;&gt;"",1,0)+IF(J1149&lt;&gt;"",1,0)+IF(L1149&lt;&gt;"",1,0)</x:f>
        <x:v>1</x:v>
      </x:c>
      <x:c r="O1149" s="14" t="str">
        <x:f>IF(E1149="","MISSING MAIN",IF(N1149=1,"MAIN ONLY","MULTI-PHOTO"))</x:f>
        <x:v>MAIN ONLY</x:v>
      </x:c>
      <x:c r="P1149" s="14" t="str">
        <x:v>1392_</x:v>
      </x:c>
      <x:c r="Q1149" s="14" t="str">
        <x:v>https://mb1advancedsolutions.github.io/mb1-catalog/index.html?design=1392</x:v>
      </x:c>
      <x:c r="R1149" s="14" t="str"/>
    </x:row>
    <x:row r="1150">
      <x:c r="A1150" s="13" t="str">
        <x:v>MB1-1393</x:v>
      </x:c>
      <x:c r="B1150" s="13" t="str">
        <x:v>MB1-1393</x:v>
      </x:c>
      <x:c r="C1150" s="14" t="str">
        <x:v>GOD IS GOOD</x:v>
      </x:c>
      <x:c r="D1150" s="14" t="str">
        <x:v>home decor and inspirational</x:v>
      </x:c>
      <x:c r="E1150" s="14" t="str">
        <x:v>https://res.cloudinary.com/oxygre42/image/upload/f_auto,q_auto,c_pad,b_white,w_1200,h_1200/v1788351142/1393_GOD_IS_GOOD.png</x:v>
      </x:c>
      <x:c r="F1150" s="14" t="str"/>
      <x:c r="G1150" s="14" t="str">
        <x:v>Lifestyle</x:v>
      </x:c>
      <x:c r="H1150" s="14" t="str"/>
      <x:c r="I1150" s="14" t="str">
        <x:v>Detail</x:v>
      </x:c>
      <x:c r="J1150" s="14" t="str"/>
      <x:c r="K1150" s="14" t="str">
        <x:v>Scale</x:v>
      </x:c>
      <x:c r="L1150" s="14" t="str"/>
      <x:c r="M1150" s="14" t="str">
        <x:v>Alternate</x:v>
      </x:c>
      <x:c r="N1150" s="14" t="n">
        <x:f>IF(E1150&lt;&gt;"",1,0)+IF(F1150&lt;&gt;"",1,0)+IF(H1150&lt;&gt;"",1,0)+IF(J1150&lt;&gt;"",1,0)+IF(L1150&lt;&gt;"",1,0)</x:f>
        <x:v>1</x:v>
      </x:c>
      <x:c r="O1150" s="14" t="str">
        <x:f>IF(E1150="","MISSING MAIN",IF(N1150=1,"MAIN ONLY","MULTI-PHOTO"))</x:f>
        <x:v>MAIN ONLY</x:v>
      </x:c>
      <x:c r="P1150" s="14" t="str">
        <x:v>1393_</x:v>
      </x:c>
      <x:c r="Q1150" s="14" t="str">
        <x:v>https://mb1advancedsolutions.github.io/mb1-catalog/index.html?design=1393</x:v>
      </x:c>
      <x:c r="R1150" s="14" t="str"/>
    </x:row>
    <x:row r="1151">
      <x:c r="A1151" s="13" t="str">
        <x:v>MB1-1394</x:v>
      </x:c>
      <x:c r="B1151" s="13" t="str">
        <x:v>MB1-1394</x:v>
      </x:c>
      <x:c r="C1151" s="14" t="str">
        <x:v>JESUS 1</x:v>
      </x:c>
      <x:c r="D1151" s="14" t="str">
        <x:v>home decor and inspirational</x:v>
      </x:c>
      <x:c r="E1151" s="14" t="str">
        <x:v>https://res.cloudinary.com/oxygre42/image/upload/f_auto,q_auto,c_pad,b_white,w_1200,h_1200/v1788351144/1394_JESUS_1.png</x:v>
      </x:c>
      <x:c r="F1151" s="14" t="str"/>
      <x:c r="G1151" s="14" t="str">
        <x:v>Lifestyle</x:v>
      </x:c>
      <x:c r="H1151" s="14" t="str"/>
      <x:c r="I1151" s="14" t="str">
        <x:v>Detail</x:v>
      </x:c>
      <x:c r="J1151" s="14" t="str"/>
      <x:c r="K1151" s="14" t="str">
        <x:v>Scale</x:v>
      </x:c>
      <x:c r="L1151" s="14" t="str"/>
      <x:c r="M1151" s="14" t="str">
        <x:v>Alternate</x:v>
      </x:c>
      <x:c r="N1151" s="14" t="n">
        <x:f>IF(E1151&lt;&gt;"",1,0)+IF(F1151&lt;&gt;"",1,0)+IF(H1151&lt;&gt;"",1,0)+IF(J1151&lt;&gt;"",1,0)+IF(L1151&lt;&gt;"",1,0)</x:f>
        <x:v>1</x:v>
      </x:c>
      <x:c r="O1151" s="14" t="str">
        <x:f>IF(E1151="","MISSING MAIN",IF(N1151=1,"MAIN ONLY","MULTI-PHOTO"))</x:f>
        <x:v>MAIN ONLY</x:v>
      </x:c>
      <x:c r="P1151" s="14" t="str">
        <x:v>1394_</x:v>
      </x:c>
      <x:c r="Q1151" s="14" t="str">
        <x:v>https://mb1advancedsolutions.github.io/mb1-catalog/index.html?design=1394</x:v>
      </x:c>
      <x:c r="R1151" s="14" t="str"/>
    </x:row>
    <x:row r="1152">
      <x:c r="A1152" s="13" t="str">
        <x:v>MB1-1395</x:v>
      </x:c>
      <x:c r="B1152" s="13" t="str">
        <x:v>MB1-1395</x:v>
      </x:c>
      <x:c r="C1152" s="14" t="str">
        <x:v>JESUS 2</x:v>
      </x:c>
      <x:c r="D1152" s="14" t="str">
        <x:v>home decor and inspirational</x:v>
      </x:c>
      <x:c r="E1152" s="14" t="str">
        <x:v>https://res.cloudinary.com/oxygre42/image/upload/f_auto,q_auto,c_pad,b_white,w_1200,h_1200/v1788351146/1395_JESUS_2.png</x:v>
      </x:c>
      <x:c r="F1152" s="14" t="str"/>
      <x:c r="G1152" s="14" t="str">
        <x:v>Lifestyle</x:v>
      </x:c>
      <x:c r="H1152" s="14" t="str"/>
      <x:c r="I1152" s="14" t="str">
        <x:v>Detail</x:v>
      </x:c>
      <x:c r="J1152" s="14" t="str"/>
      <x:c r="K1152" s="14" t="str">
        <x:v>Scale</x:v>
      </x:c>
      <x:c r="L1152" s="14" t="str"/>
      <x:c r="M1152" s="14" t="str">
        <x:v>Alternate</x:v>
      </x:c>
      <x:c r="N1152" s="14" t="n">
        <x:f>IF(E1152&lt;&gt;"",1,0)+IF(F1152&lt;&gt;"",1,0)+IF(H1152&lt;&gt;"",1,0)+IF(J1152&lt;&gt;"",1,0)+IF(L1152&lt;&gt;"",1,0)</x:f>
        <x:v>1</x:v>
      </x:c>
      <x:c r="O1152" s="14" t="str">
        <x:f>IF(E1152="","MISSING MAIN",IF(N1152=1,"MAIN ONLY","MULTI-PHOTO"))</x:f>
        <x:v>MAIN ONLY</x:v>
      </x:c>
      <x:c r="P1152" s="14" t="str">
        <x:v>1395_</x:v>
      </x:c>
      <x:c r="Q1152" s="14" t="str">
        <x:v>https://mb1advancedsolutions.github.io/mb1-catalog/index.html?design=1395</x:v>
      </x:c>
      <x:c r="R1152" s="14" t="str"/>
    </x:row>
    <x:row r="1153">
      <x:c r="A1153" s="13" t="str">
        <x:v>MB1-1396</x:v>
      </x:c>
      <x:c r="B1153" s="13" t="str">
        <x:v>MB1-1396</x:v>
      </x:c>
      <x:c r="C1153" s="14" t="str">
        <x:v>JESUS 3</x:v>
      </x:c>
      <x:c r="D1153" s="14" t="str">
        <x:v>home decor and inspirational</x:v>
      </x:c>
      <x:c r="E1153" s="14" t="str">
        <x:v>https://res.cloudinary.com/oxygre42/image/upload/f_auto,q_auto,c_pad,b_white,w_1200,h_1200/v1788351148/1396_JESUS_3.png</x:v>
      </x:c>
      <x:c r="F1153" s="14" t="str"/>
      <x:c r="G1153" s="14" t="str">
        <x:v>Lifestyle</x:v>
      </x:c>
      <x:c r="H1153" s="14" t="str"/>
      <x:c r="I1153" s="14" t="str">
        <x:v>Detail</x:v>
      </x:c>
      <x:c r="J1153" s="14" t="str"/>
      <x:c r="K1153" s="14" t="str">
        <x:v>Scale</x:v>
      </x:c>
      <x:c r="L1153" s="14" t="str"/>
      <x:c r="M1153" s="14" t="str">
        <x:v>Alternate</x:v>
      </x:c>
      <x:c r="N1153" s="14" t="n">
        <x:f>IF(E1153&lt;&gt;"",1,0)+IF(F1153&lt;&gt;"",1,0)+IF(H1153&lt;&gt;"",1,0)+IF(J1153&lt;&gt;"",1,0)+IF(L1153&lt;&gt;"",1,0)</x:f>
        <x:v>1</x:v>
      </x:c>
      <x:c r="O1153" s="14" t="str">
        <x:f>IF(E1153="","MISSING MAIN",IF(N1153=1,"MAIN ONLY","MULTI-PHOTO"))</x:f>
        <x:v>MAIN ONLY</x:v>
      </x:c>
      <x:c r="P1153" s="14" t="str">
        <x:v>1396_</x:v>
      </x:c>
      <x:c r="Q1153" s="14" t="str">
        <x:v>https://mb1advancedsolutions.github.io/mb1-catalog/index.html?design=1396</x:v>
      </x:c>
      <x:c r="R1153" s="14" t="str"/>
    </x:row>
    <x:row r="1154">
      <x:c r="A1154" s="13" t="str">
        <x:v>MB1-1397</x:v>
      </x:c>
      <x:c r="B1154" s="13" t="str">
        <x:v>MB1-1397</x:v>
      </x:c>
      <x:c r="C1154" s="14" t="str">
        <x:v>JESUS 4</x:v>
      </x:c>
      <x:c r="D1154" s="14" t="str">
        <x:v>home decor and inspirational</x:v>
      </x:c>
      <x:c r="E1154" s="14" t="str">
        <x:v>https://res.cloudinary.com/oxygre42/image/upload/f_auto,q_auto,c_pad,b_white,w_1200,h_1200/v1788351150/1397_JESUS_4.png</x:v>
      </x:c>
      <x:c r="F1154" s="14" t="str"/>
      <x:c r="G1154" s="14" t="str">
        <x:v>Lifestyle</x:v>
      </x:c>
      <x:c r="H1154" s="14" t="str"/>
      <x:c r="I1154" s="14" t="str">
        <x:v>Detail</x:v>
      </x:c>
      <x:c r="J1154" s="14" t="str"/>
      <x:c r="K1154" s="14" t="str">
        <x:v>Scale</x:v>
      </x:c>
      <x:c r="L1154" s="14" t="str"/>
      <x:c r="M1154" s="14" t="str">
        <x:v>Alternate</x:v>
      </x:c>
      <x:c r="N1154" s="14" t="n">
        <x:f>IF(E1154&lt;&gt;"",1,0)+IF(F1154&lt;&gt;"",1,0)+IF(H1154&lt;&gt;"",1,0)+IF(J1154&lt;&gt;"",1,0)+IF(L1154&lt;&gt;"",1,0)</x:f>
        <x:v>1</x:v>
      </x:c>
      <x:c r="O1154" s="14" t="str">
        <x:f>IF(E1154="","MISSING MAIN",IF(N1154=1,"MAIN ONLY","MULTI-PHOTO"))</x:f>
        <x:v>MAIN ONLY</x:v>
      </x:c>
      <x:c r="P1154" s="14" t="str">
        <x:v>1397_</x:v>
      </x:c>
      <x:c r="Q1154" s="14" t="str">
        <x:v>https://mb1advancedsolutions.github.io/mb1-catalog/index.html?design=1397</x:v>
      </x:c>
      <x:c r="R1154" s="14" t="str"/>
    </x:row>
    <x:row r="1155">
      <x:c r="A1155" s="13" t="str">
        <x:v>MB1-1398</x:v>
      </x:c>
      <x:c r="B1155" s="13" t="str">
        <x:v>MB1-1398</x:v>
      </x:c>
      <x:c r="C1155" s="14" t="str">
        <x:v>JESUS 5</x:v>
      </x:c>
      <x:c r="D1155" s="14" t="str">
        <x:v>home decor and inspirational</x:v>
      </x:c>
      <x:c r="E1155" s="14" t="str">
        <x:v>https://res.cloudinary.com/oxygre42/image/upload/f_auto,q_auto,c_pad,b_white,w_1200,h_1200/v1788351151/1398_JESUS_5.png</x:v>
      </x:c>
      <x:c r="F1155" s="14" t="str"/>
      <x:c r="G1155" s="14" t="str">
        <x:v>Lifestyle</x:v>
      </x:c>
      <x:c r="H1155" s="14" t="str"/>
      <x:c r="I1155" s="14" t="str">
        <x:v>Detail</x:v>
      </x:c>
      <x:c r="J1155" s="14" t="str"/>
      <x:c r="K1155" s="14" t="str">
        <x:v>Scale</x:v>
      </x:c>
      <x:c r="L1155" s="14" t="str"/>
      <x:c r="M1155" s="14" t="str">
        <x:v>Alternate</x:v>
      </x:c>
      <x:c r="N1155" s="14" t="n">
        <x:f>IF(E1155&lt;&gt;"",1,0)+IF(F1155&lt;&gt;"",1,0)+IF(H1155&lt;&gt;"",1,0)+IF(J1155&lt;&gt;"",1,0)+IF(L1155&lt;&gt;"",1,0)</x:f>
        <x:v>1</x:v>
      </x:c>
      <x:c r="O1155" s="14" t="str">
        <x:f>IF(E1155="","MISSING MAIN",IF(N1155=1,"MAIN ONLY","MULTI-PHOTO"))</x:f>
        <x:v>MAIN ONLY</x:v>
      </x:c>
      <x:c r="P1155" s="14" t="str">
        <x:v>1398_</x:v>
      </x:c>
      <x:c r="Q1155" s="14" t="str">
        <x:v>https://mb1advancedsolutions.github.io/mb1-catalog/index.html?design=1398</x:v>
      </x:c>
      <x:c r="R1155" s="14" t="str"/>
    </x:row>
    <x:row r="1156">
      <x:c r="A1156" s="13" t="str">
        <x:v>MB1-1399</x:v>
      </x:c>
      <x:c r="B1156" s="13" t="str">
        <x:v>MB1-1399</x:v>
      </x:c>
      <x:c r="C1156" s="14" t="str">
        <x:v>JESUS 6</x:v>
      </x:c>
      <x:c r="D1156" s="14" t="str">
        <x:v>home decor and inspirational</x:v>
      </x:c>
      <x:c r="E1156" s="14" t="str">
        <x:v>https://res.cloudinary.com/oxygre42/image/upload/f_auto,q_auto,c_pad,b_white,w_1200,h_1200/v1788351153/1399_JESUS_6.png</x:v>
      </x:c>
      <x:c r="F1156" s="14" t="str"/>
      <x:c r="G1156" s="14" t="str">
        <x:v>Lifestyle</x:v>
      </x:c>
      <x:c r="H1156" s="14" t="str"/>
      <x:c r="I1156" s="14" t="str">
        <x:v>Detail</x:v>
      </x:c>
      <x:c r="J1156" s="14" t="str"/>
      <x:c r="K1156" s="14" t="str">
        <x:v>Scale</x:v>
      </x:c>
      <x:c r="L1156" s="14" t="str"/>
      <x:c r="M1156" s="14" t="str">
        <x:v>Alternate</x:v>
      </x:c>
      <x:c r="N1156" s="14" t="n">
        <x:f>IF(E1156&lt;&gt;"",1,0)+IF(F1156&lt;&gt;"",1,0)+IF(H1156&lt;&gt;"",1,0)+IF(J1156&lt;&gt;"",1,0)+IF(L1156&lt;&gt;"",1,0)</x:f>
        <x:v>1</x:v>
      </x:c>
      <x:c r="O1156" s="14" t="str">
        <x:f>IF(E1156="","MISSING MAIN",IF(N1156=1,"MAIN ONLY","MULTI-PHOTO"))</x:f>
        <x:v>MAIN ONLY</x:v>
      </x:c>
      <x:c r="P1156" s="14" t="str">
        <x:v>1399_</x:v>
      </x:c>
      <x:c r="Q1156" s="14" t="str">
        <x:v>https://mb1advancedsolutions.github.io/mb1-catalog/index.html?design=1399</x:v>
      </x:c>
      <x:c r="R1156" s="14" t="str"/>
    </x:row>
    <x:row r="1157">
      <x:c r="A1157" s="13" t="str">
        <x:v>MB1-1401</x:v>
      </x:c>
      <x:c r="B1157" s="13" t="str">
        <x:v>MB1-1401</x:v>
      </x:c>
      <x:c r="C1157" s="14" t="str">
        <x:v>JESUS IS MY ANCHOR</x:v>
      </x:c>
      <x:c r="D1157" s="14" t="str">
        <x:v>lake house and nautical</x:v>
      </x:c>
      <x:c r="E1157" s="14" t="str">
        <x:v>https://res.cloudinary.com/oxygre42/image/upload/f_auto,q_auto,c_pad,b_white,w_1200,h_1200/v1788351155/1401_JESUS_IS_MY_ANCHOR.png</x:v>
      </x:c>
      <x:c r="F1157" s="14" t="str"/>
      <x:c r="G1157" s="14" t="str">
        <x:v>Lifestyle</x:v>
      </x:c>
      <x:c r="H1157" s="14" t="str"/>
      <x:c r="I1157" s="14" t="str">
        <x:v>Detail</x:v>
      </x:c>
      <x:c r="J1157" s="14" t="str"/>
      <x:c r="K1157" s="14" t="str">
        <x:v>Scale</x:v>
      </x:c>
      <x:c r="L1157" s="14" t="str"/>
      <x:c r="M1157" s="14" t="str">
        <x:v>Alternate</x:v>
      </x:c>
      <x:c r="N1157" s="14" t="n">
        <x:f>IF(E1157&lt;&gt;"",1,0)+IF(F1157&lt;&gt;"",1,0)+IF(H1157&lt;&gt;"",1,0)+IF(J1157&lt;&gt;"",1,0)+IF(L1157&lt;&gt;"",1,0)</x:f>
        <x:v>1</x:v>
      </x:c>
      <x:c r="O1157" s="14" t="str">
        <x:f>IF(E1157="","MISSING MAIN",IF(N1157=1,"MAIN ONLY","MULTI-PHOTO"))</x:f>
        <x:v>MAIN ONLY</x:v>
      </x:c>
      <x:c r="P1157" s="14" t="str">
        <x:v>1401_</x:v>
      </x:c>
      <x:c r="Q1157" s="14" t="str">
        <x:v>https://mb1advancedsolutions.github.io/mb1-catalog/index.html?design=1401</x:v>
      </x:c>
      <x:c r="R1157" s="14" t="str"/>
    </x:row>
    <x:row r="1158">
      <x:c r="A1158" s="13" t="str">
        <x:v>MB1-1402</x:v>
      </x:c>
      <x:c r="B1158" s="13" t="str">
        <x:v>MB1-1402</x:v>
      </x:c>
      <x:c r="C1158" s="14" t="str">
        <x:v>JESUS IS THE REASON</x:v>
      </x:c>
      <x:c r="D1158" s="14" t="str">
        <x:v>home decor and inspirational</x:v>
      </x:c>
      <x:c r="E1158" s="14" t="str">
        <x:v>https://res.cloudinary.com/oxygre42/image/upload/f_auto,q_auto,c_pad,b_white,w_1200,h_1200/v1788351157/1402_JESUS_IS_THE_REASON.png</x:v>
      </x:c>
      <x:c r="F1158" s="14" t="str"/>
      <x:c r="G1158" s="14" t="str">
        <x:v>Lifestyle</x:v>
      </x:c>
      <x:c r="H1158" s="14" t="str"/>
      <x:c r="I1158" s="14" t="str">
        <x:v>Detail</x:v>
      </x:c>
      <x:c r="J1158" s="14" t="str"/>
      <x:c r="K1158" s="14" t="str">
        <x:v>Scale</x:v>
      </x:c>
      <x:c r="L1158" s="14" t="str"/>
      <x:c r="M1158" s="14" t="str">
        <x:v>Alternate</x:v>
      </x:c>
      <x:c r="N1158" s="14" t="n">
        <x:f>IF(E1158&lt;&gt;"",1,0)+IF(F1158&lt;&gt;"",1,0)+IF(H1158&lt;&gt;"",1,0)+IF(J1158&lt;&gt;"",1,0)+IF(L1158&lt;&gt;"",1,0)</x:f>
        <x:v>1</x:v>
      </x:c>
      <x:c r="O1158" s="14" t="str">
        <x:f>IF(E1158="","MISSING MAIN",IF(N1158=1,"MAIN ONLY","MULTI-PHOTO"))</x:f>
        <x:v>MAIN ONLY</x:v>
      </x:c>
      <x:c r="P1158" s="14" t="str">
        <x:v>1402_</x:v>
      </x:c>
      <x:c r="Q1158" s="14" t="str">
        <x:v>https://mb1advancedsolutions.github.io/mb1-catalog/index.html?design=1402</x:v>
      </x:c>
      <x:c r="R1158" s="14" t="str"/>
    </x:row>
    <x:row r="1159">
      <x:c r="A1159" s="13" t="str">
        <x:v>MB1-1403</x:v>
      </x:c>
      <x:c r="B1159" s="13" t="str">
        <x:v>MB1-1403</x:v>
      </x:c>
      <x:c r="C1159" s="14" t="str">
        <x:v>SIMPLE FLAG 1</x:v>
      </x:c>
      <x:c r="D1159" s="14" t="str">
        <x:v>seasonal and holiday</x:v>
      </x:c>
      <x:c r="E1159" s="14" t="str">
        <x:v>https://res.cloudinary.com/oxygre42/image/upload/f_auto,q_auto,c_pad,b_white,w_1200,h_1200/v1788351159/1403_SIMPLE_FLAG_1.png</x:v>
      </x:c>
      <x:c r="F1159" s="14" t="str"/>
      <x:c r="G1159" s="14" t="str">
        <x:v>Lifestyle</x:v>
      </x:c>
      <x:c r="H1159" s="14" t="str"/>
      <x:c r="I1159" s="14" t="str">
        <x:v>Detail</x:v>
      </x:c>
      <x:c r="J1159" s="14" t="str"/>
      <x:c r="K1159" s="14" t="str">
        <x:v>Scale</x:v>
      </x:c>
      <x:c r="L1159" s="14" t="str"/>
      <x:c r="M1159" s="14" t="str">
        <x:v>Alternate</x:v>
      </x:c>
      <x:c r="N1159" s="14" t="n">
        <x:f>IF(E1159&lt;&gt;"",1,0)+IF(F1159&lt;&gt;"",1,0)+IF(H1159&lt;&gt;"",1,0)+IF(J1159&lt;&gt;"",1,0)+IF(L1159&lt;&gt;"",1,0)</x:f>
        <x:v>1</x:v>
      </x:c>
      <x:c r="O1159" s="14" t="str">
        <x:f>IF(E1159="","MISSING MAIN",IF(N1159=1,"MAIN ONLY","MULTI-PHOTO"))</x:f>
        <x:v>MAIN ONLY</x:v>
      </x:c>
      <x:c r="P1159" s="14" t="str">
        <x:v>1403_</x:v>
      </x:c>
      <x:c r="Q1159" s="14" t="str">
        <x:v>https://mb1advancedsolutions.github.io/mb1-catalog/index.html?design=1403</x:v>
      </x:c>
      <x:c r="R1159" s="14" t="str"/>
    </x:row>
    <x:row r="1160">
      <x:c r="A1160" s="13" t="str">
        <x:v>MB1-1404</x:v>
      </x:c>
      <x:c r="B1160" s="13" t="str">
        <x:v>MB1-1404</x:v>
      </x:c>
      <x:c r="C1160" s="14" t="str">
        <x:v>SIMPLE FLAG 2</x:v>
      </x:c>
      <x:c r="D1160" s="14" t="str">
        <x:v>seasonal and holiday</x:v>
      </x:c>
      <x:c r="E1160" s="14" t="str">
        <x:v>https://res.cloudinary.com/oxygre42/image/upload/f_auto,q_auto,c_pad,b_white,w_1200,h_1200/v1788351161/1404_SIMPLE_FLAG_2.png</x:v>
      </x:c>
      <x:c r="F1160" s="14" t="str"/>
      <x:c r="G1160" s="14" t="str">
        <x:v>Lifestyle</x:v>
      </x:c>
      <x:c r="H1160" s="14" t="str"/>
      <x:c r="I1160" s="14" t="str">
        <x:v>Detail</x:v>
      </x:c>
      <x:c r="J1160" s="14" t="str"/>
      <x:c r="K1160" s="14" t="str">
        <x:v>Scale</x:v>
      </x:c>
      <x:c r="L1160" s="14" t="str"/>
      <x:c r="M1160" s="14" t="str">
        <x:v>Alternate</x:v>
      </x:c>
      <x:c r="N1160" s="14" t="n">
        <x:f>IF(E1160&lt;&gt;"",1,0)+IF(F1160&lt;&gt;"",1,0)+IF(H1160&lt;&gt;"",1,0)+IF(J1160&lt;&gt;"",1,0)+IF(L1160&lt;&gt;"",1,0)</x:f>
        <x:v>1</x:v>
      </x:c>
      <x:c r="O1160" s="14" t="str">
        <x:f>IF(E1160="","MISSING MAIN",IF(N1160=1,"MAIN ONLY","MULTI-PHOTO"))</x:f>
        <x:v>MAIN ONLY</x:v>
      </x:c>
      <x:c r="P1160" s="14" t="str">
        <x:v>1404_</x:v>
      </x:c>
      <x:c r="Q1160" s="14" t="str">
        <x:v>https://mb1advancedsolutions.github.io/mb1-catalog/index.html?design=1404</x:v>
      </x:c>
      <x:c r="R1160" s="14" t="str"/>
    </x:row>
    <x:row r="1161">
      <x:c r="A1161" s="13" t="str">
        <x:v>MB1-1405</x:v>
      </x:c>
      <x:c r="B1161" s="13" t="str">
        <x:v>MB1-1405</x:v>
      </x:c>
      <x:c r="C1161" s="14" t="str">
        <x:v>SIMPLE FLAG 3</x:v>
      </x:c>
      <x:c r="D1161" s="14" t="str">
        <x:v>seasonal and holiday</x:v>
      </x:c>
      <x:c r="E1161" s="14" t="str">
        <x:v>https://res.cloudinary.com/oxygre42/image/upload/f_auto,q_auto,c_pad,b_white,w_1200,h_1200/v1788351163/1405_SIMPLE_FLAG_3.png</x:v>
      </x:c>
      <x:c r="F1161" s="14" t="str"/>
      <x:c r="G1161" s="14" t="str">
        <x:v>Lifestyle</x:v>
      </x:c>
      <x:c r="H1161" s="14" t="str"/>
      <x:c r="I1161" s="14" t="str">
        <x:v>Detail</x:v>
      </x:c>
      <x:c r="J1161" s="14" t="str"/>
      <x:c r="K1161" s="14" t="str">
        <x:v>Scale</x:v>
      </x:c>
      <x:c r="L1161" s="14" t="str"/>
      <x:c r="M1161" s="14" t="str">
        <x:v>Alternate</x:v>
      </x:c>
      <x:c r="N1161" s="14" t="n">
        <x:f>IF(E1161&lt;&gt;"",1,0)+IF(F1161&lt;&gt;"",1,0)+IF(H1161&lt;&gt;"",1,0)+IF(J1161&lt;&gt;"",1,0)+IF(L1161&lt;&gt;"",1,0)</x:f>
        <x:v>1</x:v>
      </x:c>
      <x:c r="O1161" s="14" t="str">
        <x:f>IF(E1161="","MISSING MAIN",IF(N1161=1,"MAIN ONLY","MULTI-PHOTO"))</x:f>
        <x:v>MAIN ONLY</x:v>
      </x:c>
      <x:c r="P1161" s="14" t="str">
        <x:v>1405_</x:v>
      </x:c>
      <x:c r="Q1161" s="14" t="str">
        <x:v>https://mb1advancedsolutions.github.io/mb1-catalog/index.html?design=1405</x:v>
      </x:c>
      <x:c r="R1161" s="14" t="str"/>
    </x:row>
    <x:row r="1162">
      <x:c r="A1162" s="13" t="str">
        <x:v>MB1-1406</x:v>
      </x:c>
      <x:c r="B1162" s="13" t="str">
        <x:v>MB1-1406</x:v>
      </x:c>
      <x:c r="C1162" s="14" t="str">
        <x:v>SIMPLE FLAG 4</x:v>
      </x:c>
      <x:c r="D1162" s="14" t="str">
        <x:v>seasonal and holiday</x:v>
      </x:c>
      <x:c r="E1162" s="14" t="str">
        <x:v>https://res.cloudinary.com/oxygre42/image/upload/f_auto,q_auto,c_pad,b_white,w_1200,h_1200/v1788351165/1406_SIMPLE_FLAG_4.png</x:v>
      </x:c>
      <x:c r="F1162" s="14" t="str"/>
      <x:c r="G1162" s="14" t="str">
        <x:v>Lifestyle</x:v>
      </x:c>
      <x:c r="H1162" s="14" t="str"/>
      <x:c r="I1162" s="14" t="str">
        <x:v>Detail</x:v>
      </x:c>
      <x:c r="J1162" s="14" t="str"/>
      <x:c r="K1162" s="14" t="str">
        <x:v>Scale</x:v>
      </x:c>
      <x:c r="L1162" s="14" t="str"/>
      <x:c r="M1162" s="14" t="str">
        <x:v>Alternate</x:v>
      </x:c>
      <x:c r="N1162" s="14" t="n">
        <x:f>IF(E1162&lt;&gt;"",1,0)+IF(F1162&lt;&gt;"",1,0)+IF(H1162&lt;&gt;"",1,0)+IF(J1162&lt;&gt;"",1,0)+IF(L1162&lt;&gt;"",1,0)</x:f>
        <x:v>1</x:v>
      </x:c>
      <x:c r="O1162" s="14" t="str">
        <x:f>IF(E1162="","MISSING MAIN",IF(N1162=1,"MAIN ONLY","MULTI-PHOTO"))</x:f>
        <x:v>MAIN ONLY</x:v>
      </x:c>
      <x:c r="P1162" s="14" t="str">
        <x:v>1406_</x:v>
      </x:c>
      <x:c r="Q1162" s="14" t="str">
        <x:v>https://mb1advancedsolutions.github.io/mb1-catalog/index.html?design=1406</x:v>
      </x:c>
      <x:c r="R1162" s="14" t="str"/>
    </x:row>
    <x:row r="1163">
      <x:c r="A1163" s="13" t="str">
        <x:v>MB1-1407</x:v>
      </x:c>
      <x:c r="B1163" s="13" t="str">
        <x:v>MB1-1407</x:v>
      </x:c>
      <x:c r="C1163" s="14" t="str">
        <x:v>SIMPLE FLAG 5</x:v>
      </x:c>
      <x:c r="D1163" s="14" t="str">
        <x:v>seasonal and holiday</x:v>
      </x:c>
      <x:c r="E1163" s="14" t="str">
        <x:v>https://res.cloudinary.com/oxygre42/image/upload/f_auto,q_auto,c_pad,b_white,w_1200,h_1200/v1788351166/1407_SIMPLE_FLAG_5.png</x:v>
      </x:c>
      <x:c r="F1163" s="14" t="str"/>
      <x:c r="G1163" s="14" t="str">
        <x:v>Lifestyle</x:v>
      </x:c>
      <x:c r="H1163" s="14" t="str"/>
      <x:c r="I1163" s="14" t="str">
        <x:v>Detail</x:v>
      </x:c>
      <x:c r="J1163" s="14" t="str"/>
      <x:c r="K1163" s="14" t="str">
        <x:v>Scale</x:v>
      </x:c>
      <x:c r="L1163" s="14" t="str"/>
      <x:c r="M1163" s="14" t="str">
        <x:v>Alternate</x:v>
      </x:c>
      <x:c r="N1163" s="14" t="n">
        <x:f>IF(E1163&lt;&gt;"",1,0)+IF(F1163&lt;&gt;"",1,0)+IF(H1163&lt;&gt;"",1,0)+IF(J1163&lt;&gt;"",1,0)+IF(L1163&lt;&gt;"",1,0)</x:f>
        <x:v>1</x:v>
      </x:c>
      <x:c r="O1163" s="14" t="str">
        <x:f>IF(E1163="","MISSING MAIN",IF(N1163=1,"MAIN ONLY","MULTI-PHOTO"))</x:f>
        <x:v>MAIN ONLY</x:v>
      </x:c>
      <x:c r="P1163" s="14" t="str">
        <x:v>1407_</x:v>
      </x:c>
      <x:c r="Q1163" s="14" t="str">
        <x:v>https://mb1advancedsolutions.github.io/mb1-catalog/index.html?design=1407</x:v>
      </x:c>
      <x:c r="R1163" s="14" t="str"/>
    </x:row>
    <x:row r="1164">
      <x:c r="A1164" s="13" t="str">
        <x:v>MB1-1408</x:v>
      </x:c>
      <x:c r="B1164" s="13" t="str">
        <x:v>MB1-1408</x:v>
      </x:c>
      <x:c r="C1164" s="14" t="str">
        <x:v>2Geckos</x:v>
      </x:c>
      <x:c r="D1164" s="14" t="str">
        <x:v>home decor and inspirational</x:v>
      </x:c>
      <x:c r="E1164" s="14" t="str">
        <x:v>https://res.cloudinary.com/oxygre42/image/upload/f_auto,q_auto,c_pad,b_white,w_1200,h_1200/v1788351168/1408_2Geckos.png</x:v>
      </x:c>
      <x:c r="F1164" s="14" t="str"/>
      <x:c r="G1164" s="14" t="str">
        <x:v>Lifestyle</x:v>
      </x:c>
      <x:c r="H1164" s="14" t="str"/>
      <x:c r="I1164" s="14" t="str">
        <x:v>Detail</x:v>
      </x:c>
      <x:c r="J1164" s="14" t="str"/>
      <x:c r="K1164" s="14" t="str">
        <x:v>Scale</x:v>
      </x:c>
      <x:c r="L1164" s="14" t="str"/>
      <x:c r="M1164" s="14" t="str">
        <x:v>Alternate</x:v>
      </x:c>
      <x:c r="N1164" s="14" t="n">
        <x:f>IF(E1164&lt;&gt;"",1,0)+IF(F1164&lt;&gt;"",1,0)+IF(H1164&lt;&gt;"",1,0)+IF(J1164&lt;&gt;"",1,0)+IF(L1164&lt;&gt;"",1,0)</x:f>
        <x:v>1</x:v>
      </x:c>
      <x:c r="O1164" s="14" t="str">
        <x:f>IF(E1164="","MISSING MAIN",IF(N1164=1,"MAIN ONLY","MULTI-PHOTO"))</x:f>
        <x:v>MAIN ONLY</x:v>
      </x:c>
      <x:c r="P1164" s="14" t="str">
        <x:v>1408_</x:v>
      </x:c>
      <x:c r="Q1164" s="14" t="str">
        <x:v>https://mb1advancedsolutions.github.io/mb1-catalog/index.html?design=1408</x:v>
      </x:c>
      <x:c r="R1164" s="14" t="str"/>
    </x:row>
    <x:row r="1165">
      <x:c r="A1165" s="13" t="str">
        <x:v>MB1-1409</x:v>
      </x:c>
      <x:c r="B1165" s="13" t="str">
        <x:v>MB1-1409</x:v>
      </x:c>
      <x:c r="C1165" s="14" t="str">
        <x:v>2IndianPots</x:v>
      </x:c>
      <x:c r="D1165" s="14" t="str">
        <x:v>home decor and inspirational</x:v>
      </x:c>
      <x:c r="E1165" s="14" t="str">
        <x:v>https://res.cloudinary.com/oxygre42/image/upload/f_auto,q_auto,c_pad,b_white,w_1200,h_1200/v1788351170/1409_2IndianPots.png</x:v>
      </x:c>
      <x:c r="F1165" s="14" t="str"/>
      <x:c r="G1165" s="14" t="str">
        <x:v>Lifestyle</x:v>
      </x:c>
      <x:c r="H1165" s="14" t="str"/>
      <x:c r="I1165" s="14" t="str">
        <x:v>Detail</x:v>
      </x:c>
      <x:c r="J1165" s="14" t="str"/>
      <x:c r="K1165" s="14" t="str">
        <x:v>Scale</x:v>
      </x:c>
      <x:c r="L1165" s="14" t="str"/>
      <x:c r="M1165" s="14" t="str">
        <x:v>Alternate</x:v>
      </x:c>
      <x:c r="N1165" s="14" t="n">
        <x:f>IF(E1165&lt;&gt;"",1,0)+IF(F1165&lt;&gt;"",1,0)+IF(H1165&lt;&gt;"",1,0)+IF(J1165&lt;&gt;"",1,0)+IF(L1165&lt;&gt;"",1,0)</x:f>
        <x:v>1</x:v>
      </x:c>
      <x:c r="O1165" s="14" t="str">
        <x:f>IF(E1165="","MISSING MAIN",IF(N1165=1,"MAIN ONLY","MULTI-PHOTO"))</x:f>
        <x:v>MAIN ONLY</x:v>
      </x:c>
      <x:c r="P1165" s="14" t="str">
        <x:v>1409_</x:v>
      </x:c>
      <x:c r="Q1165" s="14" t="str">
        <x:v>https://mb1advancedsolutions.github.io/mb1-catalog/index.html?design=1409</x:v>
      </x:c>
      <x:c r="R1165" s="14" t="str"/>
    </x:row>
    <x:row r="1166">
      <x:c r="A1166" s="13" t="str">
        <x:v>MB1-1410</x:v>
      </x:c>
      <x:c r="B1166" s="13" t="str">
        <x:v>MB1-1410</x:v>
      </x:c>
      <x:c r="C1166" s="14" t="str">
        <x:v>2gegkosSun</x:v>
      </x:c>
      <x:c r="D1166" s="14" t="str">
        <x:v>home decor and inspirational</x:v>
      </x:c>
      <x:c r="E1166" s="14" t="str">
        <x:v>https://res.cloudinary.com/oxygre42/image/upload/f_auto,q_auto,c_pad,b_white,w_1200,h_1200/v1788351172/1410_2gegkosSun.png</x:v>
      </x:c>
      <x:c r="F1166" s="14" t="str"/>
      <x:c r="G1166" s="14" t="str">
        <x:v>Lifestyle</x:v>
      </x:c>
      <x:c r="H1166" s="14" t="str"/>
      <x:c r="I1166" s="14" t="str">
        <x:v>Detail</x:v>
      </x:c>
      <x:c r="J1166" s="14" t="str"/>
      <x:c r="K1166" s="14" t="str">
        <x:v>Scale</x:v>
      </x:c>
      <x:c r="L1166" s="14" t="str"/>
      <x:c r="M1166" s="14" t="str">
        <x:v>Alternate</x:v>
      </x:c>
      <x:c r="N1166" s="14" t="n">
        <x:f>IF(E1166&lt;&gt;"",1,0)+IF(F1166&lt;&gt;"",1,0)+IF(H1166&lt;&gt;"",1,0)+IF(J1166&lt;&gt;"",1,0)+IF(L1166&lt;&gt;"",1,0)</x:f>
        <x:v>1</x:v>
      </x:c>
      <x:c r="O1166" s="14" t="str">
        <x:f>IF(E1166="","MISSING MAIN",IF(N1166=1,"MAIN ONLY","MULTI-PHOTO"))</x:f>
        <x:v>MAIN ONLY</x:v>
      </x:c>
      <x:c r="P1166" s="14" t="str">
        <x:v>1410_</x:v>
      </x:c>
      <x:c r="Q1166" s="14" t="str">
        <x:v>https://mb1advancedsolutions.github.io/mb1-catalog/index.html?design=1410</x:v>
      </x:c>
      <x:c r="R1166" s="14" t="str"/>
    </x:row>
    <x:row r="1167">
      <x:c r="A1167" s="13" t="str">
        <x:v>MB1-1411</x:v>
      </x:c>
      <x:c r="B1167" s="13" t="str">
        <x:v>MB1-1411</x:v>
      </x:c>
      <x:c r="C1167" s="14" t="str">
        <x:v>Funkysun</x:v>
      </x:c>
      <x:c r="D1167" s="14" t="str">
        <x:v>home decor and inspirational</x:v>
      </x:c>
      <x:c r="E1167" s="14" t="str">
        <x:v>https://res.cloudinary.com/oxygre42/image/upload/f_auto,q_auto,c_pad,b_white,w_1200,h_1200/v1788351174/1411_Funkysun.png</x:v>
      </x:c>
      <x:c r="F1167" s="14" t="str"/>
      <x:c r="G1167" s="14" t="str">
        <x:v>Lifestyle</x:v>
      </x:c>
      <x:c r="H1167" s="14" t="str"/>
      <x:c r="I1167" s="14" t="str">
        <x:v>Detail</x:v>
      </x:c>
      <x:c r="J1167" s="14" t="str"/>
      <x:c r="K1167" s="14" t="str">
        <x:v>Scale</x:v>
      </x:c>
      <x:c r="L1167" s="14" t="str"/>
      <x:c r="M1167" s="14" t="str">
        <x:v>Alternate</x:v>
      </x:c>
      <x:c r="N1167" s="14" t="n">
        <x:f>IF(E1167&lt;&gt;"",1,0)+IF(F1167&lt;&gt;"",1,0)+IF(H1167&lt;&gt;"",1,0)+IF(J1167&lt;&gt;"",1,0)+IF(L1167&lt;&gt;"",1,0)</x:f>
        <x:v>1</x:v>
      </x:c>
      <x:c r="O1167" s="14" t="str">
        <x:f>IF(E1167="","MISSING MAIN",IF(N1167=1,"MAIN ONLY","MULTI-PHOTO"))</x:f>
        <x:v>MAIN ONLY</x:v>
      </x:c>
      <x:c r="P1167" s="14" t="str">
        <x:v>1411_</x:v>
      </x:c>
      <x:c r="Q1167" s="14" t="str">
        <x:v>https://mb1advancedsolutions.github.io/mb1-catalog/index.html?design=1411</x:v>
      </x:c>
      <x:c r="R1167" s="14" t="str"/>
    </x:row>
    <x:row r="1168">
      <x:c r="A1168" s="13" t="str">
        <x:v>MB1-1412</x:v>
      </x:c>
      <x:c r="B1168" s="13" t="str">
        <x:v>MB1-1412</x:v>
      </x:c>
      <x:c r="C1168" s="14" t="str">
        <x:v>Gekko </x:v>
      </x:c>
      <x:c r="D1168" s="14" t="str">
        <x:v>wildlife and outdoors</x:v>
      </x:c>
      <x:c r="E1168" s="14" t="str">
        <x:v>https://res.cloudinary.com/oxygre42/image/upload/f_auto,q_auto,c_pad,b_white,w_1200,h_1200/v1788351176/1412_Gekko.png</x:v>
      </x:c>
      <x:c r="F1168" s="14" t="str"/>
      <x:c r="G1168" s="14" t="str">
        <x:v>Lifestyle</x:v>
      </x:c>
      <x:c r="H1168" s="14" t="str"/>
      <x:c r="I1168" s="14" t="str">
        <x:v>Detail</x:v>
      </x:c>
      <x:c r="J1168" s="14" t="str"/>
      <x:c r="K1168" s="14" t="str">
        <x:v>Scale</x:v>
      </x:c>
      <x:c r="L1168" s="14" t="str"/>
      <x:c r="M1168" s="14" t="str">
        <x:v>Alternate</x:v>
      </x:c>
      <x:c r="N1168" s="14" t="n">
        <x:f>IF(E1168&lt;&gt;"",1,0)+IF(F1168&lt;&gt;"",1,0)+IF(H1168&lt;&gt;"",1,0)+IF(J1168&lt;&gt;"",1,0)+IF(L1168&lt;&gt;"",1,0)</x:f>
        <x:v>1</x:v>
      </x:c>
      <x:c r="O1168" s="14" t="str">
        <x:f>IF(E1168="","MISSING MAIN",IF(N1168=1,"MAIN ONLY","MULTI-PHOTO"))</x:f>
        <x:v>MAIN ONLY</x:v>
      </x:c>
      <x:c r="P1168" s="14" t="str">
        <x:v>1412_</x:v>
      </x:c>
      <x:c r="Q1168" s="14" t="str">
        <x:v>https://mb1advancedsolutions.github.io/mb1-catalog/index.html?design=1412</x:v>
      </x:c>
      <x:c r="R1168" s="14" t="str"/>
    </x:row>
    <x:row r="1169">
      <x:c r="A1169" s="13" t="str">
        <x:v>MB1-1413</x:v>
      </x:c>
      <x:c r="B1169" s="13" t="str">
        <x:v>MB1-1413</x:v>
      </x:c>
      <x:c r="C1169" s="14" t="str">
        <x:v>IndianBirdFetish</x:v>
      </x:c>
      <x:c r="D1169" s="14" t="str">
        <x:v>home decor and inspirational</x:v>
      </x:c>
      <x:c r="E1169" s="14" t="str">
        <x:v>https://res.cloudinary.com/oxygre42/image/upload/f_auto,q_auto,c_pad,b_white,w_1200,h_1200/v1788351178/1413_IndianBirdFetish.png</x:v>
      </x:c>
      <x:c r="F1169" s="14" t="str"/>
      <x:c r="G1169" s="14" t="str">
        <x:v>Lifestyle</x:v>
      </x:c>
      <x:c r="H1169" s="14" t="str"/>
      <x:c r="I1169" s="14" t="str">
        <x:v>Detail</x:v>
      </x:c>
      <x:c r="J1169" s="14" t="str"/>
      <x:c r="K1169" s="14" t="str">
        <x:v>Scale</x:v>
      </x:c>
      <x:c r="L1169" s="14" t="str"/>
      <x:c r="M1169" s="14" t="str">
        <x:v>Alternate</x:v>
      </x:c>
      <x:c r="N1169" s="14" t="n">
        <x:f>IF(E1169&lt;&gt;"",1,0)+IF(F1169&lt;&gt;"",1,0)+IF(H1169&lt;&gt;"",1,0)+IF(J1169&lt;&gt;"",1,0)+IF(L1169&lt;&gt;"",1,0)</x:f>
        <x:v>1</x:v>
      </x:c>
      <x:c r="O1169" s="14" t="str">
        <x:f>IF(E1169="","MISSING MAIN",IF(N1169=1,"MAIN ONLY","MULTI-PHOTO"))</x:f>
        <x:v>MAIN ONLY</x:v>
      </x:c>
      <x:c r="P1169" s="14" t="str">
        <x:v>1413_</x:v>
      </x:c>
      <x:c r="Q1169" s="14" t="str">
        <x:v>https://mb1advancedsolutions.github.io/mb1-catalog/index.html?design=1413</x:v>
      </x:c>
      <x:c r="R1169" s="14" t="str"/>
    </x:row>
    <x:row r="1170">
      <x:c r="A1170" s="13" t="str">
        <x:v>MB1-1414</x:v>
      </x:c>
      <x:c r="B1170" s="13" t="str">
        <x:v>MB1-1414</x:v>
      </x:c>
      <x:c r="C1170" s="14" t="str">
        <x:v>IndianTurtle2</x:v>
      </x:c>
      <x:c r="D1170" s="14" t="str">
        <x:v>home decor and inspirational</x:v>
      </x:c>
      <x:c r="E1170" s="14" t="str">
        <x:v>https://res.cloudinary.com/oxygre42/image/upload/f_auto,q_auto,c_pad,b_white,w_1200,h_1200/v1788351180/1414_IndianTurtle2.png</x:v>
      </x:c>
      <x:c r="F1170" s="14" t="str"/>
      <x:c r="G1170" s="14" t="str">
        <x:v>Lifestyle</x:v>
      </x:c>
      <x:c r="H1170" s="14" t="str"/>
      <x:c r="I1170" s="14" t="str">
        <x:v>Detail</x:v>
      </x:c>
      <x:c r="J1170" s="14" t="str"/>
      <x:c r="K1170" s="14" t="str">
        <x:v>Scale</x:v>
      </x:c>
      <x:c r="L1170" s="14" t="str"/>
      <x:c r="M1170" s="14" t="str">
        <x:v>Alternate</x:v>
      </x:c>
      <x:c r="N1170" s="14" t="n">
        <x:f>IF(E1170&lt;&gt;"",1,0)+IF(F1170&lt;&gt;"",1,0)+IF(H1170&lt;&gt;"",1,0)+IF(J1170&lt;&gt;"",1,0)+IF(L1170&lt;&gt;"",1,0)</x:f>
        <x:v>1</x:v>
      </x:c>
      <x:c r="O1170" s="14" t="str">
        <x:f>IF(E1170="","MISSING MAIN",IF(N1170=1,"MAIN ONLY","MULTI-PHOTO"))</x:f>
        <x:v>MAIN ONLY</x:v>
      </x:c>
      <x:c r="P1170" s="14" t="str">
        <x:v>1414_</x:v>
      </x:c>
      <x:c r="Q1170" s="14" t="str">
        <x:v>https://mb1advancedsolutions.github.io/mb1-catalog/index.html?design=1414</x:v>
      </x:c>
      <x:c r="R1170" s="14" t="str"/>
    </x:row>
    <x:row r="1171">
      <x:c r="A1171" s="13" t="str">
        <x:v>MB1-1415</x:v>
      </x:c>
      <x:c r="B1171" s="13" t="str">
        <x:v>MB1-1415</x:v>
      </x:c>
      <x:c r="C1171" s="14" t="str">
        <x:v>IndianTurtle3</x:v>
      </x:c>
      <x:c r="D1171" s="14" t="str">
        <x:v>home decor and inspirational</x:v>
      </x:c>
      <x:c r="E1171" s="14" t="str">
        <x:v>https://res.cloudinary.com/oxygre42/image/upload/f_auto,q_auto,c_pad,b_white,w_1200,h_1200/v1788351181/1415_IndianTurtle3.png</x:v>
      </x:c>
      <x:c r="F1171" s="14" t="str"/>
      <x:c r="G1171" s="14" t="str">
        <x:v>Lifestyle</x:v>
      </x:c>
      <x:c r="H1171" s="14" t="str"/>
      <x:c r="I1171" s="14" t="str">
        <x:v>Detail</x:v>
      </x:c>
      <x:c r="J1171" s="14" t="str"/>
      <x:c r="K1171" s="14" t="str">
        <x:v>Scale</x:v>
      </x:c>
      <x:c r="L1171" s="14" t="str"/>
      <x:c r="M1171" s="14" t="str">
        <x:v>Alternate</x:v>
      </x:c>
      <x:c r="N1171" s="14" t="n">
        <x:f>IF(E1171&lt;&gt;"",1,0)+IF(F1171&lt;&gt;"",1,0)+IF(H1171&lt;&gt;"",1,0)+IF(J1171&lt;&gt;"",1,0)+IF(L1171&lt;&gt;"",1,0)</x:f>
        <x:v>1</x:v>
      </x:c>
      <x:c r="O1171" s="14" t="str">
        <x:f>IF(E1171="","MISSING MAIN",IF(N1171=1,"MAIN ONLY","MULTI-PHOTO"))</x:f>
        <x:v>MAIN ONLY</x:v>
      </x:c>
      <x:c r="P1171" s="14" t="str">
        <x:v>1415_</x:v>
      </x:c>
      <x:c r="Q1171" s="14" t="str">
        <x:v>https://mb1advancedsolutions.github.io/mb1-catalog/index.html?design=1415</x:v>
      </x:c>
      <x:c r="R1171" s="14" t="str"/>
    </x:row>
    <x:row r="1172">
      <x:c r="A1172" s="13" t="str">
        <x:v>MB1-1416</x:v>
      </x:c>
      <x:c r="B1172" s="13" t="str">
        <x:v>MB1-1416</x:v>
      </x:c>
      <x:c r="C1172" s="14" t="str">
        <x:v>Kokapel15 </x:v>
      </x:c>
      <x:c r="D1172" s="14" t="str">
        <x:v>farm and western</x:v>
      </x:c>
      <x:c r="E1172" s="14" t="str">
        <x:v>https://res.cloudinary.com/oxygre42/image/upload/f_auto,q_auto,c_pad,b_white,w_1200,h_1200/v1788351183/1416_Kokapel15.png</x:v>
      </x:c>
      <x:c r="F1172" s="14" t="str"/>
      <x:c r="G1172" s="14" t="str">
        <x:v>Lifestyle</x:v>
      </x:c>
      <x:c r="H1172" s="14" t="str"/>
      <x:c r="I1172" s="14" t="str">
        <x:v>Detail</x:v>
      </x:c>
      <x:c r="J1172" s="14" t="str"/>
      <x:c r="K1172" s="14" t="str">
        <x:v>Scale</x:v>
      </x:c>
      <x:c r="L1172" s="14" t="str"/>
      <x:c r="M1172" s="14" t="str">
        <x:v>Alternate</x:v>
      </x:c>
      <x:c r="N1172" s="14" t="n">
        <x:f>IF(E1172&lt;&gt;"",1,0)+IF(F1172&lt;&gt;"",1,0)+IF(H1172&lt;&gt;"",1,0)+IF(J1172&lt;&gt;"",1,0)+IF(L1172&lt;&gt;"",1,0)</x:f>
        <x:v>1</x:v>
      </x:c>
      <x:c r="O1172" s="14" t="str">
        <x:f>IF(E1172="","MISSING MAIN",IF(N1172=1,"MAIN ONLY","MULTI-PHOTO"))</x:f>
        <x:v>MAIN ONLY</x:v>
      </x:c>
      <x:c r="P1172" s="14" t="str">
        <x:v>1416_</x:v>
      </x:c>
      <x:c r="Q1172" s="14" t="str">
        <x:v>https://mb1advancedsolutions.github.io/mb1-catalog/index.html?design=1416</x:v>
      </x:c>
      <x:c r="R1172" s="14" t="str"/>
    </x:row>
    <x:row r="1173">
      <x:c r="A1173" s="13" t="str">
        <x:v>MB1-1417</x:v>
      </x:c>
      <x:c r="B1173" s="13" t="str">
        <x:v>MB1-1417</x:v>
      </x:c>
      <x:c r="C1173" s="14" t="str">
        <x:v>Kokapeli</x:v>
      </x:c>
      <x:c r="D1173" s="14" t="str">
        <x:v>farm and western</x:v>
      </x:c>
      <x:c r="E1173" s="14" t="str">
        <x:v>https://res.cloudinary.com/oxygre42/image/upload/f_auto,q_auto,c_pad,b_white,w_1200,h_1200/v1788351185/1417_Kokapeli.png</x:v>
      </x:c>
      <x:c r="F1173" s="14" t="str"/>
      <x:c r="G1173" s="14" t="str">
        <x:v>Lifestyle</x:v>
      </x:c>
      <x:c r="H1173" s="14" t="str"/>
      <x:c r="I1173" s="14" t="str">
        <x:v>Detail</x:v>
      </x:c>
      <x:c r="J1173" s="14" t="str"/>
      <x:c r="K1173" s="14" t="str">
        <x:v>Scale</x:v>
      </x:c>
      <x:c r="L1173" s="14" t="str"/>
      <x:c r="M1173" s="14" t="str">
        <x:v>Alternate</x:v>
      </x:c>
      <x:c r="N1173" s="14" t="n">
        <x:f>IF(E1173&lt;&gt;"",1,0)+IF(F1173&lt;&gt;"",1,0)+IF(H1173&lt;&gt;"",1,0)+IF(J1173&lt;&gt;"",1,0)+IF(L1173&lt;&gt;"",1,0)</x:f>
        <x:v>1</x:v>
      </x:c>
      <x:c r="O1173" s="14" t="str">
        <x:f>IF(E1173="","MISSING MAIN",IF(N1173=1,"MAIN ONLY","MULTI-PHOTO"))</x:f>
        <x:v>MAIN ONLY</x:v>
      </x:c>
      <x:c r="P1173" s="14" t="str">
        <x:v>1417_</x:v>
      </x:c>
      <x:c r="Q1173" s="14" t="str">
        <x:v>https://mb1advancedsolutions.github.io/mb1-catalog/index.html?design=1417</x:v>
      </x:c>
      <x:c r="R1173" s="14" t="str"/>
    </x:row>
    <x:row r="1174">
      <x:c r="A1174" s="13" t="str">
        <x:v>MB1-1418</x:v>
      </x:c>
      <x:c r="B1174" s="13" t="str">
        <x:v>MB1-1418</x:v>
      </x:c>
      <x:c r="C1174" s="14" t="str">
        <x:v>Kokop2</x:v>
      </x:c>
      <x:c r="D1174" s="14" t="str">
        <x:v>farm and western</x:v>
      </x:c>
      <x:c r="E1174" s="14" t="str">
        <x:v>https://res.cloudinary.com/oxygre42/image/upload/f_auto,q_auto,c_pad,b_white,w_1200,h_1200/v1788351187/1418_Kokop2.png</x:v>
      </x:c>
      <x:c r="F1174" s="14" t="str"/>
      <x:c r="G1174" s="14" t="str">
        <x:v>Lifestyle</x:v>
      </x:c>
      <x:c r="H1174" s="14" t="str"/>
      <x:c r="I1174" s="14" t="str">
        <x:v>Detail</x:v>
      </x:c>
      <x:c r="J1174" s="14" t="str"/>
      <x:c r="K1174" s="14" t="str">
        <x:v>Scale</x:v>
      </x:c>
      <x:c r="L1174" s="14" t="str"/>
      <x:c r="M1174" s="14" t="str">
        <x:v>Alternate</x:v>
      </x:c>
      <x:c r="N1174" s="14" t="n">
        <x:f>IF(E1174&lt;&gt;"",1,0)+IF(F1174&lt;&gt;"",1,0)+IF(H1174&lt;&gt;"",1,0)+IF(J1174&lt;&gt;"",1,0)+IF(L1174&lt;&gt;"",1,0)</x:f>
        <x:v>1</x:v>
      </x:c>
      <x:c r="O1174" s="14" t="str">
        <x:f>IF(E1174="","MISSING MAIN",IF(N1174=1,"MAIN ONLY","MULTI-PHOTO"))</x:f>
        <x:v>MAIN ONLY</x:v>
      </x:c>
      <x:c r="P1174" s="14" t="str">
        <x:v>1418_</x:v>
      </x:c>
      <x:c r="Q1174" s="14" t="str">
        <x:v>https://mb1advancedsolutions.github.io/mb1-catalog/index.html?design=1418</x:v>
      </x:c>
      <x:c r="R1174" s="14" t="str"/>
    </x:row>
    <x:row r="1175">
      <x:c r="A1175" s="13" t="str">
        <x:v>MB1-1419</x:v>
      </x:c>
      <x:c r="B1175" s="13" t="str">
        <x:v>MB1-1419</x:v>
      </x:c>
      <x:c r="C1175" s="14" t="str">
        <x:v>SantaFeSun</x:v>
      </x:c>
      <x:c r="D1175" s="14" t="str">
        <x:v>home decor and inspirational</x:v>
      </x:c>
      <x:c r="E1175" s="14" t="str">
        <x:v>https://res.cloudinary.com/oxygre42/image/upload/f_auto,q_auto,c_pad,b_white,w_1200,h_1200/v1788351189/1419_SantaFeSun.png</x:v>
      </x:c>
      <x:c r="F1175" s="14" t="str"/>
      <x:c r="G1175" s="14" t="str">
        <x:v>Lifestyle</x:v>
      </x:c>
      <x:c r="H1175" s="14" t="str"/>
      <x:c r="I1175" s="14" t="str">
        <x:v>Detail</x:v>
      </x:c>
      <x:c r="J1175" s="14" t="str"/>
      <x:c r="K1175" s="14" t="str">
        <x:v>Scale</x:v>
      </x:c>
      <x:c r="L1175" s="14" t="str"/>
      <x:c r="M1175" s="14" t="str">
        <x:v>Alternate</x:v>
      </x:c>
      <x:c r="N1175" s="14" t="n">
        <x:f>IF(E1175&lt;&gt;"",1,0)+IF(F1175&lt;&gt;"",1,0)+IF(H1175&lt;&gt;"",1,0)+IF(J1175&lt;&gt;"",1,0)+IF(L1175&lt;&gt;"",1,0)</x:f>
        <x:v>1</x:v>
      </x:c>
      <x:c r="O1175" s="14" t="str">
        <x:f>IF(E1175="","MISSING MAIN",IF(N1175=1,"MAIN ONLY","MULTI-PHOTO"))</x:f>
        <x:v>MAIN ONLY</x:v>
      </x:c>
      <x:c r="P1175" s="14" t="str">
        <x:v>1419_</x:v>
      </x:c>
      <x:c r="Q1175" s="14" t="str">
        <x:v>https://mb1advancedsolutions.github.io/mb1-catalog/index.html?design=1419</x:v>
      </x:c>
      <x:c r="R1175" s="14" t="str"/>
    </x:row>
    <x:row r="1176">
      <x:c r="A1176" s="13" t="str">
        <x:v>MB1-1420</x:v>
      </x:c>
      <x:c r="B1176" s="13" t="str">
        <x:v>MB1-1420</x:v>
      </x:c>
      <x:c r="C1176" s="14" t="str">
        <x:v>SpirtSun</x:v>
      </x:c>
      <x:c r="D1176" s="14" t="str">
        <x:v>home decor and inspirational</x:v>
      </x:c>
      <x:c r="E1176" s="14" t="str">
        <x:v>https://res.cloudinary.com/oxygre42/image/upload/f_auto,q_auto,c_pad,b_white,w_1200,h_1200/v1788351191/1420_SpirtSun.png</x:v>
      </x:c>
      <x:c r="F1176" s="14" t="str"/>
      <x:c r="G1176" s="14" t="str">
        <x:v>Lifestyle</x:v>
      </x:c>
      <x:c r="H1176" s="14" t="str"/>
      <x:c r="I1176" s="14" t="str">
        <x:v>Detail</x:v>
      </x:c>
      <x:c r="J1176" s="14" t="str"/>
      <x:c r="K1176" s="14" t="str">
        <x:v>Scale</x:v>
      </x:c>
      <x:c r="L1176" s="14" t="str"/>
      <x:c r="M1176" s="14" t="str">
        <x:v>Alternate</x:v>
      </x:c>
      <x:c r="N1176" s="14" t="n">
        <x:f>IF(E1176&lt;&gt;"",1,0)+IF(F1176&lt;&gt;"",1,0)+IF(H1176&lt;&gt;"",1,0)+IF(J1176&lt;&gt;"",1,0)+IF(L1176&lt;&gt;"",1,0)</x:f>
        <x:v>1</x:v>
      </x:c>
      <x:c r="O1176" s="14" t="str">
        <x:f>IF(E1176="","MISSING MAIN",IF(N1176=1,"MAIN ONLY","MULTI-PHOTO"))</x:f>
        <x:v>MAIN ONLY</x:v>
      </x:c>
      <x:c r="P1176" s="14" t="str">
        <x:v>1420_</x:v>
      </x:c>
      <x:c r="Q1176" s="14" t="str">
        <x:v>https://mb1advancedsolutions.github.io/mb1-catalog/index.html?design=1420</x:v>
      </x:c>
      <x:c r="R1176" s="14" t="str"/>
    </x:row>
    <x:row r="1177">
      <x:c r="A1177" s="13" t="str">
        <x:v>MB1-1421</x:v>
      </x:c>
      <x:c r="B1177" s="13" t="str">
        <x:v>MB1-1421</x:v>
      </x:c>
      <x:c r="C1177" s="14" t="str">
        <x:v>gecko5</x:v>
      </x:c>
      <x:c r="D1177" s="14" t="str">
        <x:v>home decor and inspirational</x:v>
      </x:c>
      <x:c r="E1177" s="14" t="str">
        <x:v>https://res.cloudinary.com/oxygre42/image/upload/f_auto,q_auto,c_pad,b_white,w_1200,h_1200/v1788351193/1421_gecko5.png</x:v>
      </x:c>
      <x:c r="F1177" s="14" t="str"/>
      <x:c r="G1177" s="14" t="str">
        <x:v>Lifestyle</x:v>
      </x:c>
      <x:c r="H1177" s="14" t="str"/>
      <x:c r="I1177" s="14" t="str">
        <x:v>Detail</x:v>
      </x:c>
      <x:c r="J1177" s="14" t="str"/>
      <x:c r="K1177" s="14" t="str">
        <x:v>Scale</x:v>
      </x:c>
      <x:c r="L1177" s="14" t="str"/>
      <x:c r="M1177" s="14" t="str">
        <x:v>Alternate</x:v>
      </x:c>
      <x:c r="N1177" s="14" t="n">
        <x:f>IF(E1177&lt;&gt;"",1,0)+IF(F1177&lt;&gt;"",1,0)+IF(H1177&lt;&gt;"",1,0)+IF(J1177&lt;&gt;"",1,0)+IF(L1177&lt;&gt;"",1,0)</x:f>
        <x:v>1</x:v>
      </x:c>
      <x:c r="O1177" s="14" t="str">
        <x:f>IF(E1177="","MISSING MAIN",IF(N1177=1,"MAIN ONLY","MULTI-PHOTO"))</x:f>
        <x:v>MAIN ONLY</x:v>
      </x:c>
      <x:c r="P1177" s="14" t="str">
        <x:v>1421_</x:v>
      </x:c>
      <x:c r="Q1177" s="14" t="str">
        <x:v>https://mb1advancedsolutions.github.io/mb1-catalog/index.html?design=1421</x:v>
      </x:c>
      <x:c r="R1177" s="14" t="str"/>
    </x:row>
    <x:row r="1178">
      <x:c r="A1178" s="13" t="str">
        <x:v>MB1-1422</x:v>
      </x:c>
      <x:c r="B1178" s="13" t="str">
        <x:v>MB1-1422</x:v>
      </x:c>
      <x:c r="C1178" s="14" t="str">
        <x:v>indianbear</x:v>
      </x:c>
      <x:c r="D1178" s="14" t="str">
        <x:v>farm and western</x:v>
      </x:c>
      <x:c r="E1178" s="14" t="str">
        <x:v>https://res.cloudinary.com/oxygre42/image/upload/f_auto,q_auto,c_pad,b_white,w_1200,h_1200/v1788351195/1422_indianbear.png</x:v>
      </x:c>
      <x:c r="F1178" s="14" t="str"/>
      <x:c r="G1178" s="14" t="str">
        <x:v>Lifestyle</x:v>
      </x:c>
      <x:c r="H1178" s="14" t="str"/>
      <x:c r="I1178" s="14" t="str">
        <x:v>Detail</x:v>
      </x:c>
      <x:c r="J1178" s="14" t="str"/>
      <x:c r="K1178" s="14" t="str">
        <x:v>Scale</x:v>
      </x:c>
      <x:c r="L1178" s="14" t="str"/>
      <x:c r="M1178" s="14" t="str">
        <x:v>Alternate</x:v>
      </x:c>
      <x:c r="N1178" s="14" t="n">
        <x:f>IF(E1178&lt;&gt;"",1,0)+IF(F1178&lt;&gt;"",1,0)+IF(H1178&lt;&gt;"",1,0)+IF(J1178&lt;&gt;"",1,0)+IF(L1178&lt;&gt;"",1,0)</x:f>
        <x:v>1</x:v>
      </x:c>
      <x:c r="O1178" s="14" t="str">
        <x:f>IF(E1178="","MISSING MAIN",IF(N1178=1,"MAIN ONLY","MULTI-PHOTO"))</x:f>
        <x:v>MAIN ONLY</x:v>
      </x:c>
      <x:c r="P1178" s="14" t="str">
        <x:v>1422_</x:v>
      </x:c>
      <x:c r="Q1178" s="14" t="str">
        <x:v>https://mb1advancedsolutions.github.io/mb1-catalog/index.html?design=1422</x:v>
      </x:c>
      <x:c r="R1178" s="14" t="str"/>
    </x:row>
    <x:row r="1179">
      <x:c r="A1179" s="13" t="str">
        <x:v>MB1-1423</x:v>
      </x:c>
      <x:c r="B1179" s="13" t="str">
        <x:v>MB1-1423</x:v>
      </x:c>
      <x:c r="C1179" s="14" t="str">
        <x:v>kieva dancers</x:v>
      </x:c>
      <x:c r="D1179" s="14" t="str">
        <x:v>farm and western</x:v>
      </x:c>
      <x:c r="E1179" s="14" t="str">
        <x:v>https://res.cloudinary.com/oxygre42/image/upload/f_auto,q_auto,c_pad,b_white,w_1200,h_1200/v1788351196/1423_kieva_dancers.png</x:v>
      </x:c>
      <x:c r="F1179" s="14" t="str"/>
      <x:c r="G1179" s="14" t="str">
        <x:v>Lifestyle</x:v>
      </x:c>
      <x:c r="H1179" s="14" t="str"/>
      <x:c r="I1179" s="14" t="str">
        <x:v>Detail</x:v>
      </x:c>
      <x:c r="J1179" s="14" t="str"/>
      <x:c r="K1179" s="14" t="str">
        <x:v>Scale</x:v>
      </x:c>
      <x:c r="L1179" s="14" t="str"/>
      <x:c r="M1179" s="14" t="str">
        <x:v>Alternate</x:v>
      </x:c>
      <x:c r="N1179" s="14" t="n">
        <x:f>IF(E1179&lt;&gt;"",1,0)+IF(F1179&lt;&gt;"",1,0)+IF(H1179&lt;&gt;"",1,0)+IF(J1179&lt;&gt;"",1,0)+IF(L1179&lt;&gt;"",1,0)</x:f>
        <x:v>1</x:v>
      </x:c>
      <x:c r="O1179" s="14" t="str">
        <x:f>IF(E1179="","MISSING MAIN",IF(N1179=1,"MAIN ONLY","MULTI-PHOTO"))</x:f>
        <x:v>MAIN ONLY</x:v>
      </x:c>
      <x:c r="P1179" s="14" t="str">
        <x:v>1423_</x:v>
      </x:c>
      <x:c r="Q1179" s="14" t="str">
        <x:v>https://mb1advancedsolutions.github.io/mb1-catalog/index.html?design=1423</x:v>
      </x:c>
      <x:c r="R1179" s="14" t="str"/>
    </x:row>
    <x:row r="1180">
      <x:c r="A1180" s="13" t="str">
        <x:v>MB1-1424</x:v>
      </x:c>
      <x:c r="B1180" s="13" t="str">
        <x:v>MB1-1424</x:v>
      </x:c>
      <x:c r="C1180" s="14" t="str">
        <x:v>kokaSunBurst</x:v>
      </x:c>
      <x:c r="D1180" s="14" t="str">
        <x:v>farm and western</x:v>
      </x:c>
      <x:c r="E1180" s="14" t="str">
        <x:v>https://res.cloudinary.com/oxygre42/image/upload/f_auto,q_auto,c_pad,b_white,w_1200,h_1200/v1788351198/1424_kokaSunBurst.png</x:v>
      </x:c>
      <x:c r="F1180" s="14" t="str"/>
      <x:c r="G1180" s="14" t="str">
        <x:v>Lifestyle</x:v>
      </x:c>
      <x:c r="H1180" s="14" t="str"/>
      <x:c r="I1180" s="14" t="str">
        <x:v>Detail</x:v>
      </x:c>
      <x:c r="J1180" s="14" t="str"/>
      <x:c r="K1180" s="14" t="str">
        <x:v>Scale</x:v>
      </x:c>
      <x:c r="L1180" s="14" t="str"/>
      <x:c r="M1180" s="14" t="str">
        <x:v>Alternate</x:v>
      </x:c>
      <x:c r="N1180" s="14" t="n">
        <x:f>IF(E1180&lt;&gt;"",1,0)+IF(F1180&lt;&gt;"",1,0)+IF(H1180&lt;&gt;"",1,0)+IF(J1180&lt;&gt;"",1,0)+IF(L1180&lt;&gt;"",1,0)</x:f>
        <x:v>1</x:v>
      </x:c>
      <x:c r="O1180" s="14" t="str">
        <x:f>IF(E1180="","MISSING MAIN",IF(N1180=1,"MAIN ONLY","MULTI-PHOTO"))</x:f>
        <x:v>MAIN ONLY</x:v>
      </x:c>
      <x:c r="P1180" s="14" t="str">
        <x:v>1424_</x:v>
      </x:c>
      <x:c r="Q1180" s="14" t="str">
        <x:v>https://mb1advancedsolutions.github.io/mb1-catalog/index.html?design=1424</x:v>
      </x:c>
      <x:c r="R1180" s="14" t="str"/>
    </x:row>
    <x:row r="1181">
      <x:c r="A1181" s="13" t="str">
        <x:v>MB1-1425</x:v>
      </x:c>
      <x:c r="B1181" s="13" t="str">
        <x:v>MB1-1425</x:v>
      </x:c>
      <x:c r="C1181" s="14" t="str">
        <x:v>kokap3aa</x:v>
      </x:c>
      <x:c r="D1181" s="14" t="str">
        <x:v>farm and western</x:v>
      </x:c>
      <x:c r="E1181" s="14" t="str">
        <x:v>https://res.cloudinary.com/oxygre42/image/upload/f_auto,q_auto,c_pad,b_white,w_1200,h_1200/v1788351200/1425_kokap3aa.png</x:v>
      </x:c>
      <x:c r="F1181" s="14" t="str"/>
      <x:c r="G1181" s="14" t="str">
        <x:v>Lifestyle</x:v>
      </x:c>
      <x:c r="H1181" s="14" t="str"/>
      <x:c r="I1181" s="14" t="str">
        <x:v>Detail</x:v>
      </x:c>
      <x:c r="J1181" s="14" t="str"/>
      <x:c r="K1181" s="14" t="str">
        <x:v>Scale</x:v>
      </x:c>
      <x:c r="L1181" s="14" t="str"/>
      <x:c r="M1181" s="14" t="str">
        <x:v>Alternate</x:v>
      </x:c>
      <x:c r="N1181" s="14" t="n">
        <x:f>IF(E1181&lt;&gt;"",1,0)+IF(F1181&lt;&gt;"",1,0)+IF(H1181&lt;&gt;"",1,0)+IF(J1181&lt;&gt;"",1,0)+IF(L1181&lt;&gt;"",1,0)</x:f>
        <x:v>1</x:v>
      </x:c>
      <x:c r="O1181" s="14" t="str">
        <x:f>IF(E1181="","MISSING MAIN",IF(N1181=1,"MAIN ONLY","MULTI-PHOTO"))</x:f>
        <x:v>MAIN ONLY</x:v>
      </x:c>
      <x:c r="P1181" s="14" t="str">
        <x:v>1425_</x:v>
      </x:c>
      <x:c r="Q1181" s="14" t="str">
        <x:v>https://mb1advancedsolutions.github.io/mb1-catalog/index.html?design=1425</x:v>
      </x:c>
      <x:c r="R1181" s="14" t="str"/>
    </x:row>
    <x:row r="1182">
      <x:c r="A1182" s="13" t="str">
        <x:v>MB1-1426</x:v>
      </x:c>
      <x:c r="B1182" s="13" t="str">
        <x:v>MB1-1426</x:v>
      </x:c>
      <x:c r="C1182" s="14" t="str">
        <x:v>koko</x:v>
      </x:c>
      <x:c r="D1182" s="14" t="str">
        <x:v>farm and western</x:v>
      </x:c>
      <x:c r="E1182" s="14" t="str">
        <x:v>https://res.cloudinary.com/oxygre42/image/upload/f_auto,q_auto,c_pad,b_white,w_1200,h_1200/v1788351202/1426_koko.png</x:v>
      </x:c>
      <x:c r="F1182" s="14" t="str"/>
      <x:c r="G1182" s="14" t="str">
        <x:v>Lifestyle</x:v>
      </x:c>
      <x:c r="H1182" s="14" t="str"/>
      <x:c r="I1182" s="14" t="str">
        <x:v>Detail</x:v>
      </x:c>
      <x:c r="J1182" s="14" t="str"/>
      <x:c r="K1182" s="14" t="str">
        <x:v>Scale</x:v>
      </x:c>
      <x:c r="L1182" s="14" t="str"/>
      <x:c r="M1182" s="14" t="str">
        <x:v>Alternate</x:v>
      </x:c>
      <x:c r="N1182" s="14" t="n">
        <x:f>IF(E1182&lt;&gt;"",1,0)+IF(F1182&lt;&gt;"",1,0)+IF(H1182&lt;&gt;"",1,0)+IF(J1182&lt;&gt;"",1,0)+IF(L1182&lt;&gt;"",1,0)</x:f>
        <x:v>1</x:v>
      </x:c>
      <x:c r="O1182" s="14" t="str">
        <x:f>IF(E1182="","MISSING MAIN",IF(N1182=1,"MAIN ONLY","MULTI-PHOTO"))</x:f>
        <x:v>MAIN ONLY</x:v>
      </x:c>
      <x:c r="P1182" s="14" t="str">
        <x:v>1426_</x:v>
      </x:c>
      <x:c r="Q1182" s="14" t="str">
        <x:v>https://mb1advancedsolutions.github.io/mb1-catalog/index.html?design=1426</x:v>
      </x:c>
      <x:c r="R1182" s="14" t="str"/>
    </x:row>
    <x:row r="1183">
      <x:c r="A1183" s="13" t="str">
        <x:v>MB1-1427</x:v>
      </x:c>
      <x:c r="B1183" s="13" t="str">
        <x:v>MB1-1427</x:v>
      </x:c>
      <x:c r="C1183" s="14" t="str">
        <x:v>spirtbear</x:v>
      </x:c>
      <x:c r="D1183" s="14" t="str">
        <x:v>farm and western</x:v>
      </x:c>
      <x:c r="E1183" s="14" t="str">
        <x:v>https://res.cloudinary.com/oxygre42/image/upload/f_auto,q_auto,c_pad,b_white,w_1200,h_1200/v1788351204/1427_spirtbear.png</x:v>
      </x:c>
      <x:c r="F1183" s="14" t="str"/>
      <x:c r="G1183" s="14" t="str">
        <x:v>Lifestyle</x:v>
      </x:c>
      <x:c r="H1183" s="14" t="str"/>
      <x:c r="I1183" s="14" t="str">
        <x:v>Detail</x:v>
      </x:c>
      <x:c r="J1183" s="14" t="str"/>
      <x:c r="K1183" s="14" t="str">
        <x:v>Scale</x:v>
      </x:c>
      <x:c r="L1183" s="14" t="str"/>
      <x:c r="M1183" s="14" t="str">
        <x:v>Alternate</x:v>
      </x:c>
      <x:c r="N1183" s="14" t="n">
        <x:f>IF(E1183&lt;&gt;"",1,0)+IF(F1183&lt;&gt;"",1,0)+IF(H1183&lt;&gt;"",1,0)+IF(J1183&lt;&gt;"",1,0)+IF(L1183&lt;&gt;"",1,0)</x:f>
        <x:v>1</x:v>
      </x:c>
      <x:c r="O1183" s="14" t="str">
        <x:f>IF(E1183="","MISSING MAIN",IF(N1183=1,"MAIN ONLY","MULTI-PHOTO"))</x:f>
        <x:v>MAIN ONLY</x:v>
      </x:c>
      <x:c r="P1183" s="14" t="str">
        <x:v>1427_</x:v>
      </x:c>
      <x:c r="Q1183" s="14" t="str">
        <x:v>https://mb1advancedsolutions.github.io/mb1-catalog/index.html?design=1427</x:v>
      </x:c>
      <x:c r="R1183" s="14" t="str"/>
    </x:row>
    <x:row r="1184">
      <x:c r="A1184" s="13" t="str">
        <x:v>MB1-1428</x:v>
      </x:c>
      <x:c r="B1184" s="13" t="str">
        <x:v>MB1-1428</x:v>
      </x:c>
      <x:c r="C1184" s="14" t="str">
        <x:v>vectorkokopeli</x:v>
      </x:c>
      <x:c r="D1184" s="14" t="str">
        <x:v>home decor and inspirational</x:v>
      </x:c>
      <x:c r="E1184" s="14" t="str">
        <x:v>https://res.cloudinary.com/oxygre42/image/upload/f_auto,q_auto,c_pad,b_white,w_1200,h_1200/v1788351206/1428_vectorkokopeli.png</x:v>
      </x:c>
      <x:c r="F1184" s="14" t="str"/>
      <x:c r="G1184" s="14" t="str">
        <x:v>Lifestyle</x:v>
      </x:c>
      <x:c r="H1184" s="14" t="str"/>
      <x:c r="I1184" s="14" t="str">
        <x:v>Detail</x:v>
      </x:c>
      <x:c r="J1184" s="14" t="str"/>
      <x:c r="K1184" s="14" t="str">
        <x:v>Scale</x:v>
      </x:c>
      <x:c r="L1184" s="14" t="str"/>
      <x:c r="M1184" s="14" t="str">
        <x:v>Alternate</x:v>
      </x:c>
      <x:c r="N1184" s="14" t="n">
        <x:f>IF(E1184&lt;&gt;"",1,0)+IF(F1184&lt;&gt;"",1,0)+IF(H1184&lt;&gt;"",1,0)+IF(J1184&lt;&gt;"",1,0)+IF(L1184&lt;&gt;"",1,0)</x:f>
        <x:v>1</x:v>
      </x:c>
      <x:c r="O1184" s="14" t="str">
        <x:f>IF(E1184="","MISSING MAIN",IF(N1184=1,"MAIN ONLY","MULTI-PHOTO"))</x:f>
        <x:v>MAIN ONLY</x:v>
      </x:c>
      <x:c r="P1184" s="14" t="str">
        <x:v>1428_</x:v>
      </x:c>
      <x:c r="Q1184" s="14" t="str">
        <x:v>https://mb1advancedsolutions.github.io/mb1-catalog/index.html?design=1428</x:v>
      </x:c>
      <x:c r="R1184" s="14" t="str"/>
    </x:row>
    <x:row r="1185">
      <x:c r="A1185" s="13" t="str">
        <x:v>MB1-1429</x:v>
      </x:c>
      <x:c r="B1185" s="13" t="str">
        <x:v>MB1-1429</x:v>
      </x:c>
      <x:c r="C1185" s="14" t="str">
        <x:v>SPLIT MONOGRAM 1</x:v>
      </x:c>
      <x:c r="D1185" s="14" t="str">
        <x:v>family &amp; name</x:v>
      </x:c>
      <x:c r="E1185" s="14" t="str">
        <x:v>https://res.cloudinary.com/oxygre42/image/upload/f_auto,q_auto,c_pad,b_white,w_1200,h_1200/v1788351208/1429_SPLIT_MONOGRAM_1.png</x:v>
      </x:c>
      <x:c r="F1185" s="14" t="str"/>
      <x:c r="G1185" s="14" t="str">
        <x:v>Lifestyle</x:v>
      </x:c>
      <x:c r="H1185" s="14" t="str"/>
      <x:c r="I1185" s="14" t="str">
        <x:v>Detail</x:v>
      </x:c>
      <x:c r="J1185" s="14" t="str"/>
      <x:c r="K1185" s="14" t="str">
        <x:v>Scale</x:v>
      </x:c>
      <x:c r="L1185" s="14" t="str"/>
      <x:c r="M1185" s="14" t="str">
        <x:v>Alternate</x:v>
      </x:c>
      <x:c r="N1185" s="14" t="n">
        <x:f>IF(E1185&lt;&gt;"",1,0)+IF(F1185&lt;&gt;"",1,0)+IF(H1185&lt;&gt;"",1,0)+IF(J1185&lt;&gt;"",1,0)+IF(L1185&lt;&gt;"",1,0)</x:f>
        <x:v>1</x:v>
      </x:c>
      <x:c r="O1185" s="14" t="str">
        <x:f>IF(E1185="","MISSING MAIN",IF(N1185=1,"MAIN ONLY","MULTI-PHOTO"))</x:f>
        <x:v>MAIN ONLY</x:v>
      </x:c>
      <x:c r="P1185" s="14" t="str">
        <x:v>1429_</x:v>
      </x:c>
      <x:c r="Q1185" s="14" t="str">
        <x:v>https://mb1advancedsolutions.github.io/mb1-catalog/index.html?design=1429</x:v>
      </x:c>
      <x:c r="R1185" s="14" t="str"/>
    </x:row>
    <x:row r="1186">
      <x:c r="A1186" s="13" t="str">
        <x:v>MB1-1430</x:v>
      </x:c>
      <x:c r="B1186" s="13" t="str">
        <x:v>MB1-1430</x:v>
      </x:c>
      <x:c r="C1186" s="14" t="str">
        <x:v>SPLIT MONOGRAM 10</x:v>
      </x:c>
      <x:c r="D1186" s="14" t="str">
        <x:v>family &amp; name</x:v>
      </x:c>
      <x:c r="E1186" s="14" t="str">
        <x:v>https://res.cloudinary.com/oxygre42/image/upload/f_auto,q_auto,c_pad,b_white,w_1200,h_1200/v1788351210/1430_SPLIT_MONOGRAM_10.png</x:v>
      </x:c>
      <x:c r="F1186" s="14" t="str"/>
      <x:c r="G1186" s="14" t="str">
        <x:v>Lifestyle</x:v>
      </x:c>
      <x:c r="H1186" s="14" t="str"/>
      <x:c r="I1186" s="14" t="str">
        <x:v>Detail</x:v>
      </x:c>
      <x:c r="J1186" s="14" t="str"/>
      <x:c r="K1186" s="14" t="str">
        <x:v>Scale</x:v>
      </x:c>
      <x:c r="L1186" s="14" t="str"/>
      <x:c r="M1186" s="14" t="str">
        <x:v>Alternate</x:v>
      </x:c>
      <x:c r="N1186" s="14" t="n">
        <x:f>IF(E1186&lt;&gt;"",1,0)+IF(F1186&lt;&gt;"",1,0)+IF(H1186&lt;&gt;"",1,0)+IF(J1186&lt;&gt;"",1,0)+IF(L1186&lt;&gt;"",1,0)</x:f>
        <x:v>1</x:v>
      </x:c>
      <x:c r="O1186" s="14" t="str">
        <x:f>IF(E1186="","MISSING MAIN",IF(N1186=1,"MAIN ONLY","MULTI-PHOTO"))</x:f>
        <x:v>MAIN ONLY</x:v>
      </x:c>
      <x:c r="P1186" s="14" t="str">
        <x:v>1430_</x:v>
      </x:c>
      <x:c r="Q1186" s="14" t="str">
        <x:v>https://mb1advancedsolutions.github.io/mb1-catalog/index.html?design=1430</x:v>
      </x:c>
      <x:c r="R1186" s="14" t="str"/>
    </x:row>
    <x:row r="1187">
      <x:c r="A1187" s="13" t="str">
        <x:v>MB1-1431</x:v>
      </x:c>
      <x:c r="B1187" s="13" t="str">
        <x:v>MB1-1431</x:v>
      </x:c>
      <x:c r="C1187" s="14" t="str">
        <x:v>SPLIT MONOGRAM 11</x:v>
      </x:c>
      <x:c r="D1187" s="14" t="str">
        <x:v>family &amp; name</x:v>
      </x:c>
      <x:c r="E1187" s="14" t="str">
        <x:v>https://res.cloudinary.com/oxygre42/image/upload/f_auto,q_auto,c_pad,b_white,w_1200,h_1200/v1788351212/1431_SPLIT_MONOGRAM_11.png</x:v>
      </x:c>
      <x:c r="F1187" s="14" t="str"/>
      <x:c r="G1187" s="14" t="str">
        <x:v>Lifestyle</x:v>
      </x:c>
      <x:c r="H1187" s="14" t="str"/>
      <x:c r="I1187" s="14" t="str">
        <x:v>Detail</x:v>
      </x:c>
      <x:c r="J1187" s="14" t="str"/>
      <x:c r="K1187" s="14" t="str">
        <x:v>Scale</x:v>
      </x:c>
      <x:c r="L1187" s="14" t="str"/>
      <x:c r="M1187" s="14" t="str">
        <x:v>Alternate</x:v>
      </x:c>
      <x:c r="N1187" s="14" t="n">
        <x:f>IF(E1187&lt;&gt;"",1,0)+IF(F1187&lt;&gt;"",1,0)+IF(H1187&lt;&gt;"",1,0)+IF(J1187&lt;&gt;"",1,0)+IF(L1187&lt;&gt;"",1,0)</x:f>
        <x:v>1</x:v>
      </x:c>
      <x:c r="O1187" s="14" t="str">
        <x:f>IF(E1187="","MISSING MAIN",IF(N1187=1,"MAIN ONLY","MULTI-PHOTO"))</x:f>
        <x:v>MAIN ONLY</x:v>
      </x:c>
      <x:c r="P1187" s="14" t="str">
        <x:v>1431_</x:v>
      </x:c>
      <x:c r="Q1187" s="14" t="str">
        <x:v>https://mb1advancedsolutions.github.io/mb1-catalog/index.html?design=1431</x:v>
      </x:c>
      <x:c r="R1187" s="14" t="str"/>
    </x:row>
    <x:row r="1188">
      <x:c r="A1188" s="13" t="str">
        <x:v>MB1-1432</x:v>
      </x:c>
      <x:c r="B1188" s="13" t="str">
        <x:v>MB1-1432</x:v>
      </x:c>
      <x:c r="C1188" s="14" t="str">
        <x:v>SPLIT MONOGRAM 12</x:v>
      </x:c>
      <x:c r="D1188" s="14" t="str">
        <x:v>family &amp; name</x:v>
      </x:c>
      <x:c r="E1188" s="14" t="str">
        <x:v>https://res.cloudinary.com/oxygre42/image/upload/f_auto,q_auto,c_pad,b_white,w_1200,h_1200/v1788351213/1432_SPLIT_MONOGRAM_12.png</x:v>
      </x:c>
      <x:c r="F1188" s="14" t="str"/>
      <x:c r="G1188" s="14" t="str">
        <x:v>Lifestyle</x:v>
      </x:c>
      <x:c r="H1188" s="14" t="str"/>
      <x:c r="I1188" s="14" t="str">
        <x:v>Detail</x:v>
      </x:c>
      <x:c r="J1188" s="14" t="str"/>
      <x:c r="K1188" s="14" t="str">
        <x:v>Scale</x:v>
      </x:c>
      <x:c r="L1188" s="14" t="str"/>
      <x:c r="M1188" s="14" t="str">
        <x:v>Alternate</x:v>
      </x:c>
      <x:c r="N1188" s="14" t="n">
        <x:f>IF(E1188&lt;&gt;"",1,0)+IF(F1188&lt;&gt;"",1,0)+IF(H1188&lt;&gt;"",1,0)+IF(J1188&lt;&gt;"",1,0)+IF(L1188&lt;&gt;"",1,0)</x:f>
        <x:v>1</x:v>
      </x:c>
      <x:c r="O1188" s="14" t="str">
        <x:f>IF(E1188="","MISSING MAIN",IF(N1188=1,"MAIN ONLY","MULTI-PHOTO"))</x:f>
        <x:v>MAIN ONLY</x:v>
      </x:c>
      <x:c r="P1188" s="14" t="str">
        <x:v>1432_</x:v>
      </x:c>
      <x:c r="Q1188" s="14" t="str">
        <x:v>https://mb1advancedsolutions.github.io/mb1-catalog/index.html?design=1432</x:v>
      </x:c>
      <x:c r="R1188" s="14" t="str"/>
    </x:row>
    <x:row r="1189">
      <x:c r="A1189" s="13" t="str">
        <x:v>MB1-1433</x:v>
      </x:c>
      <x:c r="B1189" s="13" t="str">
        <x:v>MB1-1433</x:v>
      </x:c>
      <x:c r="C1189" s="14" t="str">
        <x:v>SPLIT MONOGRAM 13</x:v>
      </x:c>
      <x:c r="D1189" s="14" t="str">
        <x:v>family &amp; name</x:v>
      </x:c>
      <x:c r="E1189" s="14" t="str">
        <x:v>https://res.cloudinary.com/oxygre42/image/upload/f_auto,q_auto,c_pad,b_white,w_1200,h_1200/v1788351215/1433_SPLIT_MONOGRAM_13.png</x:v>
      </x:c>
      <x:c r="F1189" s="14" t="str"/>
      <x:c r="G1189" s="14" t="str">
        <x:v>Lifestyle</x:v>
      </x:c>
      <x:c r="H1189" s="14" t="str"/>
      <x:c r="I1189" s="14" t="str">
        <x:v>Detail</x:v>
      </x:c>
      <x:c r="J1189" s="14" t="str"/>
      <x:c r="K1189" s="14" t="str">
        <x:v>Scale</x:v>
      </x:c>
      <x:c r="L1189" s="14" t="str"/>
      <x:c r="M1189" s="14" t="str">
        <x:v>Alternate</x:v>
      </x:c>
      <x:c r="N1189" s="14" t="n">
        <x:f>IF(E1189&lt;&gt;"",1,0)+IF(F1189&lt;&gt;"",1,0)+IF(H1189&lt;&gt;"",1,0)+IF(J1189&lt;&gt;"",1,0)+IF(L1189&lt;&gt;"",1,0)</x:f>
        <x:v>1</x:v>
      </x:c>
      <x:c r="O1189" s="14" t="str">
        <x:f>IF(E1189="","MISSING MAIN",IF(N1189=1,"MAIN ONLY","MULTI-PHOTO"))</x:f>
        <x:v>MAIN ONLY</x:v>
      </x:c>
      <x:c r="P1189" s="14" t="str">
        <x:v>1433_</x:v>
      </x:c>
      <x:c r="Q1189" s="14" t="str">
        <x:v>https://mb1advancedsolutions.github.io/mb1-catalog/index.html?design=1433</x:v>
      </x:c>
      <x:c r="R1189" s="14" t="str"/>
    </x:row>
    <x:row r="1190">
      <x:c r="A1190" s="13" t="str">
        <x:v>MB1-1434</x:v>
      </x:c>
      <x:c r="B1190" s="13" t="str">
        <x:v>MB1-1434</x:v>
      </x:c>
      <x:c r="C1190" s="14" t="str">
        <x:v>SPLIT MONOGRAM 14</x:v>
      </x:c>
      <x:c r="D1190" s="14" t="str">
        <x:v>family &amp; name</x:v>
      </x:c>
      <x:c r="E1190" s="14" t="str">
        <x:v>https://res.cloudinary.com/oxygre42/image/upload/f_auto,q_auto,c_pad,b_white,w_1200,h_1200/v1788351217/1434_SPLIT_MONOGRAM_14.png</x:v>
      </x:c>
      <x:c r="F1190" s="14" t="str"/>
      <x:c r="G1190" s="14" t="str">
        <x:v>Lifestyle</x:v>
      </x:c>
      <x:c r="H1190" s="14" t="str"/>
      <x:c r="I1190" s="14" t="str">
        <x:v>Detail</x:v>
      </x:c>
      <x:c r="J1190" s="14" t="str"/>
      <x:c r="K1190" s="14" t="str">
        <x:v>Scale</x:v>
      </x:c>
      <x:c r="L1190" s="14" t="str"/>
      <x:c r="M1190" s="14" t="str">
        <x:v>Alternate</x:v>
      </x:c>
      <x:c r="N1190" s="14" t="n">
        <x:f>IF(E1190&lt;&gt;"",1,0)+IF(F1190&lt;&gt;"",1,0)+IF(H1190&lt;&gt;"",1,0)+IF(J1190&lt;&gt;"",1,0)+IF(L1190&lt;&gt;"",1,0)</x:f>
        <x:v>1</x:v>
      </x:c>
      <x:c r="O1190" s="14" t="str">
        <x:f>IF(E1190="","MISSING MAIN",IF(N1190=1,"MAIN ONLY","MULTI-PHOTO"))</x:f>
        <x:v>MAIN ONLY</x:v>
      </x:c>
      <x:c r="P1190" s="14" t="str">
        <x:v>1434_</x:v>
      </x:c>
      <x:c r="Q1190" s="14" t="str">
        <x:v>https://mb1advancedsolutions.github.io/mb1-catalog/index.html?design=1434</x:v>
      </x:c>
      <x:c r="R1190" s="14" t="str"/>
    </x:row>
    <x:row r="1191">
      <x:c r="A1191" s="13" t="str">
        <x:v>MB1-1435</x:v>
      </x:c>
      <x:c r="B1191" s="13" t="str">
        <x:v>MB1-1435</x:v>
      </x:c>
      <x:c r="C1191" s="14" t="str">
        <x:v>SPLIT MONOGRAM 15</x:v>
      </x:c>
      <x:c r="D1191" s="14" t="str">
        <x:v>family &amp; name</x:v>
      </x:c>
      <x:c r="E1191" s="14" t="str">
        <x:v>https://res.cloudinary.com/oxygre42/image/upload/f_auto,q_auto,c_pad,b_white,w_1200,h_1200/v1788351219/1435_SPLIT_MONOGRAM_15.png</x:v>
      </x:c>
      <x:c r="F1191" s="14" t="str"/>
      <x:c r="G1191" s="14" t="str">
        <x:v>Lifestyle</x:v>
      </x:c>
      <x:c r="H1191" s="14" t="str"/>
      <x:c r="I1191" s="14" t="str">
        <x:v>Detail</x:v>
      </x:c>
      <x:c r="J1191" s="14" t="str"/>
      <x:c r="K1191" s="14" t="str">
        <x:v>Scale</x:v>
      </x:c>
      <x:c r="L1191" s="14" t="str"/>
      <x:c r="M1191" s="14" t="str">
        <x:v>Alternate</x:v>
      </x:c>
      <x:c r="N1191" s="14" t="n">
        <x:f>IF(E1191&lt;&gt;"",1,0)+IF(F1191&lt;&gt;"",1,0)+IF(H1191&lt;&gt;"",1,0)+IF(J1191&lt;&gt;"",1,0)+IF(L1191&lt;&gt;"",1,0)</x:f>
        <x:v>1</x:v>
      </x:c>
      <x:c r="O1191" s="14" t="str">
        <x:f>IF(E1191="","MISSING MAIN",IF(N1191=1,"MAIN ONLY","MULTI-PHOTO"))</x:f>
        <x:v>MAIN ONLY</x:v>
      </x:c>
      <x:c r="P1191" s="14" t="str">
        <x:v>1435_</x:v>
      </x:c>
      <x:c r="Q1191" s="14" t="str">
        <x:v>https://mb1advancedsolutions.github.io/mb1-catalog/index.html?design=1435</x:v>
      </x:c>
      <x:c r="R1191" s="14" t="str"/>
    </x:row>
    <x:row r="1192">
      <x:c r="A1192" s="13" t="str">
        <x:v>MB1-1436</x:v>
      </x:c>
      <x:c r="B1192" s="13" t="str">
        <x:v>MB1-1436</x:v>
      </x:c>
      <x:c r="C1192" s="14" t="str">
        <x:v>SPLIT MONOGRAM 16</x:v>
      </x:c>
      <x:c r="D1192" s="14" t="str">
        <x:v>family &amp; name</x:v>
      </x:c>
      <x:c r="E1192" s="14" t="str">
        <x:v>https://res.cloudinary.com/oxygre42/image/upload/f_auto,q_auto,c_pad,b_white,w_1200,h_1200/v1788351221/1436_SPLIT_MONOGRAM_16.png</x:v>
      </x:c>
      <x:c r="F1192" s="14" t="str"/>
      <x:c r="G1192" s="14" t="str">
        <x:v>Lifestyle</x:v>
      </x:c>
      <x:c r="H1192" s="14" t="str"/>
      <x:c r="I1192" s="14" t="str">
        <x:v>Detail</x:v>
      </x:c>
      <x:c r="J1192" s="14" t="str"/>
      <x:c r="K1192" s="14" t="str">
        <x:v>Scale</x:v>
      </x:c>
      <x:c r="L1192" s="14" t="str"/>
      <x:c r="M1192" s="14" t="str">
        <x:v>Alternate</x:v>
      </x:c>
      <x:c r="N1192" s="14" t="n">
        <x:f>IF(E1192&lt;&gt;"",1,0)+IF(F1192&lt;&gt;"",1,0)+IF(H1192&lt;&gt;"",1,0)+IF(J1192&lt;&gt;"",1,0)+IF(L1192&lt;&gt;"",1,0)</x:f>
        <x:v>1</x:v>
      </x:c>
      <x:c r="O1192" s="14" t="str">
        <x:f>IF(E1192="","MISSING MAIN",IF(N1192=1,"MAIN ONLY","MULTI-PHOTO"))</x:f>
        <x:v>MAIN ONLY</x:v>
      </x:c>
      <x:c r="P1192" s="14" t="str">
        <x:v>1436_</x:v>
      </x:c>
      <x:c r="Q1192" s="14" t="str">
        <x:v>https://mb1advancedsolutions.github.io/mb1-catalog/index.html?design=1436</x:v>
      </x:c>
      <x:c r="R1192" s="14" t="str"/>
    </x:row>
    <x:row r="1193">
      <x:c r="A1193" s="13" t="str">
        <x:v>MB1-1437</x:v>
      </x:c>
      <x:c r="B1193" s="13" t="str">
        <x:v>MB1-1437</x:v>
      </x:c>
      <x:c r="C1193" s="14" t="str">
        <x:v>SPLIT MONOGRAM 17</x:v>
      </x:c>
      <x:c r="D1193" s="14" t="str">
        <x:v>family &amp; name</x:v>
      </x:c>
      <x:c r="E1193" s="14" t="str">
        <x:v>https://res.cloudinary.com/oxygre42/image/upload/f_auto,q_auto,c_pad,b_white,w_1200,h_1200/v1788351223/1437_SPLIT_MONOGRAM_17.png</x:v>
      </x:c>
      <x:c r="F1193" s="14" t="str"/>
      <x:c r="G1193" s="14" t="str">
        <x:v>Lifestyle</x:v>
      </x:c>
      <x:c r="H1193" s="14" t="str"/>
      <x:c r="I1193" s="14" t="str">
        <x:v>Detail</x:v>
      </x:c>
      <x:c r="J1193" s="14" t="str"/>
      <x:c r="K1193" s="14" t="str">
        <x:v>Scale</x:v>
      </x:c>
      <x:c r="L1193" s="14" t="str"/>
      <x:c r="M1193" s="14" t="str">
        <x:v>Alternate</x:v>
      </x:c>
      <x:c r="N1193" s="14" t="n">
        <x:f>IF(E1193&lt;&gt;"",1,0)+IF(F1193&lt;&gt;"",1,0)+IF(H1193&lt;&gt;"",1,0)+IF(J1193&lt;&gt;"",1,0)+IF(L1193&lt;&gt;"",1,0)</x:f>
        <x:v>1</x:v>
      </x:c>
      <x:c r="O1193" s="14" t="str">
        <x:f>IF(E1193="","MISSING MAIN",IF(N1193=1,"MAIN ONLY","MULTI-PHOTO"))</x:f>
        <x:v>MAIN ONLY</x:v>
      </x:c>
      <x:c r="P1193" s="14" t="str">
        <x:v>1437_</x:v>
      </x:c>
      <x:c r="Q1193" s="14" t="str">
        <x:v>https://mb1advancedsolutions.github.io/mb1-catalog/index.html?design=1437</x:v>
      </x:c>
      <x:c r="R1193" s="14" t="str"/>
    </x:row>
    <x:row r="1194">
      <x:c r="A1194" s="13" t="str">
        <x:v>MB1-1438</x:v>
      </x:c>
      <x:c r="B1194" s="13" t="str">
        <x:v>MB1-1438</x:v>
      </x:c>
      <x:c r="C1194" s="14" t="str">
        <x:v>SPLIT MONOGRAM 18</x:v>
      </x:c>
      <x:c r="D1194" s="14" t="str">
        <x:v>family &amp; name</x:v>
      </x:c>
      <x:c r="E1194" s="14" t="str">
        <x:v>https://res.cloudinary.com/oxygre42/image/upload/f_auto,q_auto,c_pad,b_white,w_1200,h_1200/v1788351225/1438_SPLIT_MONOGRAM_18.png</x:v>
      </x:c>
      <x:c r="F1194" s="14" t="str"/>
      <x:c r="G1194" s="14" t="str">
        <x:v>Lifestyle</x:v>
      </x:c>
      <x:c r="H1194" s="14" t="str"/>
      <x:c r="I1194" s="14" t="str">
        <x:v>Detail</x:v>
      </x:c>
      <x:c r="J1194" s="14" t="str"/>
      <x:c r="K1194" s="14" t="str">
        <x:v>Scale</x:v>
      </x:c>
      <x:c r="L1194" s="14" t="str"/>
      <x:c r="M1194" s="14" t="str">
        <x:v>Alternate</x:v>
      </x:c>
      <x:c r="N1194" s="14" t="n">
        <x:f>IF(E1194&lt;&gt;"",1,0)+IF(F1194&lt;&gt;"",1,0)+IF(H1194&lt;&gt;"",1,0)+IF(J1194&lt;&gt;"",1,0)+IF(L1194&lt;&gt;"",1,0)</x:f>
        <x:v>1</x:v>
      </x:c>
      <x:c r="O1194" s="14" t="str">
        <x:f>IF(E1194="","MISSING MAIN",IF(N1194=1,"MAIN ONLY","MULTI-PHOTO"))</x:f>
        <x:v>MAIN ONLY</x:v>
      </x:c>
      <x:c r="P1194" s="14" t="str">
        <x:v>1438_</x:v>
      </x:c>
      <x:c r="Q1194" s="14" t="str">
        <x:v>https://mb1advancedsolutions.github.io/mb1-catalog/index.html?design=1438</x:v>
      </x:c>
      <x:c r="R1194" s="14" t="str"/>
    </x:row>
    <x:row r="1195">
      <x:c r="A1195" s="13" t="str">
        <x:v>MB1-1439</x:v>
      </x:c>
      <x:c r="B1195" s="13" t="str">
        <x:v>MB1-1439</x:v>
      </x:c>
      <x:c r="C1195" s="14" t="str">
        <x:v>SPLIT MONOGRAM 19</x:v>
      </x:c>
      <x:c r="D1195" s="14" t="str">
        <x:v>family &amp; name</x:v>
      </x:c>
      <x:c r="E1195" s="14" t="str">
        <x:v>https://res.cloudinary.com/oxygre42/image/upload/f_auto,q_auto,c_pad,b_white,w_1200,h_1200/v1788351227/1439_SPLIT_MONOGRAM_19.png</x:v>
      </x:c>
      <x:c r="F1195" s="14" t="str"/>
      <x:c r="G1195" s="14" t="str">
        <x:v>Lifestyle</x:v>
      </x:c>
      <x:c r="H1195" s="14" t="str"/>
      <x:c r="I1195" s="14" t="str">
        <x:v>Detail</x:v>
      </x:c>
      <x:c r="J1195" s="14" t="str"/>
      <x:c r="K1195" s="14" t="str">
        <x:v>Scale</x:v>
      </x:c>
      <x:c r="L1195" s="14" t="str"/>
      <x:c r="M1195" s="14" t="str">
        <x:v>Alternate</x:v>
      </x:c>
      <x:c r="N1195" s="14" t="n">
        <x:f>IF(E1195&lt;&gt;"",1,0)+IF(F1195&lt;&gt;"",1,0)+IF(H1195&lt;&gt;"",1,0)+IF(J1195&lt;&gt;"",1,0)+IF(L1195&lt;&gt;"",1,0)</x:f>
        <x:v>1</x:v>
      </x:c>
      <x:c r="O1195" s="14" t="str">
        <x:f>IF(E1195="","MISSING MAIN",IF(N1195=1,"MAIN ONLY","MULTI-PHOTO"))</x:f>
        <x:v>MAIN ONLY</x:v>
      </x:c>
      <x:c r="P1195" s="14" t="str">
        <x:v>1439_</x:v>
      </x:c>
      <x:c r="Q1195" s="14" t="str">
        <x:v>https://mb1advancedsolutions.github.io/mb1-catalog/index.html?design=1439</x:v>
      </x:c>
      <x:c r="R1195" s="14" t="str"/>
    </x:row>
    <x:row r="1196">
      <x:c r="A1196" s="13" t="str">
        <x:v>MB1-1440</x:v>
      </x:c>
      <x:c r="B1196" s="13" t="str">
        <x:v>MB1-1440</x:v>
      </x:c>
      <x:c r="C1196" s="14" t="str">
        <x:v>SPLIT MONOGRAM 2</x:v>
      </x:c>
      <x:c r="D1196" s="14" t="str">
        <x:v>family &amp; name</x:v>
      </x:c>
      <x:c r="E1196" s="14" t="str">
        <x:v>https://res.cloudinary.com/oxygre42/image/upload/f_auto,q_auto,c_pad,b_white,w_1200,h_1200/v1788351228/1440_SPLIT_MONOGRAM_2.png</x:v>
      </x:c>
      <x:c r="F1196" s="14" t="str"/>
      <x:c r="G1196" s="14" t="str">
        <x:v>Lifestyle</x:v>
      </x:c>
      <x:c r="H1196" s="14" t="str"/>
      <x:c r="I1196" s="14" t="str">
        <x:v>Detail</x:v>
      </x:c>
      <x:c r="J1196" s="14" t="str"/>
      <x:c r="K1196" s="14" t="str">
        <x:v>Scale</x:v>
      </x:c>
      <x:c r="L1196" s="14" t="str"/>
      <x:c r="M1196" s="14" t="str">
        <x:v>Alternate</x:v>
      </x:c>
      <x:c r="N1196" s="14" t="n">
        <x:f>IF(E1196&lt;&gt;"",1,0)+IF(F1196&lt;&gt;"",1,0)+IF(H1196&lt;&gt;"",1,0)+IF(J1196&lt;&gt;"",1,0)+IF(L1196&lt;&gt;"",1,0)</x:f>
        <x:v>1</x:v>
      </x:c>
      <x:c r="O1196" s="14" t="str">
        <x:f>IF(E1196="","MISSING MAIN",IF(N1196=1,"MAIN ONLY","MULTI-PHOTO"))</x:f>
        <x:v>MAIN ONLY</x:v>
      </x:c>
      <x:c r="P1196" s="14" t="str">
        <x:v>1440_</x:v>
      </x:c>
      <x:c r="Q1196" s="14" t="str">
        <x:v>https://mb1advancedsolutions.github.io/mb1-catalog/index.html?design=1440</x:v>
      </x:c>
      <x:c r="R1196" s="14" t="str"/>
    </x:row>
    <x:row r="1197">
      <x:c r="A1197" s="13" t="str">
        <x:v>MB1-1441</x:v>
      </x:c>
      <x:c r="B1197" s="13" t="str">
        <x:v>MB1-1441</x:v>
      </x:c>
      <x:c r="C1197" s="14" t="str">
        <x:v>SPLIT MONOGRAM 20</x:v>
      </x:c>
      <x:c r="D1197" s="14" t="str">
        <x:v>family &amp; name</x:v>
      </x:c>
      <x:c r="E1197" s="14" t="str">
        <x:v>https://res.cloudinary.com/oxygre42/image/upload/f_auto,q_auto,c_pad,b_white,w_1200,h_1200/v1788351230/1441_SPLIT_MONOGRAM_20.png</x:v>
      </x:c>
      <x:c r="F1197" s="14" t="str"/>
      <x:c r="G1197" s="14" t="str">
        <x:v>Lifestyle</x:v>
      </x:c>
      <x:c r="H1197" s="14" t="str"/>
      <x:c r="I1197" s="14" t="str">
        <x:v>Detail</x:v>
      </x:c>
      <x:c r="J1197" s="14" t="str"/>
      <x:c r="K1197" s="14" t="str">
        <x:v>Scale</x:v>
      </x:c>
      <x:c r="L1197" s="14" t="str"/>
      <x:c r="M1197" s="14" t="str">
        <x:v>Alternate</x:v>
      </x:c>
      <x:c r="N1197" s="14" t="n">
        <x:f>IF(E1197&lt;&gt;"",1,0)+IF(F1197&lt;&gt;"",1,0)+IF(H1197&lt;&gt;"",1,0)+IF(J1197&lt;&gt;"",1,0)+IF(L1197&lt;&gt;"",1,0)</x:f>
        <x:v>1</x:v>
      </x:c>
      <x:c r="O1197" s="14" t="str">
        <x:f>IF(E1197="","MISSING MAIN",IF(N1197=1,"MAIN ONLY","MULTI-PHOTO"))</x:f>
        <x:v>MAIN ONLY</x:v>
      </x:c>
      <x:c r="P1197" s="14" t="str">
        <x:v>1441_</x:v>
      </x:c>
      <x:c r="Q1197" s="14" t="str">
        <x:v>https://mb1advancedsolutions.github.io/mb1-catalog/index.html?design=1441</x:v>
      </x:c>
      <x:c r="R1197" s="14" t="str"/>
    </x:row>
    <x:row r="1198">
      <x:c r="A1198" s="13" t="str">
        <x:v>MB1-1442</x:v>
      </x:c>
      <x:c r="B1198" s="13" t="str">
        <x:v>MB1-1442</x:v>
      </x:c>
      <x:c r="C1198" s="14" t="str">
        <x:v>SPLIT MONOGRAM 21</x:v>
      </x:c>
      <x:c r="D1198" s="14" t="str">
        <x:v>family &amp; name</x:v>
      </x:c>
      <x:c r="E1198" s="14" t="str">
        <x:v>https://res.cloudinary.com/oxygre42/image/upload/f_auto,q_auto,c_pad,b_white,w_1200,h_1200/v1788351232/1442_SPLIT_MONOGRAM_21.png</x:v>
      </x:c>
      <x:c r="F1198" s="14" t="str"/>
      <x:c r="G1198" s="14" t="str">
        <x:v>Lifestyle</x:v>
      </x:c>
      <x:c r="H1198" s="14" t="str"/>
      <x:c r="I1198" s="14" t="str">
        <x:v>Detail</x:v>
      </x:c>
      <x:c r="J1198" s="14" t="str"/>
      <x:c r="K1198" s="14" t="str">
        <x:v>Scale</x:v>
      </x:c>
      <x:c r="L1198" s="14" t="str"/>
      <x:c r="M1198" s="14" t="str">
        <x:v>Alternate</x:v>
      </x:c>
      <x:c r="N1198" s="14" t="n">
        <x:f>IF(E1198&lt;&gt;"",1,0)+IF(F1198&lt;&gt;"",1,0)+IF(H1198&lt;&gt;"",1,0)+IF(J1198&lt;&gt;"",1,0)+IF(L1198&lt;&gt;"",1,0)</x:f>
        <x:v>1</x:v>
      </x:c>
      <x:c r="O1198" s="14" t="str">
        <x:f>IF(E1198="","MISSING MAIN",IF(N1198=1,"MAIN ONLY","MULTI-PHOTO"))</x:f>
        <x:v>MAIN ONLY</x:v>
      </x:c>
      <x:c r="P1198" s="14" t="str">
        <x:v>1442_</x:v>
      </x:c>
      <x:c r="Q1198" s="14" t="str">
        <x:v>https://mb1advancedsolutions.github.io/mb1-catalog/index.html?design=1442</x:v>
      </x:c>
      <x:c r="R1198" s="14" t="str"/>
    </x:row>
    <x:row r="1199">
      <x:c r="A1199" s="13" t="str">
        <x:v>MB1-1443</x:v>
      </x:c>
      <x:c r="B1199" s="13" t="str">
        <x:v>MB1-1443</x:v>
      </x:c>
      <x:c r="C1199" s="14" t="str">
        <x:v>SPLIT MONOGRAM 22</x:v>
      </x:c>
      <x:c r="D1199" s="14" t="str">
        <x:v>family &amp; name</x:v>
      </x:c>
      <x:c r="E1199" s="14" t="str">
        <x:v>https://res.cloudinary.com/oxygre42/image/upload/f_auto,q_auto,c_pad,b_white,w_1200,h_1200/v1788351234/1443_SPLIT_MONOGRAM_22.png</x:v>
      </x:c>
      <x:c r="F1199" s="14" t="str"/>
      <x:c r="G1199" s="14" t="str">
        <x:v>Lifestyle</x:v>
      </x:c>
      <x:c r="H1199" s="14" t="str"/>
      <x:c r="I1199" s="14" t="str">
        <x:v>Detail</x:v>
      </x:c>
      <x:c r="J1199" s="14" t="str"/>
      <x:c r="K1199" s="14" t="str">
        <x:v>Scale</x:v>
      </x:c>
      <x:c r="L1199" s="14" t="str"/>
      <x:c r="M1199" s="14" t="str">
        <x:v>Alternate</x:v>
      </x:c>
      <x:c r="N1199" s="14" t="n">
        <x:f>IF(E1199&lt;&gt;"",1,0)+IF(F1199&lt;&gt;"",1,0)+IF(H1199&lt;&gt;"",1,0)+IF(J1199&lt;&gt;"",1,0)+IF(L1199&lt;&gt;"",1,0)</x:f>
        <x:v>1</x:v>
      </x:c>
      <x:c r="O1199" s="14" t="str">
        <x:f>IF(E1199="","MISSING MAIN",IF(N1199=1,"MAIN ONLY","MULTI-PHOTO"))</x:f>
        <x:v>MAIN ONLY</x:v>
      </x:c>
      <x:c r="P1199" s="14" t="str">
        <x:v>1443_</x:v>
      </x:c>
      <x:c r="Q1199" s="14" t="str">
        <x:v>https://mb1advancedsolutions.github.io/mb1-catalog/index.html?design=1443</x:v>
      </x:c>
      <x:c r="R1199" s="14" t="str"/>
    </x:row>
    <x:row r="1200">
      <x:c r="A1200" s="13" t="str">
        <x:v>MB1-1444</x:v>
      </x:c>
      <x:c r="B1200" s="13" t="str">
        <x:v>MB1-1444</x:v>
      </x:c>
      <x:c r="C1200" s="14" t="str">
        <x:v>SPLIT MONOGRAM 23</x:v>
      </x:c>
      <x:c r="D1200" s="14" t="str">
        <x:v>family &amp; name</x:v>
      </x:c>
      <x:c r="E1200" s="14" t="str">
        <x:v>https://res.cloudinary.com/oxygre42/image/upload/f_auto,q_auto,c_pad,b_white,w_1200,h_1200/v1788351236/1444_SPLIT_MONOGRAM_23.png</x:v>
      </x:c>
      <x:c r="F1200" s="14" t="str"/>
      <x:c r="G1200" s="14" t="str">
        <x:v>Lifestyle</x:v>
      </x:c>
      <x:c r="H1200" s="14" t="str"/>
      <x:c r="I1200" s="14" t="str">
        <x:v>Detail</x:v>
      </x:c>
      <x:c r="J1200" s="14" t="str"/>
      <x:c r="K1200" s="14" t="str">
        <x:v>Scale</x:v>
      </x:c>
      <x:c r="L1200" s="14" t="str"/>
      <x:c r="M1200" s="14" t="str">
        <x:v>Alternate</x:v>
      </x:c>
      <x:c r="N1200" s="14" t="n">
        <x:f>IF(E1200&lt;&gt;"",1,0)+IF(F1200&lt;&gt;"",1,0)+IF(H1200&lt;&gt;"",1,0)+IF(J1200&lt;&gt;"",1,0)+IF(L1200&lt;&gt;"",1,0)</x:f>
        <x:v>1</x:v>
      </x:c>
      <x:c r="O1200" s="14" t="str">
        <x:f>IF(E1200="","MISSING MAIN",IF(N1200=1,"MAIN ONLY","MULTI-PHOTO"))</x:f>
        <x:v>MAIN ONLY</x:v>
      </x:c>
      <x:c r="P1200" s="14" t="str">
        <x:v>1444_</x:v>
      </x:c>
      <x:c r="Q1200" s="14" t="str">
        <x:v>https://mb1advancedsolutions.github.io/mb1-catalog/index.html?design=1444</x:v>
      </x:c>
      <x:c r="R1200" s="14" t="str"/>
    </x:row>
    <x:row r="1201">
      <x:c r="A1201" s="13" t="str">
        <x:v>MB1-1445</x:v>
      </x:c>
      <x:c r="B1201" s="13" t="str">
        <x:v>MB1-1445</x:v>
      </x:c>
      <x:c r="C1201" s="14" t="str">
        <x:v>SPLIT MONOGRAM 24</x:v>
      </x:c>
      <x:c r="D1201" s="14" t="str">
        <x:v>family &amp; name</x:v>
      </x:c>
      <x:c r="E1201" s="14" t="str">
        <x:v>https://res.cloudinary.com/oxygre42/image/upload/f_auto,q_auto,c_pad,b_white,w_1200,h_1200/v1788351238/1445_SPLIT_MONOGRAM_24.png</x:v>
      </x:c>
      <x:c r="F1201" s="14" t="str"/>
      <x:c r="G1201" s="14" t="str">
        <x:v>Lifestyle</x:v>
      </x:c>
      <x:c r="H1201" s="14" t="str"/>
      <x:c r="I1201" s="14" t="str">
        <x:v>Detail</x:v>
      </x:c>
      <x:c r="J1201" s="14" t="str"/>
      <x:c r="K1201" s="14" t="str">
        <x:v>Scale</x:v>
      </x:c>
      <x:c r="L1201" s="14" t="str"/>
      <x:c r="M1201" s="14" t="str">
        <x:v>Alternate</x:v>
      </x:c>
      <x:c r="N1201" s="14" t="n">
        <x:f>IF(E1201&lt;&gt;"",1,0)+IF(F1201&lt;&gt;"",1,0)+IF(H1201&lt;&gt;"",1,0)+IF(J1201&lt;&gt;"",1,0)+IF(L1201&lt;&gt;"",1,0)</x:f>
        <x:v>1</x:v>
      </x:c>
      <x:c r="O1201" s="14" t="str">
        <x:f>IF(E1201="","MISSING MAIN",IF(N1201=1,"MAIN ONLY","MULTI-PHOTO"))</x:f>
        <x:v>MAIN ONLY</x:v>
      </x:c>
      <x:c r="P1201" s="14" t="str">
        <x:v>1445_</x:v>
      </x:c>
      <x:c r="Q1201" s="14" t="str">
        <x:v>https://mb1advancedsolutions.github.io/mb1-catalog/index.html?design=1445</x:v>
      </x:c>
      <x:c r="R1201" s="14" t="str"/>
    </x:row>
    <x:row r="1202">
      <x:c r="A1202" s="13" t="str">
        <x:v>MB1-1446</x:v>
      </x:c>
      <x:c r="B1202" s="13" t="str">
        <x:v>MB1-1446</x:v>
      </x:c>
      <x:c r="C1202" s="14" t="str">
        <x:v>SPLIT MONOGRAM 25</x:v>
      </x:c>
      <x:c r="D1202" s="14" t="str">
        <x:v>family &amp; name</x:v>
      </x:c>
      <x:c r="E1202" s="14" t="str">
        <x:v>https://res.cloudinary.com/oxygre42/image/upload/f_auto,q_auto,c_pad,b_white,w_1200,h_1200/v1788351240/1446_SPLIT_MONOGRAM_25.png</x:v>
      </x:c>
      <x:c r="F1202" s="14" t="str"/>
      <x:c r="G1202" s="14" t="str">
        <x:v>Lifestyle</x:v>
      </x:c>
      <x:c r="H1202" s="14" t="str"/>
      <x:c r="I1202" s="14" t="str">
        <x:v>Detail</x:v>
      </x:c>
      <x:c r="J1202" s="14" t="str"/>
      <x:c r="K1202" s="14" t="str">
        <x:v>Scale</x:v>
      </x:c>
      <x:c r="L1202" s="14" t="str"/>
      <x:c r="M1202" s="14" t="str">
        <x:v>Alternate</x:v>
      </x:c>
      <x:c r="N1202" s="14" t="n">
        <x:f>IF(E1202&lt;&gt;"",1,0)+IF(F1202&lt;&gt;"",1,0)+IF(H1202&lt;&gt;"",1,0)+IF(J1202&lt;&gt;"",1,0)+IF(L1202&lt;&gt;"",1,0)</x:f>
        <x:v>1</x:v>
      </x:c>
      <x:c r="O1202" s="14" t="str">
        <x:f>IF(E1202="","MISSING MAIN",IF(N1202=1,"MAIN ONLY","MULTI-PHOTO"))</x:f>
        <x:v>MAIN ONLY</x:v>
      </x:c>
      <x:c r="P1202" s="14" t="str">
        <x:v>1446_</x:v>
      </x:c>
      <x:c r="Q1202" s="14" t="str">
        <x:v>https://mb1advancedsolutions.github.io/mb1-catalog/index.html?design=1446</x:v>
      </x:c>
      <x:c r="R1202" s="14" t="str"/>
    </x:row>
    <x:row r="1203">
      <x:c r="A1203" s="13" t="str">
        <x:v>MB1-1447</x:v>
      </x:c>
      <x:c r="B1203" s="13" t="str">
        <x:v>MB1-1447</x:v>
      </x:c>
      <x:c r="C1203" s="14" t="str">
        <x:v>SPLIT MONOGRAM 26</x:v>
      </x:c>
      <x:c r="D1203" s="14" t="str">
        <x:v>family &amp; name</x:v>
      </x:c>
      <x:c r="E1203" s="14" t="str">
        <x:v>https://res.cloudinary.com/oxygre42/image/upload/f_auto,q_auto,c_pad,b_white,w_1200,h_1200/v1788351242/1447_SPLIT_MONOGRAM_26.png</x:v>
      </x:c>
      <x:c r="F1203" s="14" t="str"/>
      <x:c r="G1203" s="14" t="str">
        <x:v>Lifestyle</x:v>
      </x:c>
      <x:c r="H1203" s="14" t="str"/>
      <x:c r="I1203" s="14" t="str">
        <x:v>Detail</x:v>
      </x:c>
      <x:c r="J1203" s="14" t="str"/>
      <x:c r="K1203" s="14" t="str">
        <x:v>Scale</x:v>
      </x:c>
      <x:c r="L1203" s="14" t="str"/>
      <x:c r="M1203" s="14" t="str">
        <x:v>Alternate</x:v>
      </x:c>
      <x:c r="N1203" s="14" t="n">
        <x:f>IF(E1203&lt;&gt;"",1,0)+IF(F1203&lt;&gt;"",1,0)+IF(H1203&lt;&gt;"",1,0)+IF(J1203&lt;&gt;"",1,0)+IF(L1203&lt;&gt;"",1,0)</x:f>
        <x:v>1</x:v>
      </x:c>
      <x:c r="O1203" s="14" t="str">
        <x:f>IF(E1203="","MISSING MAIN",IF(N1203=1,"MAIN ONLY","MULTI-PHOTO"))</x:f>
        <x:v>MAIN ONLY</x:v>
      </x:c>
      <x:c r="P1203" s="14" t="str">
        <x:v>1447_</x:v>
      </x:c>
      <x:c r="Q1203" s="14" t="str">
        <x:v>https://mb1advancedsolutions.github.io/mb1-catalog/index.html?design=1447</x:v>
      </x:c>
      <x:c r="R1203" s="14" t="str"/>
    </x:row>
    <x:row r="1204">
      <x:c r="A1204" s="13" t="str">
        <x:v>MB1-1448</x:v>
      </x:c>
      <x:c r="B1204" s="13" t="str">
        <x:v>MB1-1448</x:v>
      </x:c>
      <x:c r="C1204" s="14" t="str">
        <x:v>SPLIT MONOGRAM 27</x:v>
      </x:c>
      <x:c r="D1204" s="14" t="str">
        <x:v>family &amp; name</x:v>
      </x:c>
      <x:c r="E1204" s="14" t="str">
        <x:v>https://res.cloudinary.com/oxygre42/image/upload/f_auto,q_auto,c_pad,b_white,w_1200,h_1200/v1788351243/1448_SPLIT_MONOGRAM_27.png</x:v>
      </x:c>
      <x:c r="F1204" s="14" t="str"/>
      <x:c r="G1204" s="14" t="str">
        <x:v>Lifestyle</x:v>
      </x:c>
      <x:c r="H1204" s="14" t="str"/>
      <x:c r="I1204" s="14" t="str">
        <x:v>Detail</x:v>
      </x:c>
      <x:c r="J1204" s="14" t="str"/>
      <x:c r="K1204" s="14" t="str">
        <x:v>Scale</x:v>
      </x:c>
      <x:c r="L1204" s="14" t="str"/>
      <x:c r="M1204" s="14" t="str">
        <x:v>Alternate</x:v>
      </x:c>
      <x:c r="N1204" s="14" t="n">
        <x:f>IF(E1204&lt;&gt;"",1,0)+IF(F1204&lt;&gt;"",1,0)+IF(H1204&lt;&gt;"",1,0)+IF(J1204&lt;&gt;"",1,0)+IF(L1204&lt;&gt;"",1,0)</x:f>
        <x:v>1</x:v>
      </x:c>
      <x:c r="O1204" s="14" t="str">
        <x:f>IF(E1204="","MISSING MAIN",IF(N1204=1,"MAIN ONLY","MULTI-PHOTO"))</x:f>
        <x:v>MAIN ONLY</x:v>
      </x:c>
      <x:c r="P1204" s="14" t="str">
        <x:v>1448_</x:v>
      </x:c>
      <x:c r="Q1204" s="14" t="str">
        <x:v>https://mb1advancedsolutions.github.io/mb1-catalog/index.html?design=1448</x:v>
      </x:c>
      <x:c r="R1204" s="14" t="str"/>
    </x:row>
    <x:row r="1205">
      <x:c r="A1205" s="13" t="str">
        <x:v>MB1-1449</x:v>
      </x:c>
      <x:c r="B1205" s="13" t="str">
        <x:v>MB1-1449</x:v>
      </x:c>
      <x:c r="C1205" s="14" t="str">
        <x:v>SPLIT MONOGRAM 28</x:v>
      </x:c>
      <x:c r="D1205" s="14" t="str">
        <x:v>family &amp; name</x:v>
      </x:c>
      <x:c r="E1205" s="14" t="str">
        <x:v>https://res.cloudinary.com/oxygre42/image/upload/f_auto,q_auto,c_pad,b_white,w_1200,h_1200/v1788351245/1449_SPLIT_MONOGRAM_28.png</x:v>
      </x:c>
      <x:c r="F1205" s="14" t="str"/>
      <x:c r="G1205" s="14" t="str">
        <x:v>Lifestyle</x:v>
      </x:c>
      <x:c r="H1205" s="14" t="str"/>
      <x:c r="I1205" s="14" t="str">
        <x:v>Detail</x:v>
      </x:c>
      <x:c r="J1205" s="14" t="str"/>
      <x:c r="K1205" s="14" t="str">
        <x:v>Scale</x:v>
      </x:c>
      <x:c r="L1205" s="14" t="str"/>
      <x:c r="M1205" s="14" t="str">
        <x:v>Alternate</x:v>
      </x:c>
      <x:c r="N1205" s="14" t="n">
        <x:f>IF(E1205&lt;&gt;"",1,0)+IF(F1205&lt;&gt;"",1,0)+IF(H1205&lt;&gt;"",1,0)+IF(J1205&lt;&gt;"",1,0)+IF(L1205&lt;&gt;"",1,0)</x:f>
        <x:v>1</x:v>
      </x:c>
      <x:c r="O1205" s="14" t="str">
        <x:f>IF(E1205="","MISSING MAIN",IF(N1205=1,"MAIN ONLY","MULTI-PHOTO"))</x:f>
        <x:v>MAIN ONLY</x:v>
      </x:c>
      <x:c r="P1205" s="14" t="str">
        <x:v>1449_</x:v>
      </x:c>
      <x:c r="Q1205" s="14" t="str">
        <x:v>https://mb1advancedsolutions.github.io/mb1-catalog/index.html?design=1449</x:v>
      </x:c>
      <x:c r="R1205" s="14" t="str"/>
    </x:row>
    <x:row r="1206">
      <x:c r="A1206" s="13" t="str">
        <x:v>MB1-1450</x:v>
      </x:c>
      <x:c r="B1206" s="13" t="str">
        <x:v>MB1-1450</x:v>
      </x:c>
      <x:c r="C1206" s="14" t="str">
        <x:v>SPLIT MONOGRAM 3</x:v>
      </x:c>
      <x:c r="D1206" s="14" t="str">
        <x:v>family &amp; name</x:v>
      </x:c>
      <x:c r="E1206" s="14" t="str">
        <x:v>https://res.cloudinary.com/oxygre42/image/upload/f_auto,q_auto,c_pad,b_white,w_1200,h_1200/v1788351247/1450_SPLIT_MONOGRAM_3.png</x:v>
      </x:c>
      <x:c r="F1206" s="14" t="str"/>
      <x:c r="G1206" s="14" t="str">
        <x:v>Lifestyle</x:v>
      </x:c>
      <x:c r="H1206" s="14" t="str"/>
      <x:c r="I1206" s="14" t="str">
        <x:v>Detail</x:v>
      </x:c>
      <x:c r="J1206" s="14" t="str"/>
      <x:c r="K1206" s="14" t="str">
        <x:v>Scale</x:v>
      </x:c>
      <x:c r="L1206" s="14" t="str"/>
      <x:c r="M1206" s="14" t="str">
        <x:v>Alternate</x:v>
      </x:c>
      <x:c r="N1206" s="14" t="n">
        <x:f>IF(E1206&lt;&gt;"",1,0)+IF(F1206&lt;&gt;"",1,0)+IF(H1206&lt;&gt;"",1,0)+IF(J1206&lt;&gt;"",1,0)+IF(L1206&lt;&gt;"",1,0)</x:f>
        <x:v>1</x:v>
      </x:c>
      <x:c r="O1206" s="14" t="str">
        <x:f>IF(E1206="","MISSING MAIN",IF(N1206=1,"MAIN ONLY","MULTI-PHOTO"))</x:f>
        <x:v>MAIN ONLY</x:v>
      </x:c>
      <x:c r="P1206" s="14" t="str">
        <x:v>1450_</x:v>
      </x:c>
      <x:c r="Q1206" s="14" t="str">
        <x:v>https://mb1advancedsolutions.github.io/mb1-catalog/index.html?design=1450</x:v>
      </x:c>
      <x:c r="R1206" s="14" t="str"/>
    </x:row>
    <x:row r="1207">
      <x:c r="A1207" s="13" t="str">
        <x:v>MB1-1451</x:v>
      </x:c>
      <x:c r="B1207" s="13" t="str">
        <x:v>MB1-1451</x:v>
      </x:c>
      <x:c r="C1207" s="14" t="str">
        <x:v>SPLIT MONOGRAM 4</x:v>
      </x:c>
      <x:c r="D1207" s="14" t="str">
        <x:v>family &amp; name</x:v>
      </x:c>
      <x:c r="E1207" s="14" t="str">
        <x:v>https://res.cloudinary.com/oxygre42/image/upload/f_auto,q_auto,c_pad,b_white,w_1200,h_1200/v1788351249/1451_SPLIT_MONOGRAM_4.png</x:v>
      </x:c>
      <x:c r="F1207" s="14" t="str"/>
      <x:c r="G1207" s="14" t="str">
        <x:v>Lifestyle</x:v>
      </x:c>
      <x:c r="H1207" s="14" t="str"/>
      <x:c r="I1207" s="14" t="str">
        <x:v>Detail</x:v>
      </x:c>
      <x:c r="J1207" s="14" t="str"/>
      <x:c r="K1207" s="14" t="str">
        <x:v>Scale</x:v>
      </x:c>
      <x:c r="L1207" s="14" t="str"/>
      <x:c r="M1207" s="14" t="str">
        <x:v>Alternate</x:v>
      </x:c>
      <x:c r="N1207" s="14" t="n">
        <x:f>IF(E1207&lt;&gt;"",1,0)+IF(F1207&lt;&gt;"",1,0)+IF(H1207&lt;&gt;"",1,0)+IF(J1207&lt;&gt;"",1,0)+IF(L1207&lt;&gt;"",1,0)</x:f>
        <x:v>1</x:v>
      </x:c>
      <x:c r="O1207" s="14" t="str">
        <x:f>IF(E1207="","MISSING MAIN",IF(N1207=1,"MAIN ONLY","MULTI-PHOTO"))</x:f>
        <x:v>MAIN ONLY</x:v>
      </x:c>
      <x:c r="P1207" s="14" t="str">
        <x:v>1451_</x:v>
      </x:c>
      <x:c r="Q1207" s="14" t="str">
        <x:v>https://mb1advancedsolutions.github.io/mb1-catalog/index.html?design=1451</x:v>
      </x:c>
      <x:c r="R1207" s="14" t="str"/>
    </x:row>
    <x:row r="1208">
      <x:c r="A1208" s="13" t="str">
        <x:v>MB1-1454</x:v>
      </x:c>
      <x:c r="B1208" s="13" t="str">
        <x:v>MB1-1454</x:v>
      </x:c>
      <x:c r="C1208" s="14" t="str">
        <x:v>SPLIT MONOGRAM 7</x:v>
      </x:c>
      <x:c r="D1208" s="14" t="str">
        <x:v>family &amp; name</x:v>
      </x:c>
      <x:c r="E1208" s="14" t="str">
        <x:v>https://res.cloudinary.com/oxygre42/image/upload/f_auto,q_auto,c_pad,b_white,w_1200,h_1200/v1788351251/1454_SPLIT_MONOGRAM_7.png</x:v>
      </x:c>
      <x:c r="F1208" s="14" t="str"/>
      <x:c r="G1208" s="14" t="str">
        <x:v>Lifestyle</x:v>
      </x:c>
      <x:c r="H1208" s="14" t="str"/>
      <x:c r="I1208" s="14" t="str">
        <x:v>Detail</x:v>
      </x:c>
      <x:c r="J1208" s="14" t="str"/>
      <x:c r="K1208" s="14" t="str">
        <x:v>Scale</x:v>
      </x:c>
      <x:c r="L1208" s="14" t="str"/>
      <x:c r="M1208" s="14" t="str">
        <x:v>Alternate</x:v>
      </x:c>
      <x:c r="N1208" s="14" t="n">
        <x:f>IF(E1208&lt;&gt;"",1,0)+IF(F1208&lt;&gt;"",1,0)+IF(H1208&lt;&gt;"",1,0)+IF(J1208&lt;&gt;"",1,0)+IF(L1208&lt;&gt;"",1,0)</x:f>
        <x:v>1</x:v>
      </x:c>
      <x:c r="O1208" s="14" t="str">
        <x:f>IF(E1208="","MISSING MAIN",IF(N1208=1,"MAIN ONLY","MULTI-PHOTO"))</x:f>
        <x:v>MAIN ONLY</x:v>
      </x:c>
      <x:c r="P1208" s="14" t="str">
        <x:v>1454_</x:v>
      </x:c>
      <x:c r="Q1208" s="14" t="str">
        <x:v>https://mb1advancedsolutions.github.io/mb1-catalog/index.html?design=1454</x:v>
      </x:c>
      <x:c r="R1208" s="14" t="str"/>
    </x:row>
    <x:row r="1209">
      <x:c r="A1209" s="13" t="str">
        <x:v>MB1-1455</x:v>
      </x:c>
      <x:c r="B1209" s="13" t="str">
        <x:v>MB1-1455</x:v>
      </x:c>
      <x:c r="C1209" s="14" t="str">
        <x:v>SPLIT MONOGRAM 8</x:v>
      </x:c>
      <x:c r="D1209" s="14" t="str">
        <x:v>family &amp; name</x:v>
      </x:c>
      <x:c r="E1209" s="14" t="str">
        <x:v>https://res.cloudinary.com/oxygre42/image/upload/f_auto,q_auto,c_pad,b_white,w_1200,h_1200/v1788351253/1455_SPLIT_MONOGRAM_8.png</x:v>
      </x:c>
      <x:c r="F1209" s="14" t="str"/>
      <x:c r="G1209" s="14" t="str">
        <x:v>Lifestyle</x:v>
      </x:c>
      <x:c r="H1209" s="14" t="str"/>
      <x:c r="I1209" s="14" t="str">
        <x:v>Detail</x:v>
      </x:c>
      <x:c r="J1209" s="14" t="str"/>
      <x:c r="K1209" s="14" t="str">
        <x:v>Scale</x:v>
      </x:c>
      <x:c r="L1209" s="14" t="str"/>
      <x:c r="M1209" s="14" t="str">
        <x:v>Alternate</x:v>
      </x:c>
      <x:c r="N1209" s="14" t="n">
        <x:f>IF(E1209&lt;&gt;"",1,0)+IF(F1209&lt;&gt;"",1,0)+IF(H1209&lt;&gt;"",1,0)+IF(J1209&lt;&gt;"",1,0)+IF(L1209&lt;&gt;"",1,0)</x:f>
        <x:v>1</x:v>
      </x:c>
      <x:c r="O1209" s="14" t="str">
        <x:f>IF(E1209="","MISSING MAIN",IF(N1209=1,"MAIN ONLY","MULTI-PHOTO"))</x:f>
        <x:v>MAIN ONLY</x:v>
      </x:c>
      <x:c r="P1209" s="14" t="str">
        <x:v>1455_</x:v>
      </x:c>
      <x:c r="Q1209" s="14" t="str">
        <x:v>https://mb1advancedsolutions.github.io/mb1-catalog/index.html?design=1455</x:v>
      </x:c>
      <x:c r="R1209" s="14" t="str"/>
    </x:row>
    <x:row r="1210">
      <x:c r="A1210" s="13" t="str">
        <x:v>MB1-1456</x:v>
      </x:c>
      <x:c r="B1210" s="13" t="str">
        <x:v>MB1-1456</x:v>
      </x:c>
      <x:c r="C1210" s="14" t="str">
        <x:v>SPLIT MONOGRAM 9</x:v>
      </x:c>
      <x:c r="D1210" s="14" t="str">
        <x:v>family &amp; name</x:v>
      </x:c>
      <x:c r="E1210" s="14" t="str">
        <x:v>https://res.cloudinary.com/oxygre42/image/upload/f_auto,q_auto,c_pad,b_white,w_1200,h_1200/v1788351255/1456_SPLIT_MONOGRAM_9.png</x:v>
      </x:c>
      <x:c r="F1210" s="14" t="str"/>
      <x:c r="G1210" s="14" t="str">
        <x:v>Lifestyle</x:v>
      </x:c>
      <x:c r="H1210" s="14" t="str"/>
      <x:c r="I1210" s="14" t="str">
        <x:v>Detail</x:v>
      </x:c>
      <x:c r="J1210" s="14" t="str"/>
      <x:c r="K1210" s="14" t="str">
        <x:v>Scale</x:v>
      </x:c>
      <x:c r="L1210" s="14" t="str"/>
      <x:c r="M1210" s="14" t="str">
        <x:v>Alternate</x:v>
      </x:c>
      <x:c r="N1210" s="14" t="n">
        <x:f>IF(E1210&lt;&gt;"",1,0)+IF(F1210&lt;&gt;"",1,0)+IF(H1210&lt;&gt;"",1,0)+IF(J1210&lt;&gt;"",1,0)+IF(L1210&lt;&gt;"",1,0)</x:f>
        <x:v>1</x:v>
      </x:c>
      <x:c r="O1210" s="14" t="str">
        <x:f>IF(E1210="","MISSING MAIN",IF(N1210=1,"MAIN ONLY","MULTI-PHOTO"))</x:f>
        <x:v>MAIN ONLY</x:v>
      </x:c>
      <x:c r="P1210" s="14" t="str">
        <x:v>1456_</x:v>
      </x:c>
      <x:c r="Q1210" s="14" t="str">
        <x:v>https://mb1advancedsolutions.github.io/mb1-catalog/index.html?design=1456</x:v>
      </x:c>
      <x:c r="R1210" s="14" t="str"/>
    </x:row>
    <x:row r="1211">
      <x:c r="A1211" s="13" t="str">
        <x:v>MB1-1457</x:v>
      </x:c>
      <x:c r="B1211" s="13" t="str">
        <x:v>MB1-1457</x:v>
      </x:c>
      <x:c r="C1211" s="14" t="str">
        <x:v>sugar skull 1</x:v>
      </x:c>
      <x:c r="D1211" s="14" t="str">
        <x:v>home decor and inspirational</x:v>
      </x:c>
      <x:c r="E1211" s="14" t="str">
        <x:v>https://res.cloudinary.com/oxygre42/image/upload/f_auto,q_auto,c_pad,b_white,w_1200,h_1200/v1788351257/1457_sugar_skull_1.png</x:v>
      </x:c>
      <x:c r="F1211" s="14" t="str"/>
      <x:c r="G1211" s="14" t="str">
        <x:v>Lifestyle</x:v>
      </x:c>
      <x:c r="H1211" s="14" t="str"/>
      <x:c r="I1211" s="14" t="str">
        <x:v>Detail</x:v>
      </x:c>
      <x:c r="J1211" s="14" t="str"/>
      <x:c r="K1211" s="14" t="str">
        <x:v>Scale</x:v>
      </x:c>
      <x:c r="L1211" s="14" t="str"/>
      <x:c r="M1211" s="14" t="str">
        <x:v>Alternate</x:v>
      </x:c>
      <x:c r="N1211" s="14" t="n">
        <x:f>IF(E1211&lt;&gt;"",1,0)+IF(F1211&lt;&gt;"",1,0)+IF(H1211&lt;&gt;"",1,0)+IF(J1211&lt;&gt;"",1,0)+IF(L1211&lt;&gt;"",1,0)</x:f>
        <x:v>1</x:v>
      </x:c>
      <x:c r="O1211" s="14" t="str">
        <x:f>IF(E1211="","MISSING MAIN",IF(N1211=1,"MAIN ONLY","MULTI-PHOTO"))</x:f>
        <x:v>MAIN ONLY</x:v>
      </x:c>
      <x:c r="P1211" s="14" t="str">
        <x:v>1457_</x:v>
      </x:c>
      <x:c r="Q1211" s="14" t="str">
        <x:v>https://mb1advancedsolutions.github.io/mb1-catalog/index.html?design=1457</x:v>
      </x:c>
      <x:c r="R1211" s="14" t="str"/>
    </x:row>
    <x:row r="1212">
      <x:c r="A1212" s="13" t="str">
        <x:v>MB1-1458</x:v>
      </x:c>
      <x:c r="B1212" s="13" t="str">
        <x:v>MB1-1458</x:v>
      </x:c>
      <x:c r="C1212" s="14" t="str">
        <x:v>sugar skull 2</x:v>
      </x:c>
      <x:c r="D1212" s="14" t="str">
        <x:v>home decor and inspirational</x:v>
      </x:c>
      <x:c r="E1212" s="14" t="str">
        <x:v>https://res.cloudinary.com/oxygre42/image/upload/f_auto,q_auto,c_pad,b_white,w_1200,h_1200/v1788351259/1458_sugar_skull_2.png</x:v>
      </x:c>
      <x:c r="F1212" s="14" t="str"/>
      <x:c r="G1212" s="14" t="str">
        <x:v>Lifestyle</x:v>
      </x:c>
      <x:c r="H1212" s="14" t="str"/>
      <x:c r="I1212" s="14" t="str">
        <x:v>Detail</x:v>
      </x:c>
      <x:c r="J1212" s="14" t="str"/>
      <x:c r="K1212" s="14" t="str">
        <x:v>Scale</x:v>
      </x:c>
      <x:c r="L1212" s="14" t="str"/>
      <x:c r="M1212" s="14" t="str">
        <x:v>Alternate</x:v>
      </x:c>
      <x:c r="N1212" s="14" t="n">
        <x:f>IF(E1212&lt;&gt;"",1,0)+IF(F1212&lt;&gt;"",1,0)+IF(H1212&lt;&gt;"",1,0)+IF(J1212&lt;&gt;"",1,0)+IF(L1212&lt;&gt;"",1,0)</x:f>
        <x:v>1</x:v>
      </x:c>
      <x:c r="O1212" s="14" t="str">
        <x:f>IF(E1212="","MISSING MAIN",IF(N1212=1,"MAIN ONLY","MULTI-PHOTO"))</x:f>
        <x:v>MAIN ONLY</x:v>
      </x:c>
      <x:c r="P1212" s="14" t="str">
        <x:v>1458_</x:v>
      </x:c>
      <x:c r="Q1212" s="14" t="str">
        <x:v>https://mb1advancedsolutions.github.io/mb1-catalog/index.html?design=1458</x:v>
      </x:c>
      <x:c r="R1212" s="14" t="str"/>
    </x:row>
    <x:row r="1213">
      <x:c r="A1213" s="13" t="str">
        <x:v>MB1-1459</x:v>
      </x:c>
      <x:c r="B1213" s="13" t="str">
        <x:v>MB1-1459</x:v>
      </x:c>
      <x:c r="C1213" s="14" t="str">
        <x:v>sugar skull 3</x:v>
      </x:c>
      <x:c r="D1213" s="14" t="str">
        <x:v>home decor and inspirational</x:v>
      </x:c>
      <x:c r="E1213" s="14" t="str">
        <x:v>https://res.cloudinary.com/oxygre42/image/upload/f_auto,q_auto,c_pad,b_white,w_1200,h_1200/v1788351260/1459_sugar_skull_3.png</x:v>
      </x:c>
      <x:c r="F1213" s="14" t="str"/>
      <x:c r="G1213" s="14" t="str">
        <x:v>Lifestyle</x:v>
      </x:c>
      <x:c r="H1213" s="14" t="str"/>
      <x:c r="I1213" s="14" t="str">
        <x:v>Detail</x:v>
      </x:c>
      <x:c r="J1213" s="14" t="str"/>
      <x:c r="K1213" s="14" t="str">
        <x:v>Scale</x:v>
      </x:c>
      <x:c r="L1213" s="14" t="str"/>
      <x:c r="M1213" s="14" t="str">
        <x:v>Alternate</x:v>
      </x:c>
      <x:c r="N1213" s="14" t="n">
        <x:f>IF(E1213&lt;&gt;"",1,0)+IF(F1213&lt;&gt;"",1,0)+IF(H1213&lt;&gt;"",1,0)+IF(J1213&lt;&gt;"",1,0)+IF(L1213&lt;&gt;"",1,0)</x:f>
        <x:v>1</x:v>
      </x:c>
      <x:c r="O1213" s="14" t="str">
        <x:f>IF(E1213="","MISSING MAIN",IF(N1213=1,"MAIN ONLY","MULTI-PHOTO"))</x:f>
        <x:v>MAIN ONLY</x:v>
      </x:c>
      <x:c r="P1213" s="14" t="str">
        <x:v>1459_</x:v>
      </x:c>
      <x:c r="Q1213" s="14" t="str">
        <x:v>https://mb1advancedsolutions.github.io/mb1-catalog/index.html?design=1459</x:v>
      </x:c>
      <x:c r="R1213" s="14" t="str"/>
    </x:row>
    <x:row r="1214">
      <x:c r="A1214" s="13" t="str">
        <x:v>MB1-1460</x:v>
      </x:c>
      <x:c r="B1214" s="13" t="str">
        <x:v>MB1-1460</x:v>
      </x:c>
      <x:c r="C1214" s="14" t="str">
        <x:v>sugar skull 4</x:v>
      </x:c>
      <x:c r="D1214" s="14" t="str">
        <x:v>home decor and inspirational</x:v>
      </x:c>
      <x:c r="E1214" s="14" t="str">
        <x:v>https://res.cloudinary.com/oxygre42/image/upload/f_auto,q_auto,c_pad,b_white,w_1200,h_1200/v1788351262/1460_sugar_skull_4.png</x:v>
      </x:c>
      <x:c r="F1214" s="14" t="str"/>
      <x:c r="G1214" s="14" t="str">
        <x:v>Lifestyle</x:v>
      </x:c>
      <x:c r="H1214" s="14" t="str"/>
      <x:c r="I1214" s="14" t="str">
        <x:v>Detail</x:v>
      </x:c>
      <x:c r="J1214" s="14" t="str"/>
      <x:c r="K1214" s="14" t="str">
        <x:v>Scale</x:v>
      </x:c>
      <x:c r="L1214" s="14" t="str"/>
      <x:c r="M1214" s="14" t="str">
        <x:v>Alternate</x:v>
      </x:c>
      <x:c r="N1214" s="14" t="n">
        <x:f>IF(E1214&lt;&gt;"",1,0)+IF(F1214&lt;&gt;"",1,0)+IF(H1214&lt;&gt;"",1,0)+IF(J1214&lt;&gt;"",1,0)+IF(L1214&lt;&gt;"",1,0)</x:f>
        <x:v>1</x:v>
      </x:c>
      <x:c r="O1214" s="14" t="str">
        <x:f>IF(E1214="","MISSING MAIN",IF(N1214=1,"MAIN ONLY","MULTI-PHOTO"))</x:f>
        <x:v>MAIN ONLY</x:v>
      </x:c>
      <x:c r="P1214" s="14" t="str">
        <x:v>1460_</x:v>
      </x:c>
      <x:c r="Q1214" s="14" t="str">
        <x:v>https://mb1advancedsolutions.github.io/mb1-catalog/index.html?design=1460</x:v>
      </x:c>
      <x:c r="R1214" s="14" t="str"/>
    </x:row>
    <x:row r="1215">
      <x:c r="A1215" s="13" t="str">
        <x:v>MB1-1461</x:v>
      </x:c>
      <x:c r="B1215" s="13" t="str">
        <x:v>MB1-1461</x:v>
      </x:c>
      <x:c r="C1215" s="14" t="str">
        <x:v>sugar skull 5</x:v>
      </x:c>
      <x:c r="D1215" s="14" t="str">
        <x:v>home decor and inspirational</x:v>
      </x:c>
      <x:c r="E1215" s="14" t="str">
        <x:v>https://res.cloudinary.com/oxygre42/image/upload/f_auto,q_auto,c_pad,b_white,w_1200,h_1200/v1788351264/1461_sugar_skull_5.png</x:v>
      </x:c>
      <x:c r="F1215" s="14" t="str"/>
      <x:c r="G1215" s="14" t="str">
        <x:v>Lifestyle</x:v>
      </x:c>
      <x:c r="H1215" s="14" t="str"/>
      <x:c r="I1215" s="14" t="str">
        <x:v>Detail</x:v>
      </x:c>
      <x:c r="J1215" s="14" t="str"/>
      <x:c r="K1215" s="14" t="str">
        <x:v>Scale</x:v>
      </x:c>
      <x:c r="L1215" s="14" t="str"/>
      <x:c r="M1215" s="14" t="str">
        <x:v>Alternate</x:v>
      </x:c>
      <x:c r="N1215" s="14" t="n">
        <x:f>IF(E1215&lt;&gt;"",1,0)+IF(F1215&lt;&gt;"",1,0)+IF(H1215&lt;&gt;"",1,0)+IF(J1215&lt;&gt;"",1,0)+IF(L1215&lt;&gt;"",1,0)</x:f>
        <x:v>1</x:v>
      </x:c>
      <x:c r="O1215" s="14" t="str">
        <x:f>IF(E1215="","MISSING MAIN",IF(N1215=1,"MAIN ONLY","MULTI-PHOTO"))</x:f>
        <x:v>MAIN ONLY</x:v>
      </x:c>
      <x:c r="P1215" s="14" t="str">
        <x:v>1461_</x:v>
      </x:c>
      <x:c r="Q1215" s="14" t="str">
        <x:v>https://mb1advancedsolutions.github.io/mb1-catalog/index.html?design=1461</x:v>
      </x:c>
      <x:c r="R1215" s="14" t="str"/>
    </x:row>
    <x:row r="1216">
      <x:c r="A1216" s="13" t="str">
        <x:v>MB1-1462</x:v>
      </x:c>
      <x:c r="B1216" s="13" t="str">
        <x:v>MB1-1462</x:v>
      </x:c>
      <x:c r="C1216" s="14" t="str">
        <x:v>sugar skull 6 - SVG LASER</x:v>
      </x:c>
      <x:c r="D1216" s="14" t="str">
        <x:v>home decor and inspirational</x:v>
      </x:c>
      <x:c r="E1216" s="14" t="str">
        <x:v>https://res.cloudinary.com/oxygre42/image/upload/f_auto,q_auto,c_pad,b_white,w_1200,h_1200/v1788351266/1462_sugar_skull_6_-_SVG_LASER.png</x:v>
      </x:c>
      <x:c r="F1216" s="14" t="str"/>
      <x:c r="G1216" s="14" t="str">
        <x:v>Lifestyle</x:v>
      </x:c>
      <x:c r="H1216" s="14" t="str"/>
      <x:c r="I1216" s="14" t="str">
        <x:v>Detail</x:v>
      </x:c>
      <x:c r="J1216" s="14" t="str"/>
      <x:c r="K1216" s="14" t="str">
        <x:v>Scale</x:v>
      </x:c>
      <x:c r="L1216" s="14" t="str"/>
      <x:c r="M1216" s="14" t="str">
        <x:v>Alternate</x:v>
      </x:c>
      <x:c r="N1216" s="14" t="n">
        <x:f>IF(E1216&lt;&gt;"",1,0)+IF(F1216&lt;&gt;"",1,0)+IF(H1216&lt;&gt;"",1,0)+IF(J1216&lt;&gt;"",1,0)+IF(L1216&lt;&gt;"",1,0)</x:f>
        <x:v>1</x:v>
      </x:c>
      <x:c r="O1216" s="14" t="str">
        <x:f>IF(E1216="","MISSING MAIN",IF(N1216=1,"MAIN ONLY","MULTI-PHOTO"))</x:f>
        <x:v>MAIN ONLY</x:v>
      </x:c>
      <x:c r="P1216" s="14" t="str">
        <x:v>1462_</x:v>
      </x:c>
      <x:c r="Q1216" s="14" t="str">
        <x:v>https://mb1advancedsolutions.github.io/mb1-catalog/index.html?design=1462</x:v>
      </x:c>
      <x:c r="R1216" s="14" t="str"/>
    </x:row>
    <x:row r="1217">
      <x:c r="A1217" s="13" t="str">
        <x:v>MB1-1463</x:v>
      </x:c>
      <x:c r="B1217" s="13" t="str">
        <x:v>MB1-1463</x:v>
      </x:c>
      <x:c r="C1217" s="14" t="str">
        <x:v>sugar skull 6 - SVG PLASMA</x:v>
      </x:c>
      <x:c r="D1217" s="14" t="str">
        <x:v>home decor and inspirational</x:v>
      </x:c>
      <x:c r="E1217" s="14" t="str">
        <x:v>https://res.cloudinary.com/oxygre42/image/upload/f_auto,q_auto,c_pad,b_white,w_1200,h_1200/v1788351268/1463_sugar_skull_6_-_SVG_PLASMA.png</x:v>
      </x:c>
      <x:c r="F1217" s="14" t="str"/>
      <x:c r="G1217" s="14" t="str">
        <x:v>Lifestyle</x:v>
      </x:c>
      <x:c r="H1217" s="14" t="str"/>
      <x:c r="I1217" s="14" t="str">
        <x:v>Detail</x:v>
      </x:c>
      <x:c r="J1217" s="14" t="str"/>
      <x:c r="K1217" s="14" t="str">
        <x:v>Scale</x:v>
      </x:c>
      <x:c r="L1217" s="14" t="str"/>
      <x:c r="M1217" s="14" t="str">
        <x:v>Alternate</x:v>
      </x:c>
      <x:c r="N1217" s="14" t="n">
        <x:f>IF(E1217&lt;&gt;"",1,0)+IF(F1217&lt;&gt;"",1,0)+IF(H1217&lt;&gt;"",1,0)+IF(J1217&lt;&gt;"",1,0)+IF(L1217&lt;&gt;"",1,0)</x:f>
        <x:v>1</x:v>
      </x:c>
      <x:c r="O1217" s="14" t="str">
        <x:f>IF(E1217="","MISSING MAIN",IF(N1217=1,"MAIN ONLY","MULTI-PHOTO"))</x:f>
        <x:v>MAIN ONLY</x:v>
      </x:c>
      <x:c r="P1217" s="14" t="str">
        <x:v>1463_</x:v>
      </x:c>
      <x:c r="Q1217" s="14" t="str">
        <x:v>https://mb1advancedsolutions.github.io/mb1-catalog/index.html?design=1463</x:v>
      </x:c>
      <x:c r="R1217" s="14" t="str"/>
    </x:row>
    <x:row r="1218">
      <x:c r="A1218" s="13" t="str">
        <x:v>MB1-1464</x:v>
      </x:c>
      <x:c r="B1218" s="13" t="str">
        <x:v>MB1-1464</x:v>
      </x:c>
      <x:c r="C1218" s="14" t="str">
        <x:v>sugar skull 7</x:v>
      </x:c>
      <x:c r="D1218" s="14" t="str">
        <x:v>home decor and inspirational</x:v>
      </x:c>
      <x:c r="E1218" s="14" t="str">
        <x:v>https://res.cloudinary.com/oxygre42/image/upload/f_auto,q_auto,c_pad,b_white,w_1200,h_1200/v1788351270/1464_sugar_skull_7.png</x:v>
      </x:c>
      <x:c r="F1218" s="14" t="str"/>
      <x:c r="G1218" s="14" t="str">
        <x:v>Lifestyle</x:v>
      </x:c>
      <x:c r="H1218" s="14" t="str"/>
      <x:c r="I1218" s="14" t="str">
        <x:v>Detail</x:v>
      </x:c>
      <x:c r="J1218" s="14" t="str"/>
      <x:c r="K1218" s="14" t="str">
        <x:v>Scale</x:v>
      </x:c>
      <x:c r="L1218" s="14" t="str"/>
      <x:c r="M1218" s="14" t="str">
        <x:v>Alternate</x:v>
      </x:c>
      <x:c r="N1218" s="14" t="n">
        <x:f>IF(E1218&lt;&gt;"",1,0)+IF(F1218&lt;&gt;"",1,0)+IF(H1218&lt;&gt;"",1,0)+IF(J1218&lt;&gt;"",1,0)+IF(L1218&lt;&gt;"",1,0)</x:f>
        <x:v>1</x:v>
      </x:c>
      <x:c r="O1218" s="14" t="str">
        <x:f>IF(E1218="","MISSING MAIN",IF(N1218=1,"MAIN ONLY","MULTI-PHOTO"))</x:f>
        <x:v>MAIN ONLY</x:v>
      </x:c>
      <x:c r="P1218" s="14" t="str">
        <x:v>1464_</x:v>
      </x:c>
      <x:c r="Q1218" s="14" t="str">
        <x:v>https://mb1advancedsolutions.github.io/mb1-catalog/index.html?design=1464</x:v>
      </x:c>
      <x:c r="R1218" s="14" t="str"/>
    </x:row>
    <x:row r="1219">
      <x:c r="A1219" s="13" t="str">
        <x:v>MB1-1466</x:v>
      </x:c>
      <x:c r="B1219" s="13" t="str">
        <x:v>MB1-1466</x:v>
      </x:c>
      <x:c r="C1219" s="14" t="str">
        <x:v>beach life monogram</x:v>
      </x:c>
      <x:c r="D1219" s="14" t="str">
        <x:v>beach and coastal</x:v>
      </x:c>
      <x:c r="E1219" s="14" t="str">
        <x:v>https://res.cloudinary.com/oxygre42/image/upload/f_auto,q_auto,c_pad,b_white,w_1200,h_1200/v1788351272/1466_beach_life_monogram.png</x:v>
      </x:c>
      <x:c r="F1219" s="14" t="str"/>
      <x:c r="G1219" s="14" t="str">
        <x:v>Lifestyle</x:v>
      </x:c>
      <x:c r="H1219" s="14" t="str"/>
      <x:c r="I1219" s="14" t="str">
        <x:v>Detail</x:v>
      </x:c>
      <x:c r="J1219" s="14" t="str"/>
      <x:c r="K1219" s="14" t="str">
        <x:v>Scale</x:v>
      </x:c>
      <x:c r="L1219" s="14" t="str"/>
      <x:c r="M1219" s="14" t="str">
        <x:v>Alternate</x:v>
      </x:c>
      <x:c r="N1219" s="14" t="n">
        <x:f>IF(E1219&lt;&gt;"",1,0)+IF(F1219&lt;&gt;"",1,0)+IF(H1219&lt;&gt;"",1,0)+IF(J1219&lt;&gt;"",1,0)+IF(L1219&lt;&gt;"",1,0)</x:f>
        <x:v>1</x:v>
      </x:c>
      <x:c r="O1219" s="14" t="str">
        <x:f>IF(E1219="","MISSING MAIN",IF(N1219=1,"MAIN ONLY","MULTI-PHOTO"))</x:f>
        <x:v>MAIN ONLY</x:v>
      </x:c>
      <x:c r="P1219" s="14" t="str">
        <x:v>1466_</x:v>
      </x:c>
      <x:c r="Q1219" s="14" t="str">
        <x:v>https://mb1advancedsolutions.github.io/mb1-catalog/index.html?design=1466</x:v>
      </x:c>
      <x:c r="R1219" s="14" t="str"/>
    </x:row>
    <x:row r="1220">
      <x:c r="A1220" s="13" t="str">
        <x:v>MB1-1467</x:v>
      </x:c>
      <x:c r="B1220" s="13" t="str">
        <x:v>MB1-1467</x:v>
      </x:c>
      <x:c r="C1220" s="14" t="str">
        <x:v>beach life palm trees</x:v>
      </x:c>
      <x:c r="D1220" s="14" t="str">
        <x:v>beach and coastal</x:v>
      </x:c>
      <x:c r="E1220" s="14" t="str">
        <x:v>https://res.cloudinary.com/oxygre42/image/upload/f_auto,q_auto,c_pad,b_white,w_1200,h_1200/v1788351274/1467_beach_life_palm_trees.png</x:v>
      </x:c>
      <x:c r="F1220" s="14" t="str"/>
      <x:c r="G1220" s="14" t="str">
        <x:v>Lifestyle</x:v>
      </x:c>
      <x:c r="H1220" s="14" t="str"/>
      <x:c r="I1220" s="14" t="str">
        <x:v>Detail</x:v>
      </x:c>
      <x:c r="J1220" s="14" t="str"/>
      <x:c r="K1220" s="14" t="str">
        <x:v>Scale</x:v>
      </x:c>
      <x:c r="L1220" s="14" t="str"/>
      <x:c r="M1220" s="14" t="str">
        <x:v>Alternate</x:v>
      </x:c>
      <x:c r="N1220" s="14" t="n">
        <x:f>IF(E1220&lt;&gt;"",1,0)+IF(F1220&lt;&gt;"",1,0)+IF(H1220&lt;&gt;"",1,0)+IF(J1220&lt;&gt;"",1,0)+IF(L1220&lt;&gt;"",1,0)</x:f>
        <x:v>1</x:v>
      </x:c>
      <x:c r="O1220" s="14" t="str">
        <x:f>IF(E1220="","MISSING MAIN",IF(N1220=1,"MAIN ONLY","MULTI-PHOTO"))</x:f>
        <x:v>MAIN ONLY</x:v>
      </x:c>
      <x:c r="P1220" s="14" t="str">
        <x:v>1467_</x:v>
      </x:c>
      <x:c r="Q1220" s="14" t="str">
        <x:v>https://mb1advancedsolutions.github.io/mb1-catalog/index.html?design=1467</x:v>
      </x:c>
      <x:c r="R1220" s="14" t="str"/>
    </x:row>
    <x:row r="1221">
      <x:c r="A1221" s="13" t="str">
        <x:v>MB1-1468</x:v>
      </x:c>
      <x:c r="B1221" s="13" t="str">
        <x:v>MB1-1468</x:v>
      </x:c>
      <x:c r="C1221" s="14" t="str">
        <x:v>beach life</x:v>
      </x:c>
      <x:c r="D1221" s="14" t="str">
        <x:v>beach and coastal</x:v>
      </x:c>
      <x:c r="E1221" s="14" t="str">
        <x:v>https://res.cloudinary.com/oxygre42/image/upload/f_auto,q_auto,c_pad,b_white,w_1200,h_1200/v1788351276/1468_beach_life.png</x:v>
      </x:c>
      <x:c r="F1221" s="14" t="str"/>
      <x:c r="G1221" s="14" t="str">
        <x:v>Lifestyle</x:v>
      </x:c>
      <x:c r="H1221" s="14" t="str"/>
      <x:c r="I1221" s="14" t="str">
        <x:v>Detail</x:v>
      </x:c>
      <x:c r="J1221" s="14" t="str"/>
      <x:c r="K1221" s="14" t="str">
        <x:v>Scale</x:v>
      </x:c>
      <x:c r="L1221" s="14" t="str"/>
      <x:c r="M1221" s="14" t="str">
        <x:v>Alternate</x:v>
      </x:c>
      <x:c r="N1221" s="14" t="n">
        <x:f>IF(E1221&lt;&gt;"",1,0)+IF(F1221&lt;&gt;"",1,0)+IF(H1221&lt;&gt;"",1,0)+IF(J1221&lt;&gt;"",1,0)+IF(L1221&lt;&gt;"",1,0)</x:f>
        <x:v>1</x:v>
      </x:c>
      <x:c r="O1221" s="14" t="str">
        <x:f>IF(E1221="","MISSING MAIN",IF(N1221=1,"MAIN ONLY","MULTI-PHOTO"))</x:f>
        <x:v>MAIN ONLY</x:v>
      </x:c>
      <x:c r="P1221" s="14" t="str">
        <x:v>1468_</x:v>
      </x:c>
      <x:c r="Q1221" s="14" t="str">
        <x:v>https://mb1advancedsolutions.github.io/mb1-catalog/index.html?design=1468</x:v>
      </x:c>
      <x:c r="R1221" s="14" t="str"/>
    </x:row>
    <x:row r="1222">
      <x:c r="A1222" s="13" t="str">
        <x:v>MB1-1469</x:v>
      </x:c>
      <x:c r="B1222" s="13" t="str">
        <x:v>MB1-1469</x:v>
      </x:c>
      <x:c r="C1222" s="14" t="str">
        <x:v>beach sunset monogram</x:v>
      </x:c>
      <x:c r="D1222" s="14" t="str">
        <x:v>beach and coastal</x:v>
      </x:c>
      <x:c r="E1222" s="14" t="str">
        <x:v>https://res.cloudinary.com/oxygre42/image/upload/f_auto,q_auto,c_pad,b_white,w_1200,h_1200/v1788351277/1469_beach_sunset_monogram.png</x:v>
      </x:c>
      <x:c r="F1222" s="14" t="str"/>
      <x:c r="G1222" s="14" t="str">
        <x:v>Lifestyle</x:v>
      </x:c>
      <x:c r="H1222" s="14" t="str"/>
      <x:c r="I1222" s="14" t="str">
        <x:v>Detail</x:v>
      </x:c>
      <x:c r="J1222" s="14" t="str"/>
      <x:c r="K1222" s="14" t="str">
        <x:v>Scale</x:v>
      </x:c>
      <x:c r="L1222" s="14" t="str"/>
      <x:c r="M1222" s="14" t="str">
        <x:v>Alternate</x:v>
      </x:c>
      <x:c r="N1222" s="14" t="n">
        <x:f>IF(E1222&lt;&gt;"",1,0)+IF(F1222&lt;&gt;"",1,0)+IF(H1222&lt;&gt;"",1,0)+IF(J1222&lt;&gt;"",1,0)+IF(L1222&lt;&gt;"",1,0)</x:f>
        <x:v>1</x:v>
      </x:c>
      <x:c r="O1222" s="14" t="str">
        <x:f>IF(E1222="","MISSING MAIN",IF(N1222=1,"MAIN ONLY","MULTI-PHOTO"))</x:f>
        <x:v>MAIN ONLY</x:v>
      </x:c>
      <x:c r="P1222" s="14" t="str">
        <x:v>1469_</x:v>
      </x:c>
      <x:c r="Q1222" s="14" t="str">
        <x:v>https://mb1advancedsolutions.github.io/mb1-catalog/index.html?design=1469</x:v>
      </x:c>
      <x:c r="R1222" s="14" t="str"/>
    </x:row>
    <x:row r="1223">
      <x:c r="A1223" s="13" t="str">
        <x:v>MB1-1470</x:v>
      </x:c>
      <x:c r="B1223" s="13" t="str">
        <x:v>MB1-1470</x:v>
      </x:c>
      <x:c r="C1223" s="14" t="str">
        <x:v>flamingo beach scene monogram</x:v>
      </x:c>
      <x:c r="D1223" s="14" t="str">
        <x:v>beach and coastal</x:v>
      </x:c>
      <x:c r="E1223" s="14" t="str">
        <x:v>https://res.cloudinary.com/oxygre42/image/upload/f_auto,q_auto,c_pad,b_white,w_1200,h_1200/v1788351279/1470_flamingo_beach_scene_monogram.png</x:v>
      </x:c>
      <x:c r="F1223" s="14" t="str"/>
      <x:c r="G1223" s="14" t="str">
        <x:v>Lifestyle</x:v>
      </x:c>
      <x:c r="H1223" s="14" t="str"/>
      <x:c r="I1223" s="14" t="str">
        <x:v>Detail</x:v>
      </x:c>
      <x:c r="J1223" s="14" t="str"/>
      <x:c r="K1223" s="14" t="str">
        <x:v>Scale</x:v>
      </x:c>
      <x:c r="L1223" s="14" t="str"/>
      <x:c r="M1223" s="14" t="str">
        <x:v>Alternate</x:v>
      </x:c>
      <x:c r="N1223" s="14" t="n">
        <x:f>IF(E1223&lt;&gt;"",1,0)+IF(F1223&lt;&gt;"",1,0)+IF(H1223&lt;&gt;"",1,0)+IF(J1223&lt;&gt;"",1,0)+IF(L1223&lt;&gt;"",1,0)</x:f>
        <x:v>1</x:v>
      </x:c>
      <x:c r="O1223" s="14" t="str">
        <x:f>IF(E1223="","MISSING MAIN",IF(N1223=1,"MAIN ONLY","MULTI-PHOTO"))</x:f>
        <x:v>MAIN ONLY</x:v>
      </x:c>
      <x:c r="P1223" s="14" t="str">
        <x:v>1470_</x:v>
      </x:c>
      <x:c r="Q1223" s="14" t="str">
        <x:v>https://mb1advancedsolutions.github.io/mb1-catalog/index.html?design=1470</x:v>
      </x:c>
      <x:c r="R1223" s="14" t="str"/>
    </x:row>
    <x:row r="1224">
      <x:c r="A1224" s="13" t="str">
        <x:v>MB1-1471</x:v>
      </x:c>
      <x:c r="B1224" s="13" t="str">
        <x:v>MB1-1471</x:v>
      </x:c>
      <x:c r="C1224" s="14" t="str">
        <x:v>flip flop welcome</x:v>
      </x:c>
      <x:c r="D1224" s="14" t="str">
        <x:v>beach and coastal</x:v>
      </x:c>
      <x:c r="E1224" s="14" t="str">
        <x:v>https://res.cloudinary.com/oxygre42/image/upload/f_auto,q_auto,c_pad,b_white,w_1200,h_1200/v1788351281/1471_flip_flop_welcome.png</x:v>
      </x:c>
      <x:c r="F1224" s="14" t="str"/>
      <x:c r="G1224" s="14" t="str">
        <x:v>Lifestyle</x:v>
      </x:c>
      <x:c r="H1224" s="14" t="str"/>
      <x:c r="I1224" s="14" t="str">
        <x:v>Detail</x:v>
      </x:c>
      <x:c r="J1224" s="14" t="str"/>
      <x:c r="K1224" s="14" t="str">
        <x:v>Scale</x:v>
      </x:c>
      <x:c r="L1224" s="14" t="str"/>
      <x:c r="M1224" s="14" t="str">
        <x:v>Alternate</x:v>
      </x:c>
      <x:c r="N1224" s="14" t="n">
        <x:f>IF(E1224&lt;&gt;"",1,0)+IF(F1224&lt;&gt;"",1,0)+IF(H1224&lt;&gt;"",1,0)+IF(J1224&lt;&gt;"",1,0)+IF(L1224&lt;&gt;"",1,0)</x:f>
        <x:v>1</x:v>
      </x:c>
      <x:c r="O1224" s="14" t="str">
        <x:f>IF(E1224="","MISSING MAIN",IF(N1224=1,"MAIN ONLY","MULTI-PHOTO"))</x:f>
        <x:v>MAIN ONLY</x:v>
      </x:c>
      <x:c r="P1224" s="14" t="str">
        <x:v>1471_</x:v>
      </x:c>
      <x:c r="Q1224" s="14" t="str">
        <x:v>https://mb1advancedsolutions.github.io/mb1-catalog/index.html?design=1471</x:v>
      </x:c>
      <x:c r="R1224" s="14" t="str"/>
    </x:row>
    <x:row r="1225">
      <x:c r="A1225" s="13" t="str">
        <x:v>MB1-1472</x:v>
      </x:c>
      <x:c r="B1225" s="13" t="str">
        <x:v>MB1-1472</x:v>
      </x:c>
      <x:c r="C1225" s="14" t="str">
        <x:v>hawaii girl</x:v>
      </x:c>
      <x:c r="D1225" s="14" t="str">
        <x:v>beach and coastal</x:v>
      </x:c>
      <x:c r="E1225" s="14" t="str">
        <x:v>https://res.cloudinary.com/oxygre42/image/upload/f_auto,q_auto,c_pad,b_white,w_1200,h_1200/v1788351283/1472_hawaii_girl.png</x:v>
      </x:c>
      <x:c r="F1225" s="14" t="str"/>
      <x:c r="G1225" s="14" t="str">
        <x:v>Lifestyle</x:v>
      </x:c>
      <x:c r="H1225" s="14" t="str"/>
      <x:c r="I1225" s="14" t="str">
        <x:v>Detail</x:v>
      </x:c>
      <x:c r="J1225" s="14" t="str"/>
      <x:c r="K1225" s="14" t="str">
        <x:v>Scale</x:v>
      </x:c>
      <x:c r="L1225" s="14" t="str"/>
      <x:c r="M1225" s="14" t="str">
        <x:v>Alternate</x:v>
      </x:c>
      <x:c r="N1225" s="14" t="n">
        <x:f>IF(E1225&lt;&gt;"",1,0)+IF(F1225&lt;&gt;"",1,0)+IF(H1225&lt;&gt;"",1,0)+IF(J1225&lt;&gt;"",1,0)+IF(L1225&lt;&gt;"",1,0)</x:f>
        <x:v>1</x:v>
      </x:c>
      <x:c r="O1225" s="14" t="str">
        <x:f>IF(E1225="","MISSING MAIN",IF(N1225=1,"MAIN ONLY","MULTI-PHOTO"))</x:f>
        <x:v>MAIN ONLY</x:v>
      </x:c>
      <x:c r="P1225" s="14" t="str">
        <x:v>1472_</x:v>
      </x:c>
      <x:c r="Q1225" s="14" t="str">
        <x:v>https://mb1advancedsolutions.github.io/mb1-catalog/index.html?design=1472</x:v>
      </x:c>
      <x:c r="R1225" s="14" t="str"/>
    </x:row>
    <x:row r="1226">
      <x:c r="A1226" s="13" t="str">
        <x:v>MB1-1473</x:v>
      </x:c>
      <x:c r="B1226" s="13" t="str">
        <x:v>MB1-1473</x:v>
      </x:c>
      <x:c r="C1226" s="14" t="str">
        <x:v>hello summer pinapple</x:v>
      </x:c>
      <x:c r="D1226" s="14" t="str">
        <x:v>home decor and inspirational</x:v>
      </x:c>
      <x:c r="E1226" s="14" t="str">
        <x:v>https://res.cloudinary.com/oxygre42/image/upload/f_auto,q_auto,c_pad,b_white,w_1200,h_1200/v1788351285/1473_hello_summer_pinapple.png</x:v>
      </x:c>
      <x:c r="F1226" s="14" t="str"/>
      <x:c r="G1226" s="14" t="str">
        <x:v>Lifestyle</x:v>
      </x:c>
      <x:c r="H1226" s="14" t="str"/>
      <x:c r="I1226" s="14" t="str">
        <x:v>Detail</x:v>
      </x:c>
      <x:c r="J1226" s="14" t="str"/>
      <x:c r="K1226" s="14" t="str">
        <x:v>Scale</x:v>
      </x:c>
      <x:c r="L1226" s="14" t="str"/>
      <x:c r="M1226" s="14" t="str">
        <x:v>Alternate</x:v>
      </x:c>
      <x:c r="N1226" s="14" t="n">
        <x:f>IF(E1226&lt;&gt;"",1,0)+IF(F1226&lt;&gt;"",1,0)+IF(H1226&lt;&gt;"",1,0)+IF(J1226&lt;&gt;"",1,0)+IF(L1226&lt;&gt;"",1,0)</x:f>
        <x:v>1</x:v>
      </x:c>
      <x:c r="O1226" s="14" t="str">
        <x:f>IF(E1226="","MISSING MAIN",IF(N1226=1,"MAIN ONLY","MULTI-PHOTO"))</x:f>
        <x:v>MAIN ONLY</x:v>
      </x:c>
      <x:c r="P1226" s="14" t="str">
        <x:v>1473_</x:v>
      </x:c>
      <x:c r="Q1226" s="14" t="str">
        <x:v>https://mb1advancedsolutions.github.io/mb1-catalog/index.html?design=1473</x:v>
      </x:c>
      <x:c r="R1226" s="14" t="str"/>
    </x:row>
    <x:row r="1227">
      <x:c r="A1227" s="13" t="str">
        <x:v>MB1-1474</x:v>
      </x:c>
      <x:c r="B1227" s="13" t="str">
        <x:v>MB1-1474</x:v>
      </x:c>
      <x:c r="C1227" s="14" t="str">
        <x:v>palm trees sunset scene</x:v>
      </x:c>
      <x:c r="D1227" s="14" t="str">
        <x:v>beach and coastal</x:v>
      </x:c>
      <x:c r="E1227" s="14" t="str">
        <x:v>https://res.cloudinary.com/oxygre42/image/upload/f_auto,q_auto,c_pad,b_white,w_1200,h_1200/v1788351287/1474_palm_trees_sunset_scene.png</x:v>
      </x:c>
      <x:c r="F1227" s="14" t="str"/>
      <x:c r="G1227" s="14" t="str">
        <x:v>Lifestyle</x:v>
      </x:c>
      <x:c r="H1227" s="14" t="str"/>
      <x:c r="I1227" s="14" t="str">
        <x:v>Detail</x:v>
      </x:c>
      <x:c r="J1227" s="14" t="str"/>
      <x:c r="K1227" s="14" t="str">
        <x:v>Scale</x:v>
      </x:c>
      <x:c r="L1227" s="14" t="str"/>
      <x:c r="M1227" s="14" t="str">
        <x:v>Alternate</x:v>
      </x:c>
      <x:c r="N1227" s="14" t="n">
        <x:f>IF(E1227&lt;&gt;"",1,0)+IF(F1227&lt;&gt;"",1,0)+IF(H1227&lt;&gt;"",1,0)+IF(J1227&lt;&gt;"",1,0)+IF(L1227&lt;&gt;"",1,0)</x:f>
        <x:v>1</x:v>
      </x:c>
      <x:c r="O1227" s="14" t="str">
        <x:f>IF(E1227="","MISSING MAIN",IF(N1227=1,"MAIN ONLY","MULTI-PHOTO"))</x:f>
        <x:v>MAIN ONLY</x:v>
      </x:c>
      <x:c r="P1227" s="14" t="str">
        <x:v>1474_</x:v>
      </x:c>
      <x:c r="Q1227" s="14" t="str">
        <x:v>https://mb1advancedsolutions.github.io/mb1-catalog/index.html?design=1474</x:v>
      </x:c>
      <x:c r="R1227" s="14" t="str"/>
    </x:row>
    <x:row r="1228">
      <x:c r="A1228" s="13" t="str">
        <x:v>MB1-1475</x:v>
      </x:c>
      <x:c r="B1228" s="13" t="str">
        <x:v>MB1-1475</x:v>
      </x:c>
      <x:c r="C1228" s="14" t="str">
        <x:v>palms beach monogram</x:v>
      </x:c>
      <x:c r="D1228" s="14" t="str">
        <x:v>beach and coastal</x:v>
      </x:c>
      <x:c r="E1228" s="14" t="str">
        <x:v>https://res.cloudinary.com/oxygre42/image/upload/f_auto,q_auto,c_pad,b_white,w_1200,h_1200/v1788351289/1475_palms_beach_monogram.png</x:v>
      </x:c>
      <x:c r="F1228" s="14" t="str"/>
      <x:c r="G1228" s="14" t="str">
        <x:v>Lifestyle</x:v>
      </x:c>
      <x:c r="H1228" s="14" t="str"/>
      <x:c r="I1228" s="14" t="str">
        <x:v>Detail</x:v>
      </x:c>
      <x:c r="J1228" s="14" t="str"/>
      <x:c r="K1228" s="14" t="str">
        <x:v>Scale</x:v>
      </x:c>
      <x:c r="L1228" s="14" t="str"/>
      <x:c r="M1228" s="14" t="str">
        <x:v>Alternate</x:v>
      </x:c>
      <x:c r="N1228" s="14" t="n">
        <x:f>IF(E1228&lt;&gt;"",1,0)+IF(F1228&lt;&gt;"",1,0)+IF(H1228&lt;&gt;"",1,0)+IF(J1228&lt;&gt;"",1,0)+IF(L1228&lt;&gt;"",1,0)</x:f>
        <x:v>1</x:v>
      </x:c>
      <x:c r="O1228" s="14" t="str">
        <x:f>IF(E1228="","MISSING MAIN",IF(N1228=1,"MAIN ONLY","MULTI-PHOTO"))</x:f>
        <x:v>MAIN ONLY</x:v>
      </x:c>
      <x:c r="P1228" s="14" t="str">
        <x:v>1475_</x:v>
      </x:c>
      <x:c r="Q1228" s="14" t="str">
        <x:v>https://mb1advancedsolutions.github.io/mb1-catalog/index.html?design=1475</x:v>
      </x:c>
      <x:c r="R1228" s="14" t="str"/>
    </x:row>
    <x:row r="1229">
      <x:c r="A1229" s="13" t="str">
        <x:v>MB1-1476</x:v>
      </x:c>
      <x:c r="B1229" s="13" t="str">
        <x:v>MB1-1476</x:v>
      </x:c>
      <x:c r="C1229" s="14" t="str">
        <x:v>surf palm tree monogram</x:v>
      </x:c>
      <x:c r="D1229" s="14" t="str">
        <x:v>beach and coastal</x:v>
      </x:c>
      <x:c r="E1229" s="14" t="str">
        <x:v>https://res.cloudinary.com/oxygre42/image/upload/f_auto,q_auto,c_pad,b_white,w_1200,h_1200/v1788351290/1476_surf_palm_tree_monogram.png</x:v>
      </x:c>
      <x:c r="F1229" s="14" t="str"/>
      <x:c r="G1229" s="14" t="str">
        <x:v>Lifestyle</x:v>
      </x:c>
      <x:c r="H1229" s="14" t="str"/>
      <x:c r="I1229" s="14" t="str">
        <x:v>Detail</x:v>
      </x:c>
      <x:c r="J1229" s="14" t="str"/>
      <x:c r="K1229" s="14" t="str">
        <x:v>Scale</x:v>
      </x:c>
      <x:c r="L1229" s="14" t="str"/>
      <x:c r="M1229" s="14" t="str">
        <x:v>Alternate</x:v>
      </x:c>
      <x:c r="N1229" s="14" t="n">
        <x:f>IF(E1229&lt;&gt;"",1,0)+IF(F1229&lt;&gt;"",1,0)+IF(H1229&lt;&gt;"",1,0)+IF(J1229&lt;&gt;"",1,0)+IF(L1229&lt;&gt;"",1,0)</x:f>
        <x:v>1</x:v>
      </x:c>
      <x:c r="O1229" s="14" t="str">
        <x:f>IF(E1229="","MISSING MAIN",IF(N1229=1,"MAIN ONLY","MULTI-PHOTO"))</x:f>
        <x:v>MAIN ONLY</x:v>
      </x:c>
      <x:c r="P1229" s="14" t="str">
        <x:v>1476_</x:v>
      </x:c>
      <x:c r="Q1229" s="14" t="str">
        <x:v>https://mb1advancedsolutions.github.io/mb1-catalog/index.html?design=1476</x:v>
      </x:c>
      <x:c r="R1229" s="14" t="str"/>
    </x:row>
    <x:row r="1230">
      <x:c r="A1230" s="13" t="str">
        <x:v>MB1-1477</x:v>
      </x:c>
      <x:c r="B1230" s="13" t="str">
        <x:v>MB1-1477</x:v>
      </x:c>
      <x:c r="C1230" s="14" t="str">
        <x:v>thailand palm trees</x:v>
      </x:c>
      <x:c r="D1230" s="14" t="str">
        <x:v>beach and coastal</x:v>
      </x:c>
      <x:c r="E1230" s="14" t="str">
        <x:v>https://res.cloudinary.com/oxygre42/image/upload/f_auto,q_auto,c_pad,b_white,w_1200,h_1200/v1788351292/1477_thailand_palm_trees.png</x:v>
      </x:c>
      <x:c r="F1230" s="14" t="str"/>
      <x:c r="G1230" s="14" t="str">
        <x:v>Lifestyle</x:v>
      </x:c>
      <x:c r="H1230" s="14" t="str"/>
      <x:c r="I1230" s="14" t="str">
        <x:v>Detail</x:v>
      </x:c>
      <x:c r="J1230" s="14" t="str"/>
      <x:c r="K1230" s="14" t="str">
        <x:v>Scale</x:v>
      </x:c>
      <x:c r="L1230" s="14" t="str"/>
      <x:c r="M1230" s="14" t="str">
        <x:v>Alternate</x:v>
      </x:c>
      <x:c r="N1230" s="14" t="n">
        <x:f>IF(E1230&lt;&gt;"",1,0)+IF(F1230&lt;&gt;"",1,0)+IF(H1230&lt;&gt;"",1,0)+IF(J1230&lt;&gt;"",1,0)+IF(L1230&lt;&gt;"",1,0)</x:f>
        <x:v>1</x:v>
      </x:c>
      <x:c r="O1230" s="14" t="str">
        <x:f>IF(E1230="","MISSING MAIN",IF(N1230=1,"MAIN ONLY","MULTI-PHOTO"))</x:f>
        <x:v>MAIN ONLY</x:v>
      </x:c>
      <x:c r="P1230" s="14" t="str">
        <x:v>1477_</x:v>
      </x:c>
      <x:c r="Q1230" s="14" t="str">
        <x:v>https://mb1advancedsolutions.github.io/mb1-catalog/index.html?design=1477</x:v>
      </x:c>
      <x:c r="R1230" s="14" t="str"/>
    </x:row>
    <x:row r="1231">
      <x:c r="A1231" s="13" t="str">
        <x:v>MB1-1478</x:v>
      </x:c>
      <x:c r="B1231" s="13" t="str">
        <x:v>MB1-1478</x:v>
      </x:c>
      <x:c r="C1231" s="14" t="str">
        <x:v>welcome dolphines</x:v>
      </x:c>
      <x:c r="D1231" s="14" t="str">
        <x:v>home decor and inspirational</x:v>
      </x:c>
      <x:c r="E1231" s="14" t="str">
        <x:v>https://res.cloudinary.com/oxygre42/image/upload/f_auto,q_auto,c_pad,b_white,w_1200,h_1200/v1788351294/1478_welcome_dolphines.png</x:v>
      </x:c>
      <x:c r="F1231" s="14" t="str"/>
      <x:c r="G1231" s="14" t="str">
        <x:v>Lifestyle</x:v>
      </x:c>
      <x:c r="H1231" s="14" t="str"/>
      <x:c r="I1231" s="14" t="str">
        <x:v>Detail</x:v>
      </x:c>
      <x:c r="J1231" s="14" t="str"/>
      <x:c r="K1231" s="14" t="str">
        <x:v>Scale</x:v>
      </x:c>
      <x:c r="L1231" s="14" t="str"/>
      <x:c r="M1231" s="14" t="str">
        <x:v>Alternate</x:v>
      </x:c>
      <x:c r="N1231" s="14" t="n">
        <x:f>IF(E1231&lt;&gt;"",1,0)+IF(F1231&lt;&gt;"",1,0)+IF(H1231&lt;&gt;"",1,0)+IF(J1231&lt;&gt;"",1,0)+IF(L1231&lt;&gt;"",1,0)</x:f>
        <x:v>1</x:v>
      </x:c>
      <x:c r="O1231" s="14" t="str">
        <x:f>IF(E1231="","MISSING MAIN",IF(N1231=1,"MAIN ONLY","MULTI-PHOTO"))</x:f>
        <x:v>MAIN ONLY</x:v>
      </x:c>
      <x:c r="P1231" s="14" t="str">
        <x:v>1478_</x:v>
      </x:c>
      <x:c r="Q1231" s="14" t="str">
        <x:v>https://mb1advancedsolutions.github.io/mb1-catalog/index.html?design=1478</x:v>
      </x:c>
      <x:c r="R1231" s="14" t="str"/>
    </x:row>
    <x:row r="1232">
      <x:c r="A1232" s="13" t="str">
        <x:v>MB1-1479</x:v>
      </x:c>
      <x:c r="B1232" s="13" t="str">
        <x:v>MB1-1479</x:v>
      </x:c>
      <x:c r="C1232" s="14" t="str">
        <x:v>welcome palm trees </x:v>
      </x:c>
      <x:c r="D1232" s="14" t="str">
        <x:v>beach and coastal</x:v>
      </x:c>
      <x:c r="E1232" s="14" t="str">
        <x:v>https://res.cloudinary.com/oxygre42/image/upload/f_auto,q_auto,c_pad,b_white,w_1200,h_1200/v1788351296/1479_welcome_palm_trees.png</x:v>
      </x:c>
      <x:c r="F1232" s="14" t="str"/>
      <x:c r="G1232" s="14" t="str">
        <x:v>Lifestyle</x:v>
      </x:c>
      <x:c r="H1232" s="14" t="str"/>
      <x:c r="I1232" s="14" t="str">
        <x:v>Detail</x:v>
      </x:c>
      <x:c r="J1232" s="14" t="str"/>
      <x:c r="K1232" s="14" t="str">
        <x:v>Scale</x:v>
      </x:c>
      <x:c r="L1232" s="14" t="str"/>
      <x:c r="M1232" s="14" t="str">
        <x:v>Alternate</x:v>
      </x:c>
      <x:c r="N1232" s="14" t="n">
        <x:f>IF(E1232&lt;&gt;"",1,0)+IF(F1232&lt;&gt;"",1,0)+IF(H1232&lt;&gt;"",1,0)+IF(J1232&lt;&gt;"",1,0)+IF(L1232&lt;&gt;"",1,0)</x:f>
        <x:v>1</x:v>
      </x:c>
      <x:c r="O1232" s="14" t="str">
        <x:f>IF(E1232="","MISSING MAIN",IF(N1232=1,"MAIN ONLY","MULTI-PHOTO"))</x:f>
        <x:v>MAIN ONLY</x:v>
      </x:c>
      <x:c r="P1232" s="14" t="str">
        <x:v>1479_</x:v>
      </x:c>
      <x:c r="Q1232" s="14" t="str">
        <x:v>https://mb1advancedsolutions.github.io/mb1-catalog/index.html?design=1479</x:v>
      </x:c>
      <x:c r="R1232" s="14" t="str"/>
    </x:row>
    <x:row r="1233">
      <x:c r="A1233" s="13" t="str">
        <x:v>MB1-1480</x:v>
      </x:c>
      <x:c r="B1233" s="13" t="str">
        <x:v>MB1-1480</x:v>
      </x:c>
      <x:c r="C1233" s="14" t="str">
        <x:v>welcome surfer</x:v>
      </x:c>
      <x:c r="D1233" s="14" t="str">
        <x:v>beach and coastal</x:v>
      </x:c>
      <x:c r="E1233" s="14" t="str">
        <x:v>https://res.cloudinary.com/oxygre42/image/upload/f_auto,q_auto,c_pad,b_white,w_1200,h_1200/v1788351298/1480_welcome_surfer.png</x:v>
      </x:c>
      <x:c r="F1233" s="14" t="str"/>
      <x:c r="G1233" s="14" t="str">
        <x:v>Lifestyle</x:v>
      </x:c>
      <x:c r="H1233" s="14" t="str"/>
      <x:c r="I1233" s="14" t="str">
        <x:v>Detail</x:v>
      </x:c>
      <x:c r="J1233" s="14" t="str"/>
      <x:c r="K1233" s="14" t="str">
        <x:v>Scale</x:v>
      </x:c>
      <x:c r="L1233" s="14" t="str"/>
      <x:c r="M1233" s="14" t="str">
        <x:v>Alternate</x:v>
      </x:c>
      <x:c r="N1233" s="14" t="n">
        <x:f>IF(E1233&lt;&gt;"",1,0)+IF(F1233&lt;&gt;"",1,0)+IF(H1233&lt;&gt;"",1,0)+IF(J1233&lt;&gt;"",1,0)+IF(L1233&lt;&gt;"",1,0)</x:f>
        <x:v>1</x:v>
      </x:c>
      <x:c r="O1233" s="14" t="str">
        <x:f>IF(E1233="","MISSING MAIN",IF(N1233=1,"MAIN ONLY","MULTI-PHOTO"))</x:f>
        <x:v>MAIN ONLY</x:v>
      </x:c>
      <x:c r="P1233" s="14" t="str">
        <x:v>1480_</x:v>
      </x:c>
      <x:c r="Q1233" s="14" t="str">
        <x:v>https://mb1advancedsolutions.github.io/mb1-catalog/index.html?design=1480</x:v>
      </x:c>
      <x:c r="R1233" s="14" t="str"/>
    </x:row>
    <x:row r="1234">
      <x:c r="A1234" s="13" t="str">
        <x:v>MB1-1481</x:v>
      </x:c>
      <x:c r="B1234" s="13" t="str">
        <x:v>MB1-1481</x:v>
      </x:c>
      <x:c r="C1234" s="14" t="str">
        <x:v>welcome to our home</x:v>
      </x:c>
      <x:c r="D1234" s="14" t="str">
        <x:v>home decor and inspirational</x:v>
      </x:c>
      <x:c r="E1234" s="14" t="str">
        <x:v>https://res.cloudinary.com/oxygre42/image/upload/f_auto,q_auto,c_pad,b_white,w_1200,h_1200/v1788351300/1481_welcome_to_our_home.png</x:v>
      </x:c>
      <x:c r="F1234" s="14" t="str"/>
      <x:c r="G1234" s="14" t="str">
        <x:v>Lifestyle</x:v>
      </x:c>
      <x:c r="H1234" s="14" t="str"/>
      <x:c r="I1234" s="14" t="str">
        <x:v>Detail</x:v>
      </x:c>
      <x:c r="J1234" s="14" t="str"/>
      <x:c r="K1234" s="14" t="str">
        <x:v>Scale</x:v>
      </x:c>
      <x:c r="L1234" s="14" t="str"/>
      <x:c r="M1234" s="14" t="str">
        <x:v>Alternate</x:v>
      </x:c>
      <x:c r="N1234" s="14" t="n">
        <x:f>IF(E1234&lt;&gt;"",1,0)+IF(F1234&lt;&gt;"",1,0)+IF(H1234&lt;&gt;"",1,0)+IF(J1234&lt;&gt;"",1,0)+IF(L1234&lt;&gt;"",1,0)</x:f>
        <x:v>1</x:v>
      </x:c>
      <x:c r="O1234" s="14" t="str">
        <x:f>IF(E1234="","MISSING MAIN",IF(N1234=1,"MAIN ONLY","MULTI-PHOTO"))</x:f>
        <x:v>MAIN ONLY</x:v>
      </x:c>
      <x:c r="P1234" s="14" t="str">
        <x:v>1481_</x:v>
      </x:c>
      <x:c r="Q1234" s="14" t="str">
        <x:v>https://mb1advancedsolutions.github.io/mb1-catalog/index.html?design=1481</x:v>
      </x:c>
      <x:c r="R1234" s="14" t="str"/>
    </x:row>
    <x:row r="1235">
      <x:c r="A1235" s="13" t="str">
        <x:v>MB1-1482</x:v>
      </x:c>
      <x:c r="B1235" s="13" t="str">
        <x:v>MB1-1482</x:v>
      </x:c>
      <x:c r="C1235" s="14" t="str">
        <x:v>sunflower 1 </x:v>
      </x:c>
      <x:c r="D1235" s="14" t="str">
        <x:v>home decor and inspirational</x:v>
      </x:c>
      <x:c r="E1235" s="14" t="str">
        <x:v>https://res.cloudinary.com/oxygre42/image/upload/f_auto,q_auto,c_pad,b_white,w_1200,h_1200/v1788351302/1482_sunflower_1.png</x:v>
      </x:c>
      <x:c r="F1235" s="14" t="str"/>
      <x:c r="G1235" s="14" t="str">
        <x:v>Lifestyle</x:v>
      </x:c>
      <x:c r="H1235" s="14" t="str"/>
      <x:c r="I1235" s="14" t="str">
        <x:v>Detail</x:v>
      </x:c>
      <x:c r="J1235" s="14" t="str"/>
      <x:c r="K1235" s="14" t="str">
        <x:v>Scale</x:v>
      </x:c>
      <x:c r="L1235" s="14" t="str"/>
      <x:c r="M1235" s="14" t="str">
        <x:v>Alternate</x:v>
      </x:c>
      <x:c r="N1235" s="14" t="n">
        <x:f>IF(E1235&lt;&gt;"",1,0)+IF(F1235&lt;&gt;"",1,0)+IF(H1235&lt;&gt;"",1,0)+IF(J1235&lt;&gt;"",1,0)+IF(L1235&lt;&gt;"",1,0)</x:f>
        <x:v>1</x:v>
      </x:c>
      <x:c r="O1235" s="14" t="str">
        <x:f>IF(E1235="","MISSING MAIN",IF(N1235=1,"MAIN ONLY","MULTI-PHOTO"))</x:f>
        <x:v>MAIN ONLY</x:v>
      </x:c>
      <x:c r="P1235" s="14" t="str">
        <x:v>1482_</x:v>
      </x:c>
      <x:c r="Q1235" s="14" t="str">
        <x:v>https://mb1advancedsolutions.github.io/mb1-catalog/index.html?design=1482</x:v>
      </x:c>
      <x:c r="R1235" s="14" t="str"/>
    </x:row>
    <x:row r="1236">
      <x:c r="A1236" s="13" t="str">
        <x:v>MB1-1483</x:v>
      </x:c>
      <x:c r="B1236" s="13" t="str">
        <x:v>MB1-1483</x:v>
      </x:c>
      <x:c r="C1236" s="14" t="str">
        <x:v>sunflower 10</x:v>
      </x:c>
      <x:c r="D1236" s="14" t="str">
        <x:v>home decor and inspirational</x:v>
      </x:c>
      <x:c r="E1236" s="14" t="str">
        <x:v>https://res.cloudinary.com/oxygre42/image/upload/f_auto,q_auto,c_pad,b_white,w_1200,h_1200/v1788351304/1483_sunflower_10.png</x:v>
      </x:c>
      <x:c r="F1236" s="14" t="str"/>
      <x:c r="G1236" s="14" t="str">
        <x:v>Lifestyle</x:v>
      </x:c>
      <x:c r="H1236" s="14" t="str"/>
      <x:c r="I1236" s="14" t="str">
        <x:v>Detail</x:v>
      </x:c>
      <x:c r="J1236" s="14" t="str"/>
      <x:c r="K1236" s="14" t="str">
        <x:v>Scale</x:v>
      </x:c>
      <x:c r="L1236" s="14" t="str"/>
      <x:c r="M1236" s="14" t="str">
        <x:v>Alternate</x:v>
      </x:c>
      <x:c r="N1236" s="14" t="n">
        <x:f>IF(E1236&lt;&gt;"",1,0)+IF(F1236&lt;&gt;"",1,0)+IF(H1236&lt;&gt;"",1,0)+IF(J1236&lt;&gt;"",1,0)+IF(L1236&lt;&gt;"",1,0)</x:f>
        <x:v>1</x:v>
      </x:c>
      <x:c r="O1236" s="14" t="str">
        <x:f>IF(E1236="","MISSING MAIN",IF(N1236=1,"MAIN ONLY","MULTI-PHOTO"))</x:f>
        <x:v>MAIN ONLY</x:v>
      </x:c>
      <x:c r="P1236" s="14" t="str">
        <x:v>1483_</x:v>
      </x:c>
      <x:c r="Q1236" s="14" t="str">
        <x:v>https://mb1advancedsolutions.github.io/mb1-catalog/index.html?design=1483</x:v>
      </x:c>
      <x:c r="R1236" s="14" t="str"/>
    </x:row>
    <x:row r="1237">
      <x:c r="A1237" s="13" t="str">
        <x:v>MB1-1484</x:v>
      </x:c>
      <x:c r="B1237" s="13" t="str">
        <x:v>MB1-1484</x:v>
      </x:c>
      <x:c r="C1237" s="14" t="str">
        <x:v>sunflower 11</x:v>
      </x:c>
      <x:c r="D1237" s="14" t="str">
        <x:v>home decor and inspirational</x:v>
      </x:c>
      <x:c r="E1237" s="14" t="str">
        <x:v>https://res.cloudinary.com/oxygre42/image/upload/f_auto,q_auto,c_pad,b_white,w_1200,h_1200/v1788351306/1484_sunflower_11.png</x:v>
      </x:c>
      <x:c r="F1237" s="14" t="str"/>
      <x:c r="G1237" s="14" t="str">
        <x:v>Lifestyle</x:v>
      </x:c>
      <x:c r="H1237" s="14" t="str"/>
      <x:c r="I1237" s="14" t="str">
        <x:v>Detail</x:v>
      </x:c>
      <x:c r="J1237" s="14" t="str"/>
      <x:c r="K1237" s="14" t="str">
        <x:v>Scale</x:v>
      </x:c>
      <x:c r="L1237" s="14" t="str"/>
      <x:c r="M1237" s="14" t="str">
        <x:v>Alternate</x:v>
      </x:c>
      <x:c r="N1237" s="14" t="n">
        <x:f>IF(E1237&lt;&gt;"",1,0)+IF(F1237&lt;&gt;"",1,0)+IF(H1237&lt;&gt;"",1,0)+IF(J1237&lt;&gt;"",1,0)+IF(L1237&lt;&gt;"",1,0)</x:f>
        <x:v>1</x:v>
      </x:c>
      <x:c r="O1237" s="14" t="str">
        <x:f>IF(E1237="","MISSING MAIN",IF(N1237=1,"MAIN ONLY","MULTI-PHOTO"))</x:f>
        <x:v>MAIN ONLY</x:v>
      </x:c>
      <x:c r="P1237" s="14" t="str">
        <x:v>1484_</x:v>
      </x:c>
      <x:c r="Q1237" s="14" t="str">
        <x:v>https://mb1advancedsolutions.github.io/mb1-catalog/index.html?design=1484</x:v>
      </x:c>
      <x:c r="R1237" s="14" t="str"/>
    </x:row>
    <x:row r="1238">
      <x:c r="A1238" s="13" t="str">
        <x:v>MB1-1485</x:v>
      </x:c>
      <x:c r="B1238" s="13" t="str">
        <x:v>MB1-1485</x:v>
      </x:c>
      <x:c r="C1238" s="14" t="str">
        <x:v>sunflower 2</x:v>
      </x:c>
      <x:c r="D1238" s="14" t="str">
        <x:v>home decor and inspirational</x:v>
      </x:c>
      <x:c r="E1238" s="14" t="str">
        <x:v>https://res.cloudinary.com/oxygre42/image/upload/f_auto,q_auto,c_pad,b_white,w_1200,h_1200/v1788351308/1485_sunflower_2.png</x:v>
      </x:c>
      <x:c r="F1238" s="14" t="str"/>
      <x:c r="G1238" s="14" t="str">
        <x:v>Lifestyle</x:v>
      </x:c>
      <x:c r="H1238" s="14" t="str"/>
      <x:c r="I1238" s="14" t="str">
        <x:v>Detail</x:v>
      </x:c>
      <x:c r="J1238" s="14" t="str"/>
      <x:c r="K1238" s="14" t="str">
        <x:v>Scale</x:v>
      </x:c>
      <x:c r="L1238" s="14" t="str"/>
      <x:c r="M1238" s="14" t="str">
        <x:v>Alternate</x:v>
      </x:c>
      <x:c r="N1238" s="14" t="n">
        <x:f>IF(E1238&lt;&gt;"",1,0)+IF(F1238&lt;&gt;"",1,0)+IF(H1238&lt;&gt;"",1,0)+IF(J1238&lt;&gt;"",1,0)+IF(L1238&lt;&gt;"",1,0)</x:f>
        <x:v>1</x:v>
      </x:c>
      <x:c r="O1238" s="14" t="str">
        <x:f>IF(E1238="","MISSING MAIN",IF(N1238=1,"MAIN ONLY","MULTI-PHOTO"))</x:f>
        <x:v>MAIN ONLY</x:v>
      </x:c>
      <x:c r="P1238" s="14" t="str">
        <x:v>1485_</x:v>
      </x:c>
      <x:c r="Q1238" s="14" t="str">
        <x:v>https://mb1advancedsolutions.github.io/mb1-catalog/index.html?design=1485</x:v>
      </x:c>
      <x:c r="R1238" s="14" t="str"/>
    </x:row>
    <x:row r="1239">
      <x:c r="A1239" s="13" t="str">
        <x:v>MB1-1486</x:v>
      </x:c>
      <x:c r="B1239" s="13" t="str">
        <x:v>MB1-1486</x:v>
      </x:c>
      <x:c r="C1239" s="14" t="str">
        <x:v>sunflower 3</x:v>
      </x:c>
      <x:c r="D1239" s="14" t="str">
        <x:v>home decor and inspirational</x:v>
      </x:c>
      <x:c r="E1239" s="14" t="str">
        <x:v>https://res.cloudinary.com/oxygre42/image/upload/f_auto,q_auto,c_pad,b_white,w_1200,h_1200/v1788351309/1486_sunflower_3.png</x:v>
      </x:c>
      <x:c r="F1239" s="14" t="str"/>
      <x:c r="G1239" s="14" t="str">
        <x:v>Lifestyle</x:v>
      </x:c>
      <x:c r="H1239" s="14" t="str"/>
      <x:c r="I1239" s="14" t="str">
        <x:v>Detail</x:v>
      </x:c>
      <x:c r="J1239" s="14" t="str"/>
      <x:c r="K1239" s="14" t="str">
        <x:v>Scale</x:v>
      </x:c>
      <x:c r="L1239" s="14" t="str"/>
      <x:c r="M1239" s="14" t="str">
        <x:v>Alternate</x:v>
      </x:c>
      <x:c r="N1239" s="14" t="n">
        <x:f>IF(E1239&lt;&gt;"",1,0)+IF(F1239&lt;&gt;"",1,0)+IF(H1239&lt;&gt;"",1,0)+IF(J1239&lt;&gt;"",1,0)+IF(L1239&lt;&gt;"",1,0)</x:f>
        <x:v>1</x:v>
      </x:c>
      <x:c r="O1239" s="14" t="str">
        <x:f>IF(E1239="","MISSING MAIN",IF(N1239=1,"MAIN ONLY","MULTI-PHOTO"))</x:f>
        <x:v>MAIN ONLY</x:v>
      </x:c>
      <x:c r="P1239" s="14" t="str">
        <x:v>1486_</x:v>
      </x:c>
      <x:c r="Q1239" s="14" t="str">
        <x:v>https://mb1advancedsolutions.github.io/mb1-catalog/index.html?design=1486</x:v>
      </x:c>
      <x:c r="R1239" s="14" t="str"/>
    </x:row>
    <x:row r="1240">
      <x:c r="A1240" s="13" t="str">
        <x:v>MB1-1487</x:v>
      </x:c>
      <x:c r="B1240" s="13" t="str">
        <x:v>MB1-1487</x:v>
      </x:c>
      <x:c r="C1240" s="14" t="str">
        <x:v>sunflower 4</x:v>
      </x:c>
      <x:c r="D1240" s="14" t="str">
        <x:v>home decor and inspirational</x:v>
      </x:c>
      <x:c r="E1240" s="14" t="str">
        <x:v>https://res.cloudinary.com/oxygre42/image/upload/f_auto,q_auto,c_pad,b_white,w_1200,h_1200/v1788351311/1487_sunflower_4.png</x:v>
      </x:c>
      <x:c r="F1240" s="14" t="str"/>
      <x:c r="G1240" s="14" t="str">
        <x:v>Lifestyle</x:v>
      </x:c>
      <x:c r="H1240" s="14" t="str"/>
      <x:c r="I1240" s="14" t="str">
        <x:v>Detail</x:v>
      </x:c>
      <x:c r="J1240" s="14" t="str"/>
      <x:c r="K1240" s="14" t="str">
        <x:v>Scale</x:v>
      </x:c>
      <x:c r="L1240" s="14" t="str"/>
      <x:c r="M1240" s="14" t="str">
        <x:v>Alternate</x:v>
      </x:c>
      <x:c r="N1240" s="14" t="n">
        <x:f>IF(E1240&lt;&gt;"",1,0)+IF(F1240&lt;&gt;"",1,0)+IF(H1240&lt;&gt;"",1,0)+IF(J1240&lt;&gt;"",1,0)+IF(L1240&lt;&gt;"",1,0)</x:f>
        <x:v>1</x:v>
      </x:c>
      <x:c r="O1240" s="14" t="str">
        <x:f>IF(E1240="","MISSING MAIN",IF(N1240=1,"MAIN ONLY","MULTI-PHOTO"))</x:f>
        <x:v>MAIN ONLY</x:v>
      </x:c>
      <x:c r="P1240" s="14" t="str">
        <x:v>1487_</x:v>
      </x:c>
      <x:c r="Q1240" s="14" t="str">
        <x:v>https://mb1advancedsolutions.github.io/mb1-catalog/index.html?design=1487</x:v>
      </x:c>
      <x:c r="R1240" s="14" t="str"/>
    </x:row>
    <x:row r="1241">
      <x:c r="A1241" s="13" t="str">
        <x:v>MB1-1488</x:v>
      </x:c>
      <x:c r="B1241" s="13" t="str">
        <x:v>MB1-1488</x:v>
      </x:c>
      <x:c r="C1241" s="14" t="str">
        <x:v>sunflower 5</x:v>
      </x:c>
      <x:c r="D1241" s="14" t="str">
        <x:v>home decor and inspirational</x:v>
      </x:c>
      <x:c r="E1241" s="14" t="str">
        <x:v>https://res.cloudinary.com/oxygre42/image/upload/f_auto,q_auto,c_pad,b_white,w_1200,h_1200/v1788351313/1488_sunflower_5.png</x:v>
      </x:c>
      <x:c r="F1241" s="14" t="str"/>
      <x:c r="G1241" s="14" t="str">
        <x:v>Lifestyle</x:v>
      </x:c>
      <x:c r="H1241" s="14" t="str"/>
      <x:c r="I1241" s="14" t="str">
        <x:v>Detail</x:v>
      </x:c>
      <x:c r="J1241" s="14" t="str"/>
      <x:c r="K1241" s="14" t="str">
        <x:v>Scale</x:v>
      </x:c>
      <x:c r="L1241" s="14" t="str"/>
      <x:c r="M1241" s="14" t="str">
        <x:v>Alternate</x:v>
      </x:c>
      <x:c r="N1241" s="14" t="n">
        <x:f>IF(E1241&lt;&gt;"",1,0)+IF(F1241&lt;&gt;"",1,0)+IF(H1241&lt;&gt;"",1,0)+IF(J1241&lt;&gt;"",1,0)+IF(L1241&lt;&gt;"",1,0)</x:f>
        <x:v>1</x:v>
      </x:c>
      <x:c r="O1241" s="14" t="str">
        <x:f>IF(E1241="","MISSING MAIN",IF(N1241=1,"MAIN ONLY","MULTI-PHOTO"))</x:f>
        <x:v>MAIN ONLY</x:v>
      </x:c>
      <x:c r="P1241" s="14" t="str">
        <x:v>1488_</x:v>
      </x:c>
      <x:c r="Q1241" s="14" t="str">
        <x:v>https://mb1advancedsolutions.github.io/mb1-catalog/index.html?design=1488</x:v>
      </x:c>
      <x:c r="R1241" s="14" t="str"/>
    </x:row>
    <x:row r="1242">
      <x:c r="A1242" s="13" t="str">
        <x:v>MB1-1489</x:v>
      </x:c>
      <x:c r="B1242" s="13" t="str">
        <x:v>MB1-1489</x:v>
      </x:c>
      <x:c r="C1242" s="14" t="str">
        <x:v>sunflower 6</x:v>
      </x:c>
      <x:c r="D1242" s="14" t="str">
        <x:v>home decor and inspirational</x:v>
      </x:c>
      <x:c r="E1242" s="14" t="str">
        <x:v>https://res.cloudinary.com/oxygre42/image/upload/f_auto,q_auto,c_pad,b_white,w_1200,h_1200/v1788351315/1489_sunflower_6.png</x:v>
      </x:c>
      <x:c r="F1242" s="14" t="str"/>
      <x:c r="G1242" s="14" t="str">
        <x:v>Lifestyle</x:v>
      </x:c>
      <x:c r="H1242" s="14" t="str"/>
      <x:c r="I1242" s="14" t="str">
        <x:v>Detail</x:v>
      </x:c>
      <x:c r="J1242" s="14" t="str"/>
      <x:c r="K1242" s="14" t="str">
        <x:v>Scale</x:v>
      </x:c>
      <x:c r="L1242" s="14" t="str"/>
      <x:c r="M1242" s="14" t="str">
        <x:v>Alternate</x:v>
      </x:c>
      <x:c r="N1242" s="14" t="n">
        <x:f>IF(E1242&lt;&gt;"",1,0)+IF(F1242&lt;&gt;"",1,0)+IF(H1242&lt;&gt;"",1,0)+IF(J1242&lt;&gt;"",1,0)+IF(L1242&lt;&gt;"",1,0)</x:f>
        <x:v>1</x:v>
      </x:c>
      <x:c r="O1242" s="14" t="str">
        <x:f>IF(E1242="","MISSING MAIN",IF(N1242=1,"MAIN ONLY","MULTI-PHOTO"))</x:f>
        <x:v>MAIN ONLY</x:v>
      </x:c>
      <x:c r="P1242" s="14" t="str">
        <x:v>1489_</x:v>
      </x:c>
      <x:c r="Q1242" s="14" t="str">
        <x:v>https://mb1advancedsolutions.github.io/mb1-catalog/index.html?design=1489</x:v>
      </x:c>
      <x:c r="R1242" s="14" t="str"/>
    </x:row>
    <x:row r="1243">
      <x:c r="A1243" s="13" t="str">
        <x:v>MB1-1490</x:v>
      </x:c>
      <x:c r="B1243" s="13" t="str">
        <x:v>MB1-1490</x:v>
      </x:c>
      <x:c r="C1243" s="14" t="str">
        <x:v>sunflower 7</x:v>
      </x:c>
      <x:c r="D1243" s="14" t="str">
        <x:v>home decor and inspirational</x:v>
      </x:c>
      <x:c r="E1243" s="14" t="str">
        <x:v>https://res.cloudinary.com/oxygre42/image/upload/f_auto,q_auto,c_pad,b_white,w_1200,h_1200/v1788351317/1490_sunflower_7.png</x:v>
      </x:c>
      <x:c r="F1243" s="14" t="str"/>
      <x:c r="G1243" s="14" t="str">
        <x:v>Lifestyle</x:v>
      </x:c>
      <x:c r="H1243" s="14" t="str"/>
      <x:c r="I1243" s="14" t="str">
        <x:v>Detail</x:v>
      </x:c>
      <x:c r="J1243" s="14" t="str"/>
      <x:c r="K1243" s="14" t="str">
        <x:v>Scale</x:v>
      </x:c>
      <x:c r="L1243" s="14" t="str"/>
      <x:c r="M1243" s="14" t="str">
        <x:v>Alternate</x:v>
      </x:c>
      <x:c r="N1243" s="14" t="n">
        <x:f>IF(E1243&lt;&gt;"",1,0)+IF(F1243&lt;&gt;"",1,0)+IF(H1243&lt;&gt;"",1,0)+IF(J1243&lt;&gt;"",1,0)+IF(L1243&lt;&gt;"",1,0)</x:f>
        <x:v>1</x:v>
      </x:c>
      <x:c r="O1243" s="14" t="str">
        <x:f>IF(E1243="","MISSING MAIN",IF(N1243=1,"MAIN ONLY","MULTI-PHOTO"))</x:f>
        <x:v>MAIN ONLY</x:v>
      </x:c>
      <x:c r="P1243" s="14" t="str">
        <x:v>1490_</x:v>
      </x:c>
      <x:c r="Q1243" s="14" t="str">
        <x:v>https://mb1advancedsolutions.github.io/mb1-catalog/index.html?design=1490</x:v>
      </x:c>
      <x:c r="R1243" s="14" t="str"/>
    </x:row>
    <x:row r="1244">
      <x:c r="A1244" s="13" t="str">
        <x:v>MB1-1491</x:v>
      </x:c>
      <x:c r="B1244" s="13" t="str">
        <x:v>MB1-1491</x:v>
      </x:c>
      <x:c r="C1244" s="14" t="str">
        <x:v>sunflower 8</x:v>
      </x:c>
      <x:c r="D1244" s="14" t="str">
        <x:v>home decor and inspirational</x:v>
      </x:c>
      <x:c r="E1244" s="14" t="str">
        <x:v>https://res.cloudinary.com/oxygre42/image/upload/f_auto,q_auto,c_pad,b_white,w_1200,h_1200/v1788351319/1491_sunflower_8.png</x:v>
      </x:c>
      <x:c r="F1244" s="14" t="str"/>
      <x:c r="G1244" s="14" t="str">
        <x:v>Lifestyle</x:v>
      </x:c>
      <x:c r="H1244" s="14" t="str"/>
      <x:c r="I1244" s="14" t="str">
        <x:v>Detail</x:v>
      </x:c>
      <x:c r="J1244" s="14" t="str"/>
      <x:c r="K1244" s="14" t="str">
        <x:v>Scale</x:v>
      </x:c>
      <x:c r="L1244" s="14" t="str"/>
      <x:c r="M1244" s="14" t="str">
        <x:v>Alternate</x:v>
      </x:c>
      <x:c r="N1244" s="14" t="n">
        <x:f>IF(E1244&lt;&gt;"",1,0)+IF(F1244&lt;&gt;"",1,0)+IF(H1244&lt;&gt;"",1,0)+IF(J1244&lt;&gt;"",1,0)+IF(L1244&lt;&gt;"",1,0)</x:f>
        <x:v>1</x:v>
      </x:c>
      <x:c r="O1244" s="14" t="str">
        <x:f>IF(E1244="","MISSING MAIN",IF(N1244=1,"MAIN ONLY","MULTI-PHOTO"))</x:f>
        <x:v>MAIN ONLY</x:v>
      </x:c>
      <x:c r="P1244" s="14" t="str">
        <x:v>1491_</x:v>
      </x:c>
      <x:c r="Q1244" s="14" t="str">
        <x:v>https://mb1advancedsolutions.github.io/mb1-catalog/index.html?design=1491</x:v>
      </x:c>
      <x:c r="R1244" s="14" t="str"/>
    </x:row>
    <x:row r="1245">
      <x:c r="A1245" s="13" t="str">
        <x:v>MB1-1492</x:v>
      </x:c>
      <x:c r="B1245" s="13" t="str">
        <x:v>MB1-1492</x:v>
      </x:c>
      <x:c r="C1245" s="14" t="str">
        <x:v>sunflower 9</x:v>
      </x:c>
      <x:c r="D1245" s="14" t="str">
        <x:v>home decor and inspirational</x:v>
      </x:c>
      <x:c r="E1245" s="14" t="str">
        <x:v>https://res.cloudinary.com/oxygre42/image/upload/f_auto,q_auto,c_pad,b_white,w_1200,h_1200/v1788351321/1492_sunflower_9.png</x:v>
      </x:c>
      <x:c r="F1245" s="14" t="str"/>
      <x:c r="G1245" s="14" t="str">
        <x:v>Lifestyle</x:v>
      </x:c>
      <x:c r="H1245" s="14" t="str"/>
      <x:c r="I1245" s="14" t="str">
        <x:v>Detail</x:v>
      </x:c>
      <x:c r="J1245" s="14" t="str"/>
      <x:c r="K1245" s="14" t="str">
        <x:v>Scale</x:v>
      </x:c>
      <x:c r="L1245" s="14" t="str"/>
      <x:c r="M1245" s="14" t="str">
        <x:v>Alternate</x:v>
      </x:c>
      <x:c r="N1245" s="14" t="n">
        <x:f>IF(E1245&lt;&gt;"",1,0)+IF(F1245&lt;&gt;"",1,0)+IF(H1245&lt;&gt;"",1,0)+IF(J1245&lt;&gt;"",1,0)+IF(L1245&lt;&gt;"",1,0)</x:f>
        <x:v>1</x:v>
      </x:c>
      <x:c r="O1245" s="14" t="str">
        <x:f>IF(E1245="","MISSING MAIN",IF(N1245=1,"MAIN ONLY","MULTI-PHOTO"))</x:f>
        <x:v>MAIN ONLY</x:v>
      </x:c>
      <x:c r="P1245" s="14" t="str">
        <x:v>1492_</x:v>
      </x:c>
      <x:c r="Q1245" s="14" t="str">
        <x:v>https://mb1advancedsolutions.github.io/mb1-catalog/index.html?design=1492</x:v>
      </x:c>
      <x:c r="R1245" s="14" t="str"/>
    </x:row>
    <x:row r="1246">
      <x:c r="A1246" s="13" t="str">
        <x:v>MB1-1493</x:v>
      </x:c>
      <x:c r="B1246" s="13" t="str">
        <x:v>MB1-1493</x:v>
      </x:c>
      <x:c r="C1246" s="14" t="str">
        <x:v>sunflower monogram A</x:v>
      </x:c>
      <x:c r="D1246" s="14" t="str">
        <x:v>family &amp; name</x:v>
      </x:c>
      <x:c r="E1246" s="14" t="str">
        <x:v>https://res.cloudinary.com/oxygre42/image/upload/f_auto,q_auto,c_pad,b_white,w_1200,h_1200/v1788351323/1493_sunflower_monogram_A.png</x:v>
      </x:c>
      <x:c r="F1246" s="14" t="str"/>
      <x:c r="G1246" s="14" t="str">
        <x:v>Lifestyle</x:v>
      </x:c>
      <x:c r="H1246" s="14" t="str"/>
      <x:c r="I1246" s="14" t="str">
        <x:v>Detail</x:v>
      </x:c>
      <x:c r="J1246" s="14" t="str"/>
      <x:c r="K1246" s="14" t="str">
        <x:v>Scale</x:v>
      </x:c>
      <x:c r="L1246" s="14" t="str"/>
      <x:c r="M1246" s="14" t="str">
        <x:v>Alternate</x:v>
      </x:c>
      <x:c r="N1246" s="14" t="n">
        <x:f>IF(E1246&lt;&gt;"",1,0)+IF(F1246&lt;&gt;"",1,0)+IF(H1246&lt;&gt;"",1,0)+IF(J1246&lt;&gt;"",1,0)+IF(L1246&lt;&gt;"",1,0)</x:f>
        <x:v>1</x:v>
      </x:c>
      <x:c r="O1246" s="14" t="str">
        <x:f>IF(E1246="","MISSING MAIN",IF(N1246=1,"MAIN ONLY","MULTI-PHOTO"))</x:f>
        <x:v>MAIN ONLY</x:v>
      </x:c>
      <x:c r="P1246" s="14" t="str">
        <x:v>1493_</x:v>
      </x:c>
      <x:c r="Q1246" s="14" t="str">
        <x:v>https://mb1advancedsolutions.github.io/mb1-catalog/index.html?design=1493</x:v>
      </x:c>
      <x:c r="R1246" s="14" t="str"/>
    </x:row>
    <x:row r="1247">
      <x:c r="A1247" s="13" t="str">
        <x:v>MB1-1494</x:v>
      </x:c>
      <x:c r="B1247" s="13" t="str">
        <x:v>MB1-1494</x:v>
      </x:c>
      <x:c r="C1247" s="14" t="str">
        <x:v>sunflower monogram B</x:v>
      </x:c>
      <x:c r="D1247" s="14" t="str">
        <x:v>family &amp; name</x:v>
      </x:c>
      <x:c r="E1247" s="14" t="str">
        <x:v>https://res.cloudinary.com/oxygre42/image/upload/f_auto,q_auto,c_pad,b_white,w_1200,h_1200/v1788351325/1494_sunflower_monogram_B.png</x:v>
      </x:c>
      <x:c r="F1247" s="14" t="str"/>
      <x:c r="G1247" s="14" t="str">
        <x:v>Lifestyle</x:v>
      </x:c>
      <x:c r="H1247" s="14" t="str"/>
      <x:c r="I1247" s="14" t="str">
        <x:v>Detail</x:v>
      </x:c>
      <x:c r="J1247" s="14" t="str"/>
      <x:c r="K1247" s="14" t="str">
        <x:v>Scale</x:v>
      </x:c>
      <x:c r="L1247" s="14" t="str"/>
      <x:c r="M1247" s="14" t="str">
        <x:v>Alternate</x:v>
      </x:c>
      <x:c r="N1247" s="14" t="n">
        <x:f>IF(E1247&lt;&gt;"",1,0)+IF(F1247&lt;&gt;"",1,0)+IF(H1247&lt;&gt;"",1,0)+IF(J1247&lt;&gt;"",1,0)+IF(L1247&lt;&gt;"",1,0)</x:f>
        <x:v>1</x:v>
      </x:c>
      <x:c r="O1247" s="14" t="str">
        <x:f>IF(E1247="","MISSING MAIN",IF(N1247=1,"MAIN ONLY","MULTI-PHOTO"))</x:f>
        <x:v>MAIN ONLY</x:v>
      </x:c>
      <x:c r="P1247" s="14" t="str">
        <x:v>1494_</x:v>
      </x:c>
      <x:c r="Q1247" s="14" t="str">
        <x:v>https://mb1advancedsolutions.github.io/mb1-catalog/index.html?design=1494</x:v>
      </x:c>
      <x:c r="R1247" s="14" t="str"/>
    </x:row>
    <x:row r="1248">
      <x:c r="A1248" s="13" t="str">
        <x:v>MB1-1495</x:v>
      </x:c>
      <x:c r="B1248" s="13" t="str">
        <x:v>MB1-1495</x:v>
      </x:c>
      <x:c r="C1248" s="14" t="str">
        <x:v>sunflower monogram C</x:v>
      </x:c>
      <x:c r="D1248" s="14" t="str">
        <x:v>family &amp; name</x:v>
      </x:c>
      <x:c r="E1248" s="14" t="str">
        <x:v>https://res.cloudinary.com/oxygre42/image/upload/f_auto,q_auto,c_pad,b_white,w_1200,h_1200/v1788351326/1495_sunflower_monogram_C.png</x:v>
      </x:c>
      <x:c r="F1248" s="14" t="str"/>
      <x:c r="G1248" s="14" t="str">
        <x:v>Lifestyle</x:v>
      </x:c>
      <x:c r="H1248" s="14" t="str"/>
      <x:c r="I1248" s="14" t="str">
        <x:v>Detail</x:v>
      </x:c>
      <x:c r="J1248" s="14" t="str"/>
      <x:c r="K1248" s="14" t="str">
        <x:v>Scale</x:v>
      </x:c>
      <x:c r="L1248" s="14" t="str"/>
      <x:c r="M1248" s="14" t="str">
        <x:v>Alternate</x:v>
      </x:c>
      <x:c r="N1248" s="14" t="n">
        <x:f>IF(E1248&lt;&gt;"",1,0)+IF(F1248&lt;&gt;"",1,0)+IF(H1248&lt;&gt;"",1,0)+IF(J1248&lt;&gt;"",1,0)+IF(L1248&lt;&gt;"",1,0)</x:f>
        <x:v>1</x:v>
      </x:c>
      <x:c r="O1248" s="14" t="str">
        <x:f>IF(E1248="","MISSING MAIN",IF(N1248=1,"MAIN ONLY","MULTI-PHOTO"))</x:f>
        <x:v>MAIN ONLY</x:v>
      </x:c>
      <x:c r="P1248" s="14" t="str">
        <x:v>1495_</x:v>
      </x:c>
      <x:c r="Q1248" s="14" t="str">
        <x:v>https://mb1advancedsolutions.github.io/mb1-catalog/index.html?design=1495</x:v>
      </x:c>
      <x:c r="R1248" s="14" t="str"/>
    </x:row>
    <x:row r="1249">
      <x:c r="A1249" s="13" t="str">
        <x:v>MB1-1496</x:v>
      </x:c>
      <x:c r="B1249" s="13" t="str">
        <x:v>MB1-1496</x:v>
      </x:c>
      <x:c r="C1249" s="14" t="str">
        <x:v>sunflower monogram D</x:v>
      </x:c>
      <x:c r="D1249" s="14" t="str">
        <x:v>family &amp; name</x:v>
      </x:c>
      <x:c r="E1249" s="14" t="str">
        <x:v>https://res.cloudinary.com/oxygre42/image/upload/f_auto,q_auto,c_pad,b_white,w_1200,h_1200/v1788351329/1496_sunflower_monogram_D.png</x:v>
      </x:c>
      <x:c r="F1249" s="14" t="str"/>
      <x:c r="G1249" s="14" t="str">
        <x:v>Lifestyle</x:v>
      </x:c>
      <x:c r="H1249" s="14" t="str"/>
      <x:c r="I1249" s="14" t="str">
        <x:v>Detail</x:v>
      </x:c>
      <x:c r="J1249" s="14" t="str"/>
      <x:c r="K1249" s="14" t="str">
        <x:v>Scale</x:v>
      </x:c>
      <x:c r="L1249" s="14" t="str"/>
      <x:c r="M1249" s="14" t="str">
        <x:v>Alternate</x:v>
      </x:c>
      <x:c r="N1249" s="14" t="n">
        <x:f>IF(E1249&lt;&gt;"",1,0)+IF(F1249&lt;&gt;"",1,0)+IF(H1249&lt;&gt;"",1,0)+IF(J1249&lt;&gt;"",1,0)+IF(L1249&lt;&gt;"",1,0)</x:f>
        <x:v>1</x:v>
      </x:c>
      <x:c r="O1249" s="14" t="str">
        <x:f>IF(E1249="","MISSING MAIN",IF(N1249=1,"MAIN ONLY","MULTI-PHOTO"))</x:f>
        <x:v>MAIN ONLY</x:v>
      </x:c>
      <x:c r="P1249" s="14" t="str">
        <x:v>1496_</x:v>
      </x:c>
      <x:c r="Q1249" s="14" t="str">
        <x:v>https://mb1advancedsolutions.github.io/mb1-catalog/index.html?design=1496</x:v>
      </x:c>
      <x:c r="R1249" s="14" t="str"/>
    </x:row>
    <x:row r="1250">
      <x:c r="A1250" s="13" t="str">
        <x:v>MB1-1497</x:v>
      </x:c>
      <x:c r="B1250" s="13" t="str">
        <x:v>MB1-1497</x:v>
      </x:c>
      <x:c r="C1250" s="14" t="str">
        <x:v>sunflower monogram E</x:v>
      </x:c>
      <x:c r="D1250" s="14" t="str">
        <x:v>family &amp; name</x:v>
      </x:c>
      <x:c r="E1250" s="14" t="str">
        <x:v>https://res.cloudinary.com/oxygre42/image/upload/f_auto,q_auto,c_pad,b_white,w_1200,h_1200/v1788351330/1497_sunflower_monogram_E.png</x:v>
      </x:c>
      <x:c r="F1250" s="14" t="str"/>
      <x:c r="G1250" s="14" t="str">
        <x:v>Lifestyle</x:v>
      </x:c>
      <x:c r="H1250" s="14" t="str"/>
      <x:c r="I1250" s="14" t="str">
        <x:v>Detail</x:v>
      </x:c>
      <x:c r="J1250" s="14" t="str"/>
      <x:c r="K1250" s="14" t="str">
        <x:v>Scale</x:v>
      </x:c>
      <x:c r="L1250" s="14" t="str"/>
      <x:c r="M1250" s="14" t="str">
        <x:v>Alternate</x:v>
      </x:c>
      <x:c r="N1250" s="14" t="n">
        <x:f>IF(E1250&lt;&gt;"",1,0)+IF(F1250&lt;&gt;"",1,0)+IF(H1250&lt;&gt;"",1,0)+IF(J1250&lt;&gt;"",1,0)+IF(L1250&lt;&gt;"",1,0)</x:f>
        <x:v>1</x:v>
      </x:c>
      <x:c r="O1250" s="14" t="str">
        <x:f>IF(E1250="","MISSING MAIN",IF(N1250=1,"MAIN ONLY","MULTI-PHOTO"))</x:f>
        <x:v>MAIN ONLY</x:v>
      </x:c>
      <x:c r="P1250" s="14" t="str">
        <x:v>1497_</x:v>
      </x:c>
      <x:c r="Q1250" s="14" t="str">
        <x:v>https://mb1advancedsolutions.github.io/mb1-catalog/index.html?design=1497</x:v>
      </x:c>
      <x:c r="R1250" s="14" t="str"/>
    </x:row>
    <x:row r="1251">
      <x:c r="A1251" s="13" t="str">
        <x:v>MB1-1498</x:v>
      </x:c>
      <x:c r="B1251" s="13" t="str">
        <x:v>MB1-1498</x:v>
      </x:c>
      <x:c r="C1251" s="14" t="str">
        <x:v>sunflower monogram F</x:v>
      </x:c>
      <x:c r="D1251" s="14" t="str">
        <x:v>family &amp; name</x:v>
      </x:c>
      <x:c r="E1251" s="14" t="str">
        <x:v>https://res.cloudinary.com/oxygre42/image/upload/f_auto,q_auto,c_pad,b_white,w_1200,h_1200/v1788351332/1498_sunflower_monogram_F.png</x:v>
      </x:c>
      <x:c r="F1251" s="14" t="str"/>
      <x:c r="G1251" s="14" t="str">
        <x:v>Lifestyle</x:v>
      </x:c>
      <x:c r="H1251" s="14" t="str"/>
      <x:c r="I1251" s="14" t="str">
        <x:v>Detail</x:v>
      </x:c>
      <x:c r="J1251" s="14" t="str"/>
      <x:c r="K1251" s="14" t="str">
        <x:v>Scale</x:v>
      </x:c>
      <x:c r="L1251" s="14" t="str"/>
      <x:c r="M1251" s="14" t="str">
        <x:v>Alternate</x:v>
      </x:c>
      <x:c r="N1251" s="14" t="n">
        <x:f>IF(E1251&lt;&gt;"",1,0)+IF(F1251&lt;&gt;"",1,0)+IF(H1251&lt;&gt;"",1,0)+IF(J1251&lt;&gt;"",1,0)+IF(L1251&lt;&gt;"",1,0)</x:f>
        <x:v>1</x:v>
      </x:c>
      <x:c r="O1251" s="14" t="str">
        <x:f>IF(E1251="","MISSING MAIN",IF(N1251=1,"MAIN ONLY","MULTI-PHOTO"))</x:f>
        <x:v>MAIN ONLY</x:v>
      </x:c>
      <x:c r="P1251" s="14" t="str">
        <x:v>1498_</x:v>
      </x:c>
      <x:c r="Q1251" s="14" t="str">
        <x:v>https://mb1advancedsolutions.github.io/mb1-catalog/index.html?design=1498</x:v>
      </x:c>
      <x:c r="R1251" s="14" t="str"/>
    </x:row>
    <x:row r="1252">
      <x:c r="A1252" s="13" t="str">
        <x:v>MB1-1499</x:v>
      </x:c>
      <x:c r="B1252" s="13" t="str">
        <x:v>MB1-1499</x:v>
      </x:c>
      <x:c r="C1252" s="14" t="str">
        <x:v>sunflower monogram G</x:v>
      </x:c>
      <x:c r="D1252" s="14" t="str">
        <x:v>family &amp; name</x:v>
      </x:c>
      <x:c r="E1252" s="14" t="str">
        <x:v>https://res.cloudinary.com/oxygre42/image/upload/f_auto,q_auto,c_pad,b_white,w_1200,h_1200/v1788351334/1499_sunflower_monogram_G.png</x:v>
      </x:c>
      <x:c r="F1252" s="14" t="str"/>
      <x:c r="G1252" s="14" t="str">
        <x:v>Lifestyle</x:v>
      </x:c>
      <x:c r="H1252" s="14" t="str"/>
      <x:c r="I1252" s="14" t="str">
        <x:v>Detail</x:v>
      </x:c>
      <x:c r="J1252" s="14" t="str"/>
      <x:c r="K1252" s="14" t="str">
        <x:v>Scale</x:v>
      </x:c>
      <x:c r="L1252" s="14" t="str"/>
      <x:c r="M1252" s="14" t="str">
        <x:v>Alternate</x:v>
      </x:c>
      <x:c r="N1252" s="14" t="n">
        <x:f>IF(E1252&lt;&gt;"",1,0)+IF(F1252&lt;&gt;"",1,0)+IF(H1252&lt;&gt;"",1,0)+IF(J1252&lt;&gt;"",1,0)+IF(L1252&lt;&gt;"",1,0)</x:f>
        <x:v>1</x:v>
      </x:c>
      <x:c r="O1252" s="14" t="str">
        <x:f>IF(E1252="","MISSING MAIN",IF(N1252=1,"MAIN ONLY","MULTI-PHOTO"))</x:f>
        <x:v>MAIN ONLY</x:v>
      </x:c>
      <x:c r="P1252" s="14" t="str">
        <x:v>1499_</x:v>
      </x:c>
      <x:c r="Q1252" s="14" t="str">
        <x:v>https://mb1advancedsolutions.github.io/mb1-catalog/index.html?design=1499</x:v>
      </x:c>
      <x:c r="R1252" s="14" t="str"/>
    </x:row>
    <x:row r="1253">
      <x:c r="A1253" s="13" t="str">
        <x:v>MB1-1500</x:v>
      </x:c>
      <x:c r="B1253" s="13" t="str">
        <x:v>MB1-1500</x:v>
      </x:c>
      <x:c r="C1253" s="14" t="str">
        <x:v>sunflower monogram H</x:v>
      </x:c>
      <x:c r="D1253" s="14" t="str">
        <x:v>family &amp; name</x:v>
      </x:c>
      <x:c r="E1253" s="14" t="str">
        <x:v>https://res.cloudinary.com/oxygre42/image/upload/f_auto,q_auto,c_pad,b_white,w_1200,h_1200/v1788351336/1500_sunflower_monogram_H.png</x:v>
      </x:c>
      <x:c r="F1253" s="14" t="str"/>
      <x:c r="G1253" s="14" t="str">
        <x:v>Lifestyle</x:v>
      </x:c>
      <x:c r="H1253" s="14" t="str"/>
      <x:c r="I1253" s="14" t="str">
        <x:v>Detail</x:v>
      </x:c>
      <x:c r="J1253" s="14" t="str"/>
      <x:c r="K1253" s="14" t="str">
        <x:v>Scale</x:v>
      </x:c>
      <x:c r="L1253" s="14" t="str"/>
      <x:c r="M1253" s="14" t="str">
        <x:v>Alternate</x:v>
      </x:c>
      <x:c r="N1253" s="14" t="n">
        <x:f>IF(E1253&lt;&gt;"",1,0)+IF(F1253&lt;&gt;"",1,0)+IF(H1253&lt;&gt;"",1,0)+IF(J1253&lt;&gt;"",1,0)+IF(L1253&lt;&gt;"",1,0)</x:f>
        <x:v>1</x:v>
      </x:c>
      <x:c r="O1253" s="14" t="str">
        <x:f>IF(E1253="","MISSING MAIN",IF(N1253=1,"MAIN ONLY","MULTI-PHOTO"))</x:f>
        <x:v>MAIN ONLY</x:v>
      </x:c>
      <x:c r="P1253" s="14" t="str">
        <x:v>1500_</x:v>
      </x:c>
      <x:c r="Q1253" s="14" t="str">
        <x:v>https://mb1advancedsolutions.github.io/mb1-catalog/index.html?design=1500</x:v>
      </x:c>
      <x:c r="R1253" s="14" t="str"/>
    </x:row>
    <x:row r="1254">
      <x:c r="A1254" s="13" t="str">
        <x:v>MB1-1501</x:v>
      </x:c>
      <x:c r="B1254" s="13" t="str">
        <x:v>MB1-1501</x:v>
      </x:c>
      <x:c r="C1254" s="14" t="str">
        <x:v>sunflower monogram I</x:v>
      </x:c>
      <x:c r="D1254" s="14" t="str">
        <x:v>family &amp; name</x:v>
      </x:c>
      <x:c r="E1254" s="14" t="str">
        <x:v>https://res.cloudinary.com/oxygre42/image/upload/f_auto,q_auto,c_pad,b_white,w_1200,h_1200/v1788351338/1501_sunflower_monogram_I.png</x:v>
      </x:c>
      <x:c r="F1254" s="14" t="str"/>
      <x:c r="G1254" s="14" t="str">
        <x:v>Lifestyle</x:v>
      </x:c>
      <x:c r="H1254" s="14" t="str"/>
      <x:c r="I1254" s="14" t="str">
        <x:v>Detail</x:v>
      </x:c>
      <x:c r="J1254" s="14" t="str"/>
      <x:c r="K1254" s="14" t="str">
        <x:v>Scale</x:v>
      </x:c>
      <x:c r="L1254" s="14" t="str"/>
      <x:c r="M1254" s="14" t="str">
        <x:v>Alternate</x:v>
      </x:c>
      <x:c r="N1254" s="14" t="n">
        <x:f>IF(E1254&lt;&gt;"",1,0)+IF(F1254&lt;&gt;"",1,0)+IF(H1254&lt;&gt;"",1,0)+IF(J1254&lt;&gt;"",1,0)+IF(L1254&lt;&gt;"",1,0)</x:f>
        <x:v>1</x:v>
      </x:c>
      <x:c r="O1254" s="14" t="str">
        <x:f>IF(E1254="","MISSING MAIN",IF(N1254=1,"MAIN ONLY","MULTI-PHOTO"))</x:f>
        <x:v>MAIN ONLY</x:v>
      </x:c>
      <x:c r="P1254" s="14" t="str">
        <x:v>1501_</x:v>
      </x:c>
      <x:c r="Q1254" s="14" t="str">
        <x:v>https://mb1advancedsolutions.github.io/mb1-catalog/index.html?design=1501</x:v>
      </x:c>
      <x:c r="R1254" s="14" t="str"/>
    </x:row>
    <x:row r="1255">
      <x:c r="A1255" s="13" t="str">
        <x:v>MB1-1502</x:v>
      </x:c>
      <x:c r="B1255" s="13" t="str">
        <x:v>MB1-1502</x:v>
      </x:c>
      <x:c r="C1255" s="14" t="str">
        <x:v>sunflower monogram J</x:v>
      </x:c>
      <x:c r="D1255" s="14" t="str">
        <x:v>family &amp; name</x:v>
      </x:c>
      <x:c r="E1255" s="14" t="str">
        <x:v>https://res.cloudinary.com/oxygre42/image/upload/f_auto,q_auto,c_pad,b_white,w_1200,h_1200/v1788351340/1502_sunflower_monogram_J.png</x:v>
      </x:c>
      <x:c r="F1255" s="14" t="str"/>
      <x:c r="G1255" s="14" t="str">
        <x:v>Lifestyle</x:v>
      </x:c>
      <x:c r="H1255" s="14" t="str"/>
      <x:c r="I1255" s="14" t="str">
        <x:v>Detail</x:v>
      </x:c>
      <x:c r="J1255" s="14" t="str"/>
      <x:c r="K1255" s="14" t="str">
        <x:v>Scale</x:v>
      </x:c>
      <x:c r="L1255" s="14" t="str"/>
      <x:c r="M1255" s="14" t="str">
        <x:v>Alternate</x:v>
      </x:c>
      <x:c r="N1255" s="14" t="n">
        <x:f>IF(E1255&lt;&gt;"",1,0)+IF(F1255&lt;&gt;"",1,0)+IF(H1255&lt;&gt;"",1,0)+IF(J1255&lt;&gt;"",1,0)+IF(L1255&lt;&gt;"",1,0)</x:f>
        <x:v>1</x:v>
      </x:c>
      <x:c r="O1255" s="14" t="str">
        <x:f>IF(E1255="","MISSING MAIN",IF(N1255=1,"MAIN ONLY","MULTI-PHOTO"))</x:f>
        <x:v>MAIN ONLY</x:v>
      </x:c>
      <x:c r="P1255" s="14" t="str">
        <x:v>1502_</x:v>
      </x:c>
      <x:c r="Q1255" s="14" t="str">
        <x:v>https://mb1advancedsolutions.github.io/mb1-catalog/index.html?design=1502</x:v>
      </x:c>
      <x:c r="R1255" s="14" t="str"/>
    </x:row>
    <x:row r="1256">
      <x:c r="A1256" s="13" t="str">
        <x:v>MB1-1503</x:v>
      </x:c>
      <x:c r="B1256" s="13" t="str">
        <x:v>MB1-1503</x:v>
      </x:c>
      <x:c r="C1256" s="14" t="str">
        <x:v>sunflower monogram K</x:v>
      </x:c>
      <x:c r="D1256" s="14" t="str">
        <x:v>family &amp; name</x:v>
      </x:c>
      <x:c r="E1256" s="14" t="str">
        <x:v>https://res.cloudinary.com/oxygre42/image/upload/f_auto,q_auto,c_pad,b_white,w_1200,h_1200/v1788351341/1503_sunflower_monogram_K.png</x:v>
      </x:c>
      <x:c r="F1256" s="14" t="str"/>
      <x:c r="G1256" s="14" t="str">
        <x:v>Lifestyle</x:v>
      </x:c>
      <x:c r="H1256" s="14" t="str"/>
      <x:c r="I1256" s="14" t="str">
        <x:v>Detail</x:v>
      </x:c>
      <x:c r="J1256" s="14" t="str"/>
      <x:c r="K1256" s="14" t="str">
        <x:v>Scale</x:v>
      </x:c>
      <x:c r="L1256" s="14" t="str"/>
      <x:c r="M1256" s="14" t="str">
        <x:v>Alternate</x:v>
      </x:c>
      <x:c r="N1256" s="14" t="n">
        <x:f>IF(E1256&lt;&gt;"",1,0)+IF(F1256&lt;&gt;"",1,0)+IF(H1256&lt;&gt;"",1,0)+IF(J1256&lt;&gt;"",1,0)+IF(L1256&lt;&gt;"",1,0)</x:f>
        <x:v>1</x:v>
      </x:c>
      <x:c r="O1256" s="14" t="str">
        <x:f>IF(E1256="","MISSING MAIN",IF(N1256=1,"MAIN ONLY","MULTI-PHOTO"))</x:f>
        <x:v>MAIN ONLY</x:v>
      </x:c>
      <x:c r="P1256" s="14" t="str">
        <x:v>1503_</x:v>
      </x:c>
      <x:c r="Q1256" s="14" t="str">
        <x:v>https://mb1advancedsolutions.github.io/mb1-catalog/index.html?design=1503</x:v>
      </x:c>
      <x:c r="R1256" s="14" t="str"/>
    </x:row>
    <x:row r="1257">
      <x:c r="A1257" s="13" t="str">
        <x:v>MB1-1504</x:v>
      </x:c>
      <x:c r="B1257" s="13" t="str">
        <x:v>MB1-1504</x:v>
      </x:c>
      <x:c r="C1257" s="14" t="str">
        <x:v>sunflower monogram L</x:v>
      </x:c>
      <x:c r="D1257" s="14" t="str">
        <x:v>family &amp; name</x:v>
      </x:c>
      <x:c r="E1257" s="14" t="str">
        <x:v>https://res.cloudinary.com/oxygre42/image/upload/f_auto,q_auto,c_pad,b_white,w_1200,h_1200/v1788351343/1504_sunflower_monogram_L.png</x:v>
      </x:c>
      <x:c r="F1257" s="14" t="str"/>
      <x:c r="G1257" s="14" t="str">
        <x:v>Lifestyle</x:v>
      </x:c>
      <x:c r="H1257" s="14" t="str"/>
      <x:c r="I1257" s="14" t="str">
        <x:v>Detail</x:v>
      </x:c>
      <x:c r="J1257" s="14" t="str"/>
      <x:c r="K1257" s="14" t="str">
        <x:v>Scale</x:v>
      </x:c>
      <x:c r="L1257" s="14" t="str"/>
      <x:c r="M1257" s="14" t="str">
        <x:v>Alternate</x:v>
      </x:c>
      <x:c r="N1257" s="14" t="n">
        <x:f>IF(E1257&lt;&gt;"",1,0)+IF(F1257&lt;&gt;"",1,0)+IF(H1257&lt;&gt;"",1,0)+IF(J1257&lt;&gt;"",1,0)+IF(L1257&lt;&gt;"",1,0)</x:f>
        <x:v>1</x:v>
      </x:c>
      <x:c r="O1257" s="14" t="str">
        <x:f>IF(E1257="","MISSING MAIN",IF(N1257=1,"MAIN ONLY","MULTI-PHOTO"))</x:f>
        <x:v>MAIN ONLY</x:v>
      </x:c>
      <x:c r="P1257" s="14" t="str">
        <x:v>1504_</x:v>
      </x:c>
      <x:c r="Q1257" s="14" t="str">
        <x:v>https://mb1advancedsolutions.github.io/mb1-catalog/index.html?design=1504</x:v>
      </x:c>
      <x:c r="R1257" s="14" t="str"/>
    </x:row>
    <x:row r="1258">
      <x:c r="A1258" s="13" t="str">
        <x:v>MB1-1505</x:v>
      </x:c>
      <x:c r="B1258" s="13" t="str">
        <x:v>MB1-1505</x:v>
      </x:c>
      <x:c r="C1258" s="14" t="str">
        <x:v>sunflower monogram M</x:v>
      </x:c>
      <x:c r="D1258" s="14" t="str">
        <x:v>family &amp; name</x:v>
      </x:c>
      <x:c r="E1258" s="14" t="str">
        <x:v>https://res.cloudinary.com/oxygre42/image/upload/f_auto,q_auto,c_pad,b_white,w_1200,h_1200/v1788351345/1505_sunflower_monogram_M.png</x:v>
      </x:c>
      <x:c r="F1258" s="14" t="str"/>
      <x:c r="G1258" s="14" t="str">
        <x:v>Lifestyle</x:v>
      </x:c>
      <x:c r="H1258" s="14" t="str"/>
      <x:c r="I1258" s="14" t="str">
        <x:v>Detail</x:v>
      </x:c>
      <x:c r="J1258" s="14" t="str"/>
      <x:c r="K1258" s="14" t="str">
        <x:v>Scale</x:v>
      </x:c>
      <x:c r="L1258" s="14" t="str"/>
      <x:c r="M1258" s="14" t="str">
        <x:v>Alternate</x:v>
      </x:c>
      <x:c r="N1258" s="14" t="n">
        <x:f>IF(E1258&lt;&gt;"",1,0)+IF(F1258&lt;&gt;"",1,0)+IF(H1258&lt;&gt;"",1,0)+IF(J1258&lt;&gt;"",1,0)+IF(L1258&lt;&gt;"",1,0)</x:f>
        <x:v>1</x:v>
      </x:c>
      <x:c r="O1258" s="14" t="str">
        <x:f>IF(E1258="","MISSING MAIN",IF(N1258=1,"MAIN ONLY","MULTI-PHOTO"))</x:f>
        <x:v>MAIN ONLY</x:v>
      </x:c>
      <x:c r="P1258" s="14" t="str">
        <x:v>1505_</x:v>
      </x:c>
      <x:c r="Q1258" s="14" t="str">
        <x:v>https://mb1advancedsolutions.github.io/mb1-catalog/index.html?design=1505</x:v>
      </x:c>
      <x:c r="R1258" s="14" t="str"/>
    </x:row>
    <x:row r="1259">
      <x:c r="A1259" s="13" t="str">
        <x:v>MB1-1506</x:v>
      </x:c>
      <x:c r="B1259" s="13" t="str">
        <x:v>MB1-1506</x:v>
      </x:c>
      <x:c r="C1259" s="14" t="str">
        <x:v>sunflower monogram N</x:v>
      </x:c>
      <x:c r="D1259" s="14" t="str">
        <x:v>family &amp; name</x:v>
      </x:c>
      <x:c r="E1259" s="14" t="str">
        <x:v>https://res.cloudinary.com/oxygre42/image/upload/f_auto,q_auto,c_pad,b_white,w_1200,h_1200/v1788351347/1506_sunflower_monogram_N.png</x:v>
      </x:c>
      <x:c r="F1259" s="14" t="str"/>
      <x:c r="G1259" s="14" t="str">
        <x:v>Lifestyle</x:v>
      </x:c>
      <x:c r="H1259" s="14" t="str"/>
      <x:c r="I1259" s="14" t="str">
        <x:v>Detail</x:v>
      </x:c>
      <x:c r="J1259" s="14" t="str"/>
      <x:c r="K1259" s="14" t="str">
        <x:v>Scale</x:v>
      </x:c>
      <x:c r="L1259" s="14" t="str"/>
      <x:c r="M1259" s="14" t="str">
        <x:v>Alternate</x:v>
      </x:c>
      <x:c r="N1259" s="14" t="n">
        <x:f>IF(E1259&lt;&gt;"",1,0)+IF(F1259&lt;&gt;"",1,0)+IF(H1259&lt;&gt;"",1,0)+IF(J1259&lt;&gt;"",1,0)+IF(L1259&lt;&gt;"",1,0)</x:f>
        <x:v>1</x:v>
      </x:c>
      <x:c r="O1259" s="14" t="str">
        <x:f>IF(E1259="","MISSING MAIN",IF(N1259=1,"MAIN ONLY","MULTI-PHOTO"))</x:f>
        <x:v>MAIN ONLY</x:v>
      </x:c>
      <x:c r="P1259" s="14" t="str">
        <x:v>1506_</x:v>
      </x:c>
      <x:c r="Q1259" s="14" t="str">
        <x:v>https://mb1advancedsolutions.github.io/mb1-catalog/index.html?design=1506</x:v>
      </x:c>
      <x:c r="R1259" s="14" t="str"/>
    </x:row>
    <x:row r="1260">
      <x:c r="A1260" s="13" t="str">
        <x:v>MB1-1507</x:v>
      </x:c>
      <x:c r="B1260" s="13" t="str">
        <x:v>MB1-1507</x:v>
      </x:c>
      <x:c r="C1260" s="14" t="str">
        <x:v>sunflower monogram O</x:v>
      </x:c>
      <x:c r="D1260" s="14" t="str">
        <x:v>family &amp; name</x:v>
      </x:c>
      <x:c r="E1260" s="14" t="str">
        <x:v>https://res.cloudinary.com/oxygre42/image/upload/f_auto,q_auto,c_pad,b_white,w_1200,h_1200/v1788351349/1507_sunflower_monogram_O.png</x:v>
      </x:c>
      <x:c r="F1260" s="14" t="str"/>
      <x:c r="G1260" s="14" t="str">
        <x:v>Lifestyle</x:v>
      </x:c>
      <x:c r="H1260" s="14" t="str"/>
      <x:c r="I1260" s="14" t="str">
        <x:v>Detail</x:v>
      </x:c>
      <x:c r="J1260" s="14" t="str"/>
      <x:c r="K1260" s="14" t="str">
        <x:v>Scale</x:v>
      </x:c>
      <x:c r="L1260" s="14" t="str"/>
      <x:c r="M1260" s="14" t="str">
        <x:v>Alternate</x:v>
      </x:c>
      <x:c r="N1260" s="14" t="n">
        <x:f>IF(E1260&lt;&gt;"",1,0)+IF(F1260&lt;&gt;"",1,0)+IF(H1260&lt;&gt;"",1,0)+IF(J1260&lt;&gt;"",1,0)+IF(L1260&lt;&gt;"",1,0)</x:f>
        <x:v>1</x:v>
      </x:c>
      <x:c r="O1260" s="14" t="str">
        <x:f>IF(E1260="","MISSING MAIN",IF(N1260=1,"MAIN ONLY","MULTI-PHOTO"))</x:f>
        <x:v>MAIN ONLY</x:v>
      </x:c>
      <x:c r="P1260" s="14" t="str">
        <x:v>1507_</x:v>
      </x:c>
      <x:c r="Q1260" s="14" t="str">
        <x:v>https://mb1advancedsolutions.github.io/mb1-catalog/index.html?design=1507</x:v>
      </x:c>
      <x:c r="R1260" s="14" t="str"/>
    </x:row>
    <x:row r="1261">
      <x:c r="A1261" s="13" t="str">
        <x:v>MB1-1508</x:v>
      </x:c>
      <x:c r="B1261" s="13" t="str">
        <x:v>MB1-1508</x:v>
      </x:c>
      <x:c r="C1261" s="14" t="str">
        <x:v>sunflower monogram P</x:v>
      </x:c>
      <x:c r="D1261" s="14" t="str">
        <x:v>family &amp; name</x:v>
      </x:c>
      <x:c r="E1261" s="14" t="str">
        <x:v>https://res.cloudinary.com/oxygre42/image/upload/f_auto,q_auto,c_pad,b_white,w_1200,h_1200/v1788351351/1508_sunflower_monogram_P.png</x:v>
      </x:c>
      <x:c r="F1261" s="14" t="str"/>
      <x:c r="G1261" s="14" t="str">
        <x:v>Lifestyle</x:v>
      </x:c>
      <x:c r="H1261" s="14" t="str"/>
      <x:c r="I1261" s="14" t="str">
        <x:v>Detail</x:v>
      </x:c>
      <x:c r="J1261" s="14" t="str"/>
      <x:c r="K1261" s="14" t="str">
        <x:v>Scale</x:v>
      </x:c>
      <x:c r="L1261" s="14" t="str"/>
      <x:c r="M1261" s="14" t="str">
        <x:v>Alternate</x:v>
      </x:c>
      <x:c r="N1261" s="14" t="n">
        <x:f>IF(E1261&lt;&gt;"",1,0)+IF(F1261&lt;&gt;"",1,0)+IF(H1261&lt;&gt;"",1,0)+IF(J1261&lt;&gt;"",1,0)+IF(L1261&lt;&gt;"",1,0)</x:f>
        <x:v>1</x:v>
      </x:c>
      <x:c r="O1261" s="14" t="str">
        <x:f>IF(E1261="","MISSING MAIN",IF(N1261=1,"MAIN ONLY","MULTI-PHOTO"))</x:f>
        <x:v>MAIN ONLY</x:v>
      </x:c>
      <x:c r="P1261" s="14" t="str">
        <x:v>1508_</x:v>
      </x:c>
      <x:c r="Q1261" s="14" t="str">
        <x:v>https://mb1advancedsolutions.github.io/mb1-catalog/index.html?design=1508</x:v>
      </x:c>
      <x:c r="R1261" s="14" t="str"/>
    </x:row>
    <x:row r="1262">
      <x:c r="A1262" s="13" t="str">
        <x:v>MB1-1509</x:v>
      </x:c>
      <x:c r="B1262" s="13" t="str">
        <x:v>MB1-1509</x:v>
      </x:c>
      <x:c r="C1262" s="14" t="str">
        <x:v>sunflower monogram Q</x:v>
      </x:c>
      <x:c r="D1262" s="14" t="str">
        <x:v>family &amp; name</x:v>
      </x:c>
      <x:c r="E1262" s="14" t="str">
        <x:v>https://res.cloudinary.com/oxygre42/image/upload/f_auto,q_auto,c_pad,b_white,w_1200,h_1200/v1788351353/1509_sunflower_monogram_Q.png</x:v>
      </x:c>
      <x:c r="F1262" s="14" t="str"/>
      <x:c r="G1262" s="14" t="str">
        <x:v>Lifestyle</x:v>
      </x:c>
      <x:c r="H1262" s="14" t="str"/>
      <x:c r="I1262" s="14" t="str">
        <x:v>Detail</x:v>
      </x:c>
      <x:c r="J1262" s="14" t="str"/>
      <x:c r="K1262" s="14" t="str">
        <x:v>Scale</x:v>
      </x:c>
      <x:c r="L1262" s="14" t="str"/>
      <x:c r="M1262" s="14" t="str">
        <x:v>Alternate</x:v>
      </x:c>
      <x:c r="N1262" s="14" t="n">
        <x:f>IF(E1262&lt;&gt;"",1,0)+IF(F1262&lt;&gt;"",1,0)+IF(H1262&lt;&gt;"",1,0)+IF(J1262&lt;&gt;"",1,0)+IF(L1262&lt;&gt;"",1,0)</x:f>
        <x:v>1</x:v>
      </x:c>
      <x:c r="O1262" s="14" t="str">
        <x:f>IF(E1262="","MISSING MAIN",IF(N1262=1,"MAIN ONLY","MULTI-PHOTO"))</x:f>
        <x:v>MAIN ONLY</x:v>
      </x:c>
      <x:c r="P1262" s="14" t="str">
        <x:v>1509_</x:v>
      </x:c>
      <x:c r="Q1262" s="14" t="str">
        <x:v>https://mb1advancedsolutions.github.io/mb1-catalog/index.html?design=1509</x:v>
      </x:c>
      <x:c r="R1262" s="14" t="str"/>
    </x:row>
    <x:row r="1263">
      <x:c r="A1263" s="13" t="str">
        <x:v>MB1-1510</x:v>
      </x:c>
      <x:c r="B1263" s="13" t="str">
        <x:v>MB1-1510</x:v>
      </x:c>
      <x:c r="C1263" s="14" t="str">
        <x:v>sunflower monogram R</x:v>
      </x:c>
      <x:c r="D1263" s="14" t="str">
        <x:v>family &amp; name</x:v>
      </x:c>
      <x:c r="E1263" s="14" t="str">
        <x:v>https://res.cloudinary.com/oxygre42/image/upload/f_auto,q_auto,c_pad,b_white,w_1200,h_1200/v1788351355/1510_sunflower_monogram_R.png</x:v>
      </x:c>
      <x:c r="F1263" s="14" t="str"/>
      <x:c r="G1263" s="14" t="str">
        <x:v>Lifestyle</x:v>
      </x:c>
      <x:c r="H1263" s="14" t="str"/>
      <x:c r="I1263" s="14" t="str">
        <x:v>Detail</x:v>
      </x:c>
      <x:c r="J1263" s="14" t="str"/>
      <x:c r="K1263" s="14" t="str">
        <x:v>Scale</x:v>
      </x:c>
      <x:c r="L1263" s="14" t="str"/>
      <x:c r="M1263" s="14" t="str">
        <x:v>Alternate</x:v>
      </x:c>
      <x:c r="N1263" s="14" t="n">
        <x:f>IF(E1263&lt;&gt;"",1,0)+IF(F1263&lt;&gt;"",1,0)+IF(H1263&lt;&gt;"",1,0)+IF(J1263&lt;&gt;"",1,0)+IF(L1263&lt;&gt;"",1,0)</x:f>
        <x:v>1</x:v>
      </x:c>
      <x:c r="O1263" s="14" t="str">
        <x:f>IF(E1263="","MISSING MAIN",IF(N1263=1,"MAIN ONLY","MULTI-PHOTO"))</x:f>
        <x:v>MAIN ONLY</x:v>
      </x:c>
      <x:c r="P1263" s="14" t="str">
        <x:v>1510_</x:v>
      </x:c>
      <x:c r="Q1263" s="14" t="str">
        <x:v>https://mb1advancedsolutions.github.io/mb1-catalog/index.html?design=1510</x:v>
      </x:c>
      <x:c r="R1263" s="14" t="str"/>
    </x:row>
    <x:row r="1264">
      <x:c r="A1264" s="13" t="str">
        <x:v>MB1-1511</x:v>
      </x:c>
      <x:c r="B1264" s="13" t="str">
        <x:v>MB1-1511</x:v>
      </x:c>
      <x:c r="C1264" s="14" t="str">
        <x:v>sunflower monogram S</x:v>
      </x:c>
      <x:c r="D1264" s="14" t="str">
        <x:v>family &amp; name</x:v>
      </x:c>
      <x:c r="E1264" s="14" t="str">
        <x:v>https://res.cloudinary.com/oxygre42/image/upload/f_auto,q_auto,c_pad,b_white,w_1200,h_1200/v1788351357/1511_sunflower_monogram_S.png</x:v>
      </x:c>
      <x:c r="F1264" s="14" t="str"/>
      <x:c r="G1264" s="14" t="str">
        <x:v>Lifestyle</x:v>
      </x:c>
      <x:c r="H1264" s="14" t="str"/>
      <x:c r="I1264" s="14" t="str">
        <x:v>Detail</x:v>
      </x:c>
      <x:c r="J1264" s="14" t="str"/>
      <x:c r="K1264" s="14" t="str">
        <x:v>Scale</x:v>
      </x:c>
      <x:c r="L1264" s="14" t="str"/>
      <x:c r="M1264" s="14" t="str">
        <x:v>Alternate</x:v>
      </x:c>
      <x:c r="N1264" s="14" t="n">
        <x:f>IF(E1264&lt;&gt;"",1,0)+IF(F1264&lt;&gt;"",1,0)+IF(H1264&lt;&gt;"",1,0)+IF(J1264&lt;&gt;"",1,0)+IF(L1264&lt;&gt;"",1,0)</x:f>
        <x:v>1</x:v>
      </x:c>
      <x:c r="O1264" s="14" t="str">
        <x:f>IF(E1264="","MISSING MAIN",IF(N1264=1,"MAIN ONLY","MULTI-PHOTO"))</x:f>
        <x:v>MAIN ONLY</x:v>
      </x:c>
      <x:c r="P1264" s="14" t="str">
        <x:v>1511_</x:v>
      </x:c>
      <x:c r="Q1264" s="14" t="str">
        <x:v>https://mb1advancedsolutions.github.io/mb1-catalog/index.html?design=1511</x:v>
      </x:c>
      <x:c r="R1264" s="14" t="str"/>
    </x:row>
    <x:row r="1265">
      <x:c r="A1265" s="13" t="str">
        <x:v>MB1-1512</x:v>
      </x:c>
      <x:c r="B1265" s="13" t="str">
        <x:v>MB1-1512</x:v>
      </x:c>
      <x:c r="C1265" s="14" t="str">
        <x:v>sunflower monogram T</x:v>
      </x:c>
      <x:c r="D1265" s="14" t="str">
        <x:v>family &amp; name</x:v>
      </x:c>
      <x:c r="E1265" s="14" t="str">
        <x:v>https://res.cloudinary.com/oxygre42/image/upload/f_auto,q_auto,c_pad,b_white,w_1200,h_1200/v1788351359/1512_sunflower_monogram_T.png</x:v>
      </x:c>
      <x:c r="F1265" s="14" t="str"/>
      <x:c r="G1265" s="14" t="str">
        <x:v>Lifestyle</x:v>
      </x:c>
      <x:c r="H1265" s="14" t="str"/>
      <x:c r="I1265" s="14" t="str">
        <x:v>Detail</x:v>
      </x:c>
      <x:c r="J1265" s="14" t="str"/>
      <x:c r="K1265" s="14" t="str">
        <x:v>Scale</x:v>
      </x:c>
      <x:c r="L1265" s="14" t="str"/>
      <x:c r="M1265" s="14" t="str">
        <x:v>Alternate</x:v>
      </x:c>
      <x:c r="N1265" s="14" t="n">
        <x:f>IF(E1265&lt;&gt;"",1,0)+IF(F1265&lt;&gt;"",1,0)+IF(H1265&lt;&gt;"",1,0)+IF(J1265&lt;&gt;"",1,0)+IF(L1265&lt;&gt;"",1,0)</x:f>
        <x:v>1</x:v>
      </x:c>
      <x:c r="O1265" s="14" t="str">
        <x:f>IF(E1265="","MISSING MAIN",IF(N1265=1,"MAIN ONLY","MULTI-PHOTO"))</x:f>
        <x:v>MAIN ONLY</x:v>
      </x:c>
      <x:c r="P1265" s="14" t="str">
        <x:v>1512_</x:v>
      </x:c>
      <x:c r="Q1265" s="14" t="str">
        <x:v>https://mb1advancedsolutions.github.io/mb1-catalog/index.html?design=1512</x:v>
      </x:c>
      <x:c r="R1265" s="14" t="str"/>
    </x:row>
    <x:row r="1266">
      <x:c r="A1266" s="13" t="str">
        <x:v>MB1-1513</x:v>
      </x:c>
      <x:c r="B1266" s="13" t="str">
        <x:v>MB1-1513</x:v>
      </x:c>
      <x:c r="C1266" s="14" t="str">
        <x:v>sunflower monogram U</x:v>
      </x:c>
      <x:c r="D1266" s="14" t="str">
        <x:v>family &amp; name</x:v>
      </x:c>
      <x:c r="E1266" s="14" t="str">
        <x:v>https://res.cloudinary.com/oxygre42/image/upload/f_auto,q_auto,c_pad,b_white,w_1200,h_1200/v1788351360/1513_sunflower_monogram_U.png</x:v>
      </x:c>
      <x:c r="F1266" s="14" t="str"/>
      <x:c r="G1266" s="14" t="str">
        <x:v>Lifestyle</x:v>
      </x:c>
      <x:c r="H1266" s="14" t="str"/>
      <x:c r="I1266" s="14" t="str">
        <x:v>Detail</x:v>
      </x:c>
      <x:c r="J1266" s="14" t="str"/>
      <x:c r="K1266" s="14" t="str">
        <x:v>Scale</x:v>
      </x:c>
      <x:c r="L1266" s="14" t="str"/>
      <x:c r="M1266" s="14" t="str">
        <x:v>Alternate</x:v>
      </x:c>
      <x:c r="N1266" s="14" t="n">
        <x:f>IF(E1266&lt;&gt;"",1,0)+IF(F1266&lt;&gt;"",1,0)+IF(H1266&lt;&gt;"",1,0)+IF(J1266&lt;&gt;"",1,0)+IF(L1266&lt;&gt;"",1,0)</x:f>
        <x:v>1</x:v>
      </x:c>
      <x:c r="O1266" s="14" t="str">
        <x:f>IF(E1266="","MISSING MAIN",IF(N1266=1,"MAIN ONLY","MULTI-PHOTO"))</x:f>
        <x:v>MAIN ONLY</x:v>
      </x:c>
      <x:c r="P1266" s="14" t="str">
        <x:v>1513_</x:v>
      </x:c>
      <x:c r="Q1266" s="14" t="str">
        <x:v>https://mb1advancedsolutions.github.io/mb1-catalog/index.html?design=1513</x:v>
      </x:c>
      <x:c r="R1266" s="14" t="str"/>
    </x:row>
    <x:row r="1267">
      <x:c r="A1267" s="13" t="str">
        <x:v>MB1-1514</x:v>
      </x:c>
      <x:c r="B1267" s="13" t="str">
        <x:v>MB1-1514</x:v>
      </x:c>
      <x:c r="C1267" s="14" t="str">
        <x:v>sunflower monogram V</x:v>
      </x:c>
      <x:c r="D1267" s="14" t="str">
        <x:v>family &amp; name</x:v>
      </x:c>
      <x:c r="E1267" s="14" t="str">
        <x:v>https://res.cloudinary.com/oxygre42/image/upload/f_auto,q_auto,c_pad,b_white,w_1200,h_1200/v1788351362/1514_sunflower_monogram_V.png</x:v>
      </x:c>
      <x:c r="F1267" s="14" t="str"/>
      <x:c r="G1267" s="14" t="str">
        <x:v>Lifestyle</x:v>
      </x:c>
      <x:c r="H1267" s="14" t="str"/>
      <x:c r="I1267" s="14" t="str">
        <x:v>Detail</x:v>
      </x:c>
      <x:c r="J1267" s="14" t="str"/>
      <x:c r="K1267" s="14" t="str">
        <x:v>Scale</x:v>
      </x:c>
      <x:c r="L1267" s="14" t="str"/>
      <x:c r="M1267" s="14" t="str">
        <x:v>Alternate</x:v>
      </x:c>
      <x:c r="N1267" s="14" t="n">
        <x:f>IF(E1267&lt;&gt;"",1,0)+IF(F1267&lt;&gt;"",1,0)+IF(H1267&lt;&gt;"",1,0)+IF(J1267&lt;&gt;"",1,0)+IF(L1267&lt;&gt;"",1,0)</x:f>
        <x:v>1</x:v>
      </x:c>
      <x:c r="O1267" s="14" t="str">
        <x:f>IF(E1267="","MISSING MAIN",IF(N1267=1,"MAIN ONLY","MULTI-PHOTO"))</x:f>
        <x:v>MAIN ONLY</x:v>
      </x:c>
      <x:c r="P1267" s="14" t="str">
        <x:v>1514_</x:v>
      </x:c>
      <x:c r="Q1267" s="14" t="str">
        <x:v>https://mb1advancedsolutions.github.io/mb1-catalog/index.html?design=1514</x:v>
      </x:c>
      <x:c r="R1267" s="14" t="str"/>
    </x:row>
    <x:row r="1268">
      <x:c r="A1268" s="13" t="str">
        <x:v>MB1-1515</x:v>
      </x:c>
      <x:c r="B1268" s="13" t="str">
        <x:v>MB1-1515</x:v>
      </x:c>
      <x:c r="C1268" s="14" t="str">
        <x:v>sunflower monogram W</x:v>
      </x:c>
      <x:c r="D1268" s="14" t="str">
        <x:v>family &amp; name</x:v>
      </x:c>
      <x:c r="E1268" s="14" t="str">
        <x:v>https://res.cloudinary.com/oxygre42/image/upload/f_auto,q_auto,c_pad,b_white,w_1200,h_1200/v1788351364/1515_sunflower_monogram_W.png</x:v>
      </x:c>
      <x:c r="F1268" s="14" t="str"/>
      <x:c r="G1268" s="14" t="str">
        <x:v>Lifestyle</x:v>
      </x:c>
      <x:c r="H1268" s="14" t="str"/>
      <x:c r="I1268" s="14" t="str">
        <x:v>Detail</x:v>
      </x:c>
      <x:c r="J1268" s="14" t="str"/>
      <x:c r="K1268" s="14" t="str">
        <x:v>Scale</x:v>
      </x:c>
      <x:c r="L1268" s="14" t="str"/>
      <x:c r="M1268" s="14" t="str">
        <x:v>Alternate</x:v>
      </x:c>
      <x:c r="N1268" s="14" t="n">
        <x:f>IF(E1268&lt;&gt;"",1,0)+IF(F1268&lt;&gt;"",1,0)+IF(H1268&lt;&gt;"",1,0)+IF(J1268&lt;&gt;"",1,0)+IF(L1268&lt;&gt;"",1,0)</x:f>
        <x:v>1</x:v>
      </x:c>
      <x:c r="O1268" s="14" t="str">
        <x:f>IF(E1268="","MISSING MAIN",IF(N1268=1,"MAIN ONLY","MULTI-PHOTO"))</x:f>
        <x:v>MAIN ONLY</x:v>
      </x:c>
      <x:c r="P1268" s="14" t="str">
        <x:v>1515_</x:v>
      </x:c>
      <x:c r="Q1268" s="14" t="str">
        <x:v>https://mb1advancedsolutions.github.io/mb1-catalog/index.html?design=1515</x:v>
      </x:c>
      <x:c r="R1268" s="14" t="str"/>
    </x:row>
    <x:row r="1269">
      <x:c r="A1269" s="13" t="str">
        <x:v>MB1-1516</x:v>
      </x:c>
      <x:c r="B1269" s="13" t="str">
        <x:v>MB1-1516</x:v>
      </x:c>
      <x:c r="C1269" s="14" t="str">
        <x:v>sunflower monogram X</x:v>
      </x:c>
      <x:c r="D1269" s="14" t="str">
        <x:v>family &amp; name</x:v>
      </x:c>
      <x:c r="E1269" s="14" t="str">
        <x:v>https://res.cloudinary.com/oxygre42/image/upload/f_auto,q_auto,c_pad,b_white,w_1200,h_1200/v1788351366/1516_sunflower_monogram_X.png</x:v>
      </x:c>
      <x:c r="F1269" s="14" t="str"/>
      <x:c r="G1269" s="14" t="str">
        <x:v>Lifestyle</x:v>
      </x:c>
      <x:c r="H1269" s="14" t="str"/>
      <x:c r="I1269" s="14" t="str">
        <x:v>Detail</x:v>
      </x:c>
      <x:c r="J1269" s="14" t="str"/>
      <x:c r="K1269" s="14" t="str">
        <x:v>Scale</x:v>
      </x:c>
      <x:c r="L1269" s="14" t="str"/>
      <x:c r="M1269" s="14" t="str">
        <x:v>Alternate</x:v>
      </x:c>
      <x:c r="N1269" s="14" t="n">
        <x:f>IF(E1269&lt;&gt;"",1,0)+IF(F1269&lt;&gt;"",1,0)+IF(H1269&lt;&gt;"",1,0)+IF(J1269&lt;&gt;"",1,0)+IF(L1269&lt;&gt;"",1,0)</x:f>
        <x:v>1</x:v>
      </x:c>
      <x:c r="O1269" s="14" t="str">
        <x:f>IF(E1269="","MISSING MAIN",IF(N1269=1,"MAIN ONLY","MULTI-PHOTO"))</x:f>
        <x:v>MAIN ONLY</x:v>
      </x:c>
      <x:c r="P1269" s="14" t="str">
        <x:v>1516_</x:v>
      </x:c>
      <x:c r="Q1269" s="14" t="str">
        <x:v>https://mb1advancedsolutions.github.io/mb1-catalog/index.html?design=1516</x:v>
      </x:c>
      <x:c r="R1269" s="14" t="str"/>
    </x:row>
    <x:row r="1270">
      <x:c r="A1270" s="13" t="str">
        <x:v>MB1-1517</x:v>
      </x:c>
      <x:c r="B1270" s="13" t="str">
        <x:v>MB1-1517</x:v>
      </x:c>
      <x:c r="C1270" s="14" t="str">
        <x:v>sunflower monogram Y</x:v>
      </x:c>
      <x:c r="D1270" s="14" t="str">
        <x:v>family &amp; name</x:v>
      </x:c>
      <x:c r="E1270" s="14" t="str">
        <x:v>https://res.cloudinary.com/oxygre42/image/upload/f_auto,q_auto,c_pad,b_white,w_1200,h_1200/v1788351368/1517_sunflower_monogram_Y.png</x:v>
      </x:c>
      <x:c r="F1270" s="14" t="str"/>
      <x:c r="G1270" s="14" t="str">
        <x:v>Lifestyle</x:v>
      </x:c>
      <x:c r="H1270" s="14" t="str"/>
      <x:c r="I1270" s="14" t="str">
        <x:v>Detail</x:v>
      </x:c>
      <x:c r="J1270" s="14" t="str"/>
      <x:c r="K1270" s="14" t="str">
        <x:v>Scale</x:v>
      </x:c>
      <x:c r="L1270" s="14" t="str"/>
      <x:c r="M1270" s="14" t="str">
        <x:v>Alternate</x:v>
      </x:c>
      <x:c r="N1270" s="14" t="n">
        <x:f>IF(E1270&lt;&gt;"",1,0)+IF(F1270&lt;&gt;"",1,0)+IF(H1270&lt;&gt;"",1,0)+IF(J1270&lt;&gt;"",1,0)+IF(L1270&lt;&gt;"",1,0)</x:f>
        <x:v>1</x:v>
      </x:c>
      <x:c r="O1270" s="14" t="str">
        <x:f>IF(E1270="","MISSING MAIN",IF(N1270=1,"MAIN ONLY","MULTI-PHOTO"))</x:f>
        <x:v>MAIN ONLY</x:v>
      </x:c>
      <x:c r="P1270" s="14" t="str">
        <x:v>1517_</x:v>
      </x:c>
      <x:c r="Q1270" s="14" t="str">
        <x:v>https://mb1advancedsolutions.github.io/mb1-catalog/index.html?design=1517</x:v>
      </x:c>
      <x:c r="R1270" s="14" t="str"/>
    </x:row>
    <x:row r="1271">
      <x:c r="A1271" s="13" t="str">
        <x:v>MB1-1518</x:v>
      </x:c>
      <x:c r="B1271" s="13" t="str">
        <x:v>MB1-1518</x:v>
      </x:c>
      <x:c r="C1271" s="14" t="str">
        <x:v>sunflower monogram Z</x:v>
      </x:c>
      <x:c r="D1271" s="14" t="str">
        <x:v>family &amp; name</x:v>
      </x:c>
      <x:c r="E1271" s="14" t="str">
        <x:v>https://res.cloudinary.com/oxygre42/image/upload/f_auto,q_auto,c_pad,b_white,w_1200,h_1200/v1788351370/1518_sunflower_monogram_Z.png</x:v>
      </x:c>
      <x:c r="F1271" s="14" t="str"/>
      <x:c r="G1271" s="14" t="str">
        <x:v>Lifestyle</x:v>
      </x:c>
      <x:c r="H1271" s="14" t="str"/>
      <x:c r="I1271" s="14" t="str">
        <x:v>Detail</x:v>
      </x:c>
      <x:c r="J1271" s="14" t="str"/>
      <x:c r="K1271" s="14" t="str">
        <x:v>Scale</x:v>
      </x:c>
      <x:c r="L1271" s="14" t="str"/>
      <x:c r="M1271" s="14" t="str">
        <x:v>Alternate</x:v>
      </x:c>
      <x:c r="N1271" s="14" t="n">
        <x:f>IF(E1271&lt;&gt;"",1,0)+IF(F1271&lt;&gt;"",1,0)+IF(H1271&lt;&gt;"",1,0)+IF(J1271&lt;&gt;"",1,0)+IF(L1271&lt;&gt;"",1,0)</x:f>
        <x:v>1</x:v>
      </x:c>
      <x:c r="O1271" s="14" t="str">
        <x:f>IF(E1271="","MISSING MAIN",IF(N1271=1,"MAIN ONLY","MULTI-PHOTO"))</x:f>
        <x:v>MAIN ONLY</x:v>
      </x:c>
      <x:c r="P1271" s="14" t="str">
        <x:v>1518_</x:v>
      </x:c>
      <x:c r="Q1271" s="14" t="str">
        <x:v>https://mb1advancedsolutions.github.io/mb1-catalog/index.html?design=1518</x:v>
      </x:c>
      <x:c r="R1271" s="14" t="str"/>
    </x:row>
    <x:row r="1272">
      <x:c r="A1272" s="13" t="str">
        <x:v>MB1-1519</x:v>
      </x:c>
      <x:c r="B1272" s="13" t="str">
        <x:v>MB1-1519</x:v>
      </x:c>
      <x:c r="C1272" s="14" t="str">
        <x:v>tree of life 1</x:v>
      </x:c>
      <x:c r="D1272" s="14" t="str">
        <x:v>home decor and inspirational</x:v>
      </x:c>
      <x:c r="E1272" s="14" t="str">
        <x:v>https://res.cloudinary.com/oxygre42/image/upload/f_auto,q_auto,c_pad,b_white,w_1200,h_1200/v1788351372/1519_tree_of_life_1.png</x:v>
      </x:c>
      <x:c r="F1272" s="14" t="str"/>
      <x:c r="G1272" s="14" t="str">
        <x:v>Lifestyle</x:v>
      </x:c>
      <x:c r="H1272" s="14" t="str"/>
      <x:c r="I1272" s="14" t="str">
        <x:v>Detail</x:v>
      </x:c>
      <x:c r="J1272" s="14" t="str"/>
      <x:c r="K1272" s="14" t="str">
        <x:v>Scale</x:v>
      </x:c>
      <x:c r="L1272" s="14" t="str"/>
      <x:c r="M1272" s="14" t="str">
        <x:v>Alternate</x:v>
      </x:c>
      <x:c r="N1272" s="14" t="n">
        <x:f>IF(E1272&lt;&gt;"",1,0)+IF(F1272&lt;&gt;"",1,0)+IF(H1272&lt;&gt;"",1,0)+IF(J1272&lt;&gt;"",1,0)+IF(L1272&lt;&gt;"",1,0)</x:f>
        <x:v>1</x:v>
      </x:c>
      <x:c r="O1272" s="14" t="str">
        <x:f>IF(E1272="","MISSING MAIN",IF(N1272=1,"MAIN ONLY","MULTI-PHOTO"))</x:f>
        <x:v>MAIN ONLY</x:v>
      </x:c>
      <x:c r="P1272" s="14" t="str">
        <x:v>1519_</x:v>
      </x:c>
      <x:c r="Q1272" s="14" t="str">
        <x:v>https://mb1advancedsolutions.github.io/mb1-catalog/index.html?design=1519</x:v>
      </x:c>
      <x:c r="R1272" s="14" t="str"/>
    </x:row>
    <x:row r="1273">
      <x:c r="A1273" s="13" t="str">
        <x:v>MB1-1520</x:v>
      </x:c>
      <x:c r="B1273" s="13" t="str">
        <x:v>MB1-1520</x:v>
      </x:c>
      <x:c r="C1273" s="14" t="str">
        <x:v>tree of life 10</x:v>
      </x:c>
      <x:c r="D1273" s="14" t="str">
        <x:v>home decor and inspirational</x:v>
      </x:c>
      <x:c r="E1273" s="14" t="str">
        <x:v>https://res.cloudinary.com/oxygre42/image/upload/f_auto,q_auto,c_pad,b_white,w_1200,h_1200/v1788351373/1520_tree_of_life_10.png</x:v>
      </x:c>
      <x:c r="F1273" s="14" t="str"/>
      <x:c r="G1273" s="14" t="str">
        <x:v>Lifestyle</x:v>
      </x:c>
      <x:c r="H1273" s="14" t="str"/>
      <x:c r="I1273" s="14" t="str">
        <x:v>Detail</x:v>
      </x:c>
      <x:c r="J1273" s="14" t="str"/>
      <x:c r="K1273" s="14" t="str">
        <x:v>Scale</x:v>
      </x:c>
      <x:c r="L1273" s="14" t="str"/>
      <x:c r="M1273" s="14" t="str">
        <x:v>Alternate</x:v>
      </x:c>
      <x:c r="N1273" s="14" t="n">
        <x:f>IF(E1273&lt;&gt;"",1,0)+IF(F1273&lt;&gt;"",1,0)+IF(H1273&lt;&gt;"",1,0)+IF(J1273&lt;&gt;"",1,0)+IF(L1273&lt;&gt;"",1,0)</x:f>
        <x:v>1</x:v>
      </x:c>
      <x:c r="O1273" s="14" t="str">
        <x:f>IF(E1273="","MISSING MAIN",IF(N1273=1,"MAIN ONLY","MULTI-PHOTO"))</x:f>
        <x:v>MAIN ONLY</x:v>
      </x:c>
      <x:c r="P1273" s="14" t="str">
        <x:v>1520_</x:v>
      </x:c>
      <x:c r="Q1273" s="14" t="str">
        <x:v>https://mb1advancedsolutions.github.io/mb1-catalog/index.html?design=1520</x:v>
      </x:c>
      <x:c r="R1273" s="14" t="str"/>
    </x:row>
    <x:row r="1274">
      <x:c r="A1274" s="13" t="str">
        <x:v>MB1-1521</x:v>
      </x:c>
      <x:c r="B1274" s="13" t="str">
        <x:v>MB1-1521</x:v>
      </x:c>
      <x:c r="C1274" s="14" t="str">
        <x:v>tree of life 11</x:v>
      </x:c>
      <x:c r="D1274" s="14" t="str">
        <x:v>home decor and inspirational</x:v>
      </x:c>
      <x:c r="E1274" s="14" t="str">
        <x:v>https://res.cloudinary.com/oxygre42/image/upload/f_auto,q_auto,c_pad,b_white,w_1200,h_1200/v1788351375/1521_tree_of_life_11.png</x:v>
      </x:c>
      <x:c r="F1274" s="14" t="str"/>
      <x:c r="G1274" s="14" t="str">
        <x:v>Lifestyle</x:v>
      </x:c>
      <x:c r="H1274" s="14" t="str"/>
      <x:c r="I1274" s="14" t="str">
        <x:v>Detail</x:v>
      </x:c>
      <x:c r="J1274" s="14" t="str"/>
      <x:c r="K1274" s="14" t="str">
        <x:v>Scale</x:v>
      </x:c>
      <x:c r="L1274" s="14" t="str"/>
      <x:c r="M1274" s="14" t="str">
        <x:v>Alternate</x:v>
      </x:c>
      <x:c r="N1274" s="14" t="n">
        <x:f>IF(E1274&lt;&gt;"",1,0)+IF(F1274&lt;&gt;"",1,0)+IF(H1274&lt;&gt;"",1,0)+IF(J1274&lt;&gt;"",1,0)+IF(L1274&lt;&gt;"",1,0)</x:f>
        <x:v>1</x:v>
      </x:c>
      <x:c r="O1274" s="14" t="str">
        <x:f>IF(E1274="","MISSING MAIN",IF(N1274=1,"MAIN ONLY","MULTI-PHOTO"))</x:f>
        <x:v>MAIN ONLY</x:v>
      </x:c>
      <x:c r="P1274" s="14" t="str">
        <x:v>1521_</x:v>
      </x:c>
      <x:c r="Q1274" s="14" t="str">
        <x:v>https://mb1advancedsolutions.github.io/mb1-catalog/index.html?design=1521</x:v>
      </x:c>
      <x:c r="R1274" s="14" t="str"/>
    </x:row>
    <x:row r="1275">
      <x:c r="A1275" s="13" t="str">
        <x:v>MB1-1522</x:v>
      </x:c>
      <x:c r="B1275" s="13" t="str">
        <x:v>MB1-1522</x:v>
      </x:c>
      <x:c r="C1275" s="14" t="str">
        <x:v>tree of life 12</x:v>
      </x:c>
      <x:c r="D1275" s="14" t="str">
        <x:v>home decor and inspirational</x:v>
      </x:c>
      <x:c r="E1275" s="14" t="str">
        <x:v>https://res.cloudinary.com/oxygre42/image/upload/f_auto,q_auto,c_pad,b_white,w_1200,h_1200/v1788351377/1522_tree_of_life_12.png</x:v>
      </x:c>
      <x:c r="F1275" s="14" t="str"/>
      <x:c r="G1275" s="14" t="str">
        <x:v>Lifestyle</x:v>
      </x:c>
      <x:c r="H1275" s="14" t="str"/>
      <x:c r="I1275" s="14" t="str">
        <x:v>Detail</x:v>
      </x:c>
      <x:c r="J1275" s="14" t="str"/>
      <x:c r="K1275" s="14" t="str">
        <x:v>Scale</x:v>
      </x:c>
      <x:c r="L1275" s="14" t="str"/>
      <x:c r="M1275" s="14" t="str">
        <x:v>Alternate</x:v>
      </x:c>
      <x:c r="N1275" s="14" t="n">
        <x:f>IF(E1275&lt;&gt;"",1,0)+IF(F1275&lt;&gt;"",1,0)+IF(H1275&lt;&gt;"",1,0)+IF(J1275&lt;&gt;"",1,0)+IF(L1275&lt;&gt;"",1,0)</x:f>
        <x:v>1</x:v>
      </x:c>
      <x:c r="O1275" s="14" t="str">
        <x:f>IF(E1275="","MISSING MAIN",IF(N1275=1,"MAIN ONLY","MULTI-PHOTO"))</x:f>
        <x:v>MAIN ONLY</x:v>
      </x:c>
      <x:c r="P1275" s="14" t="str">
        <x:v>1522_</x:v>
      </x:c>
      <x:c r="Q1275" s="14" t="str">
        <x:v>https://mb1advancedsolutions.github.io/mb1-catalog/index.html?design=1522</x:v>
      </x:c>
      <x:c r="R1275" s="14" t="str"/>
    </x:row>
    <x:row r="1276">
      <x:c r="A1276" s="13" t="str">
        <x:v>MB1-1523</x:v>
      </x:c>
      <x:c r="B1276" s="13" t="str">
        <x:v>MB1-1523</x:v>
      </x:c>
      <x:c r="C1276" s="14" t="str">
        <x:v>tree of life 13</x:v>
      </x:c>
      <x:c r="D1276" s="14" t="str">
        <x:v>home decor and inspirational</x:v>
      </x:c>
      <x:c r="E1276" s="14" t="str">
        <x:v>https://res.cloudinary.com/oxygre42/image/upload/f_auto,q_auto,c_pad,b_white,w_1200,h_1200/v1788351379/1523_tree_of_life_13.png</x:v>
      </x:c>
      <x:c r="F1276" s="14" t="str"/>
      <x:c r="G1276" s="14" t="str">
        <x:v>Lifestyle</x:v>
      </x:c>
      <x:c r="H1276" s="14" t="str"/>
      <x:c r="I1276" s="14" t="str">
        <x:v>Detail</x:v>
      </x:c>
      <x:c r="J1276" s="14" t="str"/>
      <x:c r="K1276" s="14" t="str">
        <x:v>Scale</x:v>
      </x:c>
      <x:c r="L1276" s="14" t="str"/>
      <x:c r="M1276" s="14" t="str">
        <x:v>Alternate</x:v>
      </x:c>
      <x:c r="N1276" s="14" t="n">
        <x:f>IF(E1276&lt;&gt;"",1,0)+IF(F1276&lt;&gt;"",1,0)+IF(H1276&lt;&gt;"",1,0)+IF(J1276&lt;&gt;"",1,0)+IF(L1276&lt;&gt;"",1,0)</x:f>
        <x:v>1</x:v>
      </x:c>
      <x:c r="O1276" s="14" t="str">
        <x:f>IF(E1276="","MISSING MAIN",IF(N1276=1,"MAIN ONLY","MULTI-PHOTO"))</x:f>
        <x:v>MAIN ONLY</x:v>
      </x:c>
      <x:c r="P1276" s="14" t="str">
        <x:v>1523_</x:v>
      </x:c>
      <x:c r="Q1276" s="14" t="str">
        <x:v>https://mb1advancedsolutions.github.io/mb1-catalog/index.html?design=1523</x:v>
      </x:c>
      <x:c r="R1276" s="14" t="str"/>
    </x:row>
    <x:row r="1277">
      <x:c r="A1277" s="13" t="str">
        <x:v>MB1-1524</x:v>
      </x:c>
      <x:c r="B1277" s="13" t="str">
        <x:v>MB1-1524</x:v>
      </x:c>
      <x:c r="C1277" s="14" t="str">
        <x:v>tree of life 14</x:v>
      </x:c>
      <x:c r="D1277" s="14" t="str">
        <x:v>home decor and inspirational</x:v>
      </x:c>
      <x:c r="E1277" s="14" t="str">
        <x:v>https://res.cloudinary.com/oxygre42/image/upload/f_auto,q_auto,c_pad,b_white,w_1200,h_1200/v1788351381/1524_tree_of_life_14.png</x:v>
      </x:c>
      <x:c r="F1277" s="14" t="str"/>
      <x:c r="G1277" s="14" t="str">
        <x:v>Lifestyle</x:v>
      </x:c>
      <x:c r="H1277" s="14" t="str"/>
      <x:c r="I1277" s="14" t="str">
        <x:v>Detail</x:v>
      </x:c>
      <x:c r="J1277" s="14" t="str"/>
      <x:c r="K1277" s="14" t="str">
        <x:v>Scale</x:v>
      </x:c>
      <x:c r="L1277" s="14" t="str"/>
      <x:c r="M1277" s="14" t="str">
        <x:v>Alternate</x:v>
      </x:c>
      <x:c r="N1277" s="14" t="n">
        <x:f>IF(E1277&lt;&gt;"",1,0)+IF(F1277&lt;&gt;"",1,0)+IF(H1277&lt;&gt;"",1,0)+IF(J1277&lt;&gt;"",1,0)+IF(L1277&lt;&gt;"",1,0)</x:f>
        <x:v>1</x:v>
      </x:c>
      <x:c r="O1277" s="14" t="str">
        <x:f>IF(E1277="","MISSING MAIN",IF(N1277=1,"MAIN ONLY","MULTI-PHOTO"))</x:f>
        <x:v>MAIN ONLY</x:v>
      </x:c>
      <x:c r="P1277" s="14" t="str">
        <x:v>1524_</x:v>
      </x:c>
      <x:c r="Q1277" s="14" t="str">
        <x:v>https://mb1advancedsolutions.github.io/mb1-catalog/index.html?design=1524</x:v>
      </x:c>
      <x:c r="R1277" s="14" t="str"/>
    </x:row>
    <x:row r="1278">
      <x:c r="A1278" s="13" t="str">
        <x:v>MB1-1525</x:v>
      </x:c>
      <x:c r="B1278" s="13" t="str">
        <x:v>MB1-1525</x:v>
      </x:c>
      <x:c r="C1278" s="14" t="str">
        <x:v>tree of life 15</x:v>
      </x:c>
      <x:c r="D1278" s="14" t="str">
        <x:v>home decor and inspirational</x:v>
      </x:c>
      <x:c r="E1278" s="14" t="str">
        <x:v>https://res.cloudinary.com/oxygre42/image/upload/f_auto,q_auto,c_pad,b_white,w_1200,h_1200/v1788351383/1525_tree_of_life_15.png</x:v>
      </x:c>
      <x:c r="F1278" s="14" t="str"/>
      <x:c r="G1278" s="14" t="str">
        <x:v>Lifestyle</x:v>
      </x:c>
      <x:c r="H1278" s="14" t="str"/>
      <x:c r="I1278" s="14" t="str">
        <x:v>Detail</x:v>
      </x:c>
      <x:c r="J1278" s="14" t="str"/>
      <x:c r="K1278" s="14" t="str">
        <x:v>Scale</x:v>
      </x:c>
      <x:c r="L1278" s="14" t="str"/>
      <x:c r="M1278" s="14" t="str">
        <x:v>Alternate</x:v>
      </x:c>
      <x:c r="N1278" s="14" t="n">
        <x:f>IF(E1278&lt;&gt;"",1,0)+IF(F1278&lt;&gt;"",1,0)+IF(H1278&lt;&gt;"",1,0)+IF(J1278&lt;&gt;"",1,0)+IF(L1278&lt;&gt;"",1,0)</x:f>
        <x:v>1</x:v>
      </x:c>
      <x:c r="O1278" s="14" t="str">
        <x:f>IF(E1278="","MISSING MAIN",IF(N1278=1,"MAIN ONLY","MULTI-PHOTO"))</x:f>
        <x:v>MAIN ONLY</x:v>
      </x:c>
      <x:c r="P1278" s="14" t="str">
        <x:v>1525_</x:v>
      </x:c>
      <x:c r="Q1278" s="14" t="str">
        <x:v>https://mb1advancedsolutions.github.io/mb1-catalog/index.html?design=1525</x:v>
      </x:c>
      <x:c r="R1278" s="14" t="str"/>
    </x:row>
    <x:row r="1279">
      <x:c r="A1279" s="13" t="str">
        <x:v>MB1-1526</x:v>
      </x:c>
      <x:c r="B1279" s="13" t="str">
        <x:v>MB1-1526</x:v>
      </x:c>
      <x:c r="C1279" s="14" t="str">
        <x:v>tree of life 16</x:v>
      </x:c>
      <x:c r="D1279" s="14" t="str">
        <x:v>home decor and inspirational</x:v>
      </x:c>
      <x:c r="E1279" s="14" t="str">
        <x:v>https://res.cloudinary.com/oxygre42/image/upload/f_auto,q_auto,c_pad,b_white,w_1200,h_1200/v1788351385/1526_tree_of_life_16.png</x:v>
      </x:c>
      <x:c r="F1279" s="14" t="str"/>
      <x:c r="G1279" s="14" t="str">
        <x:v>Lifestyle</x:v>
      </x:c>
      <x:c r="H1279" s="14" t="str"/>
      <x:c r="I1279" s="14" t="str">
        <x:v>Detail</x:v>
      </x:c>
      <x:c r="J1279" s="14" t="str"/>
      <x:c r="K1279" s="14" t="str">
        <x:v>Scale</x:v>
      </x:c>
      <x:c r="L1279" s="14" t="str"/>
      <x:c r="M1279" s="14" t="str">
        <x:v>Alternate</x:v>
      </x:c>
      <x:c r="N1279" s="14" t="n">
        <x:f>IF(E1279&lt;&gt;"",1,0)+IF(F1279&lt;&gt;"",1,0)+IF(H1279&lt;&gt;"",1,0)+IF(J1279&lt;&gt;"",1,0)+IF(L1279&lt;&gt;"",1,0)</x:f>
        <x:v>1</x:v>
      </x:c>
      <x:c r="O1279" s="14" t="str">
        <x:f>IF(E1279="","MISSING MAIN",IF(N1279=1,"MAIN ONLY","MULTI-PHOTO"))</x:f>
        <x:v>MAIN ONLY</x:v>
      </x:c>
      <x:c r="P1279" s="14" t="str">
        <x:v>1526_</x:v>
      </x:c>
      <x:c r="Q1279" s="14" t="str">
        <x:v>https://mb1advancedsolutions.github.io/mb1-catalog/index.html?design=1526</x:v>
      </x:c>
      <x:c r="R1279" s="14" t="str"/>
    </x:row>
    <x:row r="1280">
      <x:c r="A1280" s="13" t="str">
        <x:v>MB1-1527</x:v>
      </x:c>
      <x:c r="B1280" s="13" t="str">
        <x:v>MB1-1527</x:v>
      </x:c>
      <x:c r="C1280" s="14" t="str">
        <x:v>tree of life 17</x:v>
      </x:c>
      <x:c r="D1280" s="14" t="str">
        <x:v>home decor and inspirational</x:v>
      </x:c>
      <x:c r="E1280" s="14" t="str">
        <x:v>https://res.cloudinary.com/oxygre42/image/upload/f_auto,q_auto,c_pad,b_white,w_1200,h_1200/v1788351387/1527_tree_of_life_17.png</x:v>
      </x:c>
      <x:c r="F1280" s="14" t="str"/>
      <x:c r="G1280" s="14" t="str">
        <x:v>Lifestyle</x:v>
      </x:c>
      <x:c r="H1280" s="14" t="str"/>
      <x:c r="I1280" s="14" t="str">
        <x:v>Detail</x:v>
      </x:c>
      <x:c r="J1280" s="14" t="str"/>
      <x:c r="K1280" s="14" t="str">
        <x:v>Scale</x:v>
      </x:c>
      <x:c r="L1280" s="14" t="str"/>
      <x:c r="M1280" s="14" t="str">
        <x:v>Alternate</x:v>
      </x:c>
      <x:c r="N1280" s="14" t="n">
        <x:f>IF(E1280&lt;&gt;"",1,0)+IF(F1280&lt;&gt;"",1,0)+IF(H1280&lt;&gt;"",1,0)+IF(J1280&lt;&gt;"",1,0)+IF(L1280&lt;&gt;"",1,0)</x:f>
        <x:v>1</x:v>
      </x:c>
      <x:c r="O1280" s="14" t="str">
        <x:f>IF(E1280="","MISSING MAIN",IF(N1280=1,"MAIN ONLY","MULTI-PHOTO"))</x:f>
        <x:v>MAIN ONLY</x:v>
      </x:c>
      <x:c r="P1280" s="14" t="str">
        <x:v>1527_</x:v>
      </x:c>
      <x:c r="Q1280" s="14" t="str">
        <x:v>https://mb1advancedsolutions.github.io/mb1-catalog/index.html?design=1527</x:v>
      </x:c>
      <x:c r="R1280" s="14" t="str"/>
    </x:row>
    <x:row r="1281">
      <x:c r="A1281" s="13" t="str">
        <x:v>MB1-1528</x:v>
      </x:c>
      <x:c r="B1281" s="13" t="str">
        <x:v>MB1-1528</x:v>
      </x:c>
      <x:c r="C1281" s="14" t="str">
        <x:v>tree of life 18</x:v>
      </x:c>
      <x:c r="D1281" s="14" t="str">
        <x:v>home decor and inspirational</x:v>
      </x:c>
      <x:c r="E1281" s="14" t="str">
        <x:v>https://res.cloudinary.com/oxygre42/image/upload/f_auto,q_auto,c_pad,b_white,w_1200,h_1200/v1788351388/1528_tree_of_life_18.png</x:v>
      </x:c>
      <x:c r="F1281" s="14" t="str"/>
      <x:c r="G1281" s="14" t="str">
        <x:v>Lifestyle</x:v>
      </x:c>
      <x:c r="H1281" s="14" t="str"/>
      <x:c r="I1281" s="14" t="str">
        <x:v>Detail</x:v>
      </x:c>
      <x:c r="J1281" s="14" t="str"/>
      <x:c r="K1281" s="14" t="str">
        <x:v>Scale</x:v>
      </x:c>
      <x:c r="L1281" s="14" t="str"/>
      <x:c r="M1281" s="14" t="str">
        <x:v>Alternate</x:v>
      </x:c>
      <x:c r="N1281" s="14" t="n">
        <x:f>IF(E1281&lt;&gt;"",1,0)+IF(F1281&lt;&gt;"",1,0)+IF(H1281&lt;&gt;"",1,0)+IF(J1281&lt;&gt;"",1,0)+IF(L1281&lt;&gt;"",1,0)</x:f>
        <x:v>1</x:v>
      </x:c>
      <x:c r="O1281" s="14" t="str">
        <x:f>IF(E1281="","MISSING MAIN",IF(N1281=1,"MAIN ONLY","MULTI-PHOTO"))</x:f>
        <x:v>MAIN ONLY</x:v>
      </x:c>
      <x:c r="P1281" s="14" t="str">
        <x:v>1528_</x:v>
      </x:c>
      <x:c r="Q1281" s="14" t="str">
        <x:v>https://mb1advancedsolutions.github.io/mb1-catalog/index.html?design=1528</x:v>
      </x:c>
      <x:c r="R1281" s="14" t="str"/>
    </x:row>
    <x:row r="1282">
      <x:c r="A1282" s="13" t="str">
        <x:v>MB1-1529</x:v>
      </x:c>
      <x:c r="B1282" s="13" t="str">
        <x:v>MB1-1529</x:v>
      </x:c>
      <x:c r="C1282" s="14" t="str">
        <x:v>tree of life 19</x:v>
      </x:c>
      <x:c r="D1282" s="14" t="str">
        <x:v>home decor and inspirational</x:v>
      </x:c>
      <x:c r="E1282" s="14" t="str">
        <x:v>https://res.cloudinary.com/oxygre42/image/upload/f_auto,q_auto,c_pad,b_white,w_1200,h_1200/v1788351390/1529_tree_of_life_19.png</x:v>
      </x:c>
      <x:c r="F1282" s="14" t="str"/>
      <x:c r="G1282" s="14" t="str">
        <x:v>Lifestyle</x:v>
      </x:c>
      <x:c r="H1282" s="14" t="str"/>
      <x:c r="I1282" s="14" t="str">
        <x:v>Detail</x:v>
      </x:c>
      <x:c r="J1282" s="14" t="str"/>
      <x:c r="K1282" s="14" t="str">
        <x:v>Scale</x:v>
      </x:c>
      <x:c r="L1282" s="14" t="str"/>
      <x:c r="M1282" s="14" t="str">
        <x:v>Alternate</x:v>
      </x:c>
      <x:c r="N1282" s="14" t="n">
        <x:f>IF(E1282&lt;&gt;"",1,0)+IF(F1282&lt;&gt;"",1,0)+IF(H1282&lt;&gt;"",1,0)+IF(J1282&lt;&gt;"",1,0)+IF(L1282&lt;&gt;"",1,0)</x:f>
        <x:v>1</x:v>
      </x:c>
      <x:c r="O1282" s="14" t="str">
        <x:f>IF(E1282="","MISSING MAIN",IF(N1282=1,"MAIN ONLY","MULTI-PHOTO"))</x:f>
        <x:v>MAIN ONLY</x:v>
      </x:c>
      <x:c r="P1282" s="14" t="str">
        <x:v>1529_</x:v>
      </x:c>
      <x:c r="Q1282" s="14" t="str">
        <x:v>https://mb1advancedsolutions.github.io/mb1-catalog/index.html?design=1529</x:v>
      </x:c>
      <x:c r="R1282" s="14" t="str"/>
    </x:row>
    <x:row r="1283">
      <x:c r="A1283" s="13" t="str">
        <x:v>MB1-1530</x:v>
      </x:c>
      <x:c r="B1283" s="13" t="str">
        <x:v>MB1-1530</x:v>
      </x:c>
      <x:c r="C1283" s="14" t="str">
        <x:v>tree of life 2</x:v>
      </x:c>
      <x:c r="D1283" s="14" t="str">
        <x:v>home decor and inspirational</x:v>
      </x:c>
      <x:c r="E1283" s="14" t="str">
        <x:v>https://res.cloudinary.com/oxygre42/image/upload/f_auto,q_auto,c_pad,b_white,w_1200,h_1200/v1788351392/1530_tree_of_life_2.png</x:v>
      </x:c>
      <x:c r="F1283" s="14" t="str"/>
      <x:c r="G1283" s="14" t="str">
        <x:v>Lifestyle</x:v>
      </x:c>
      <x:c r="H1283" s="14" t="str"/>
      <x:c r="I1283" s="14" t="str">
        <x:v>Detail</x:v>
      </x:c>
      <x:c r="J1283" s="14" t="str"/>
      <x:c r="K1283" s="14" t="str">
        <x:v>Scale</x:v>
      </x:c>
      <x:c r="L1283" s="14" t="str"/>
      <x:c r="M1283" s="14" t="str">
        <x:v>Alternate</x:v>
      </x:c>
      <x:c r="N1283" s="14" t="n">
        <x:f>IF(E1283&lt;&gt;"",1,0)+IF(F1283&lt;&gt;"",1,0)+IF(H1283&lt;&gt;"",1,0)+IF(J1283&lt;&gt;"",1,0)+IF(L1283&lt;&gt;"",1,0)</x:f>
        <x:v>1</x:v>
      </x:c>
      <x:c r="O1283" s="14" t="str">
        <x:f>IF(E1283="","MISSING MAIN",IF(N1283=1,"MAIN ONLY","MULTI-PHOTO"))</x:f>
        <x:v>MAIN ONLY</x:v>
      </x:c>
      <x:c r="P1283" s="14" t="str">
        <x:v>1530_</x:v>
      </x:c>
      <x:c r="Q1283" s="14" t="str">
        <x:v>https://mb1advancedsolutions.github.io/mb1-catalog/index.html?design=1530</x:v>
      </x:c>
      <x:c r="R1283" s="14" t="str"/>
    </x:row>
    <x:row r="1284">
      <x:c r="A1284" s="13" t="str">
        <x:v>MB1-1531</x:v>
      </x:c>
      <x:c r="B1284" s="13" t="str">
        <x:v>MB1-1531</x:v>
      </x:c>
      <x:c r="C1284" s="14" t="str">
        <x:v>tree of life 20</x:v>
      </x:c>
      <x:c r="D1284" s="14" t="str">
        <x:v>home decor and inspirational</x:v>
      </x:c>
      <x:c r="E1284" s="14" t="str">
        <x:v>https://res.cloudinary.com/oxygre42/image/upload/f_auto,q_auto,c_pad,b_white,w_1200,h_1200/v1788351394/1531_tree_of_life_20.png</x:v>
      </x:c>
      <x:c r="F1284" s="14" t="str"/>
      <x:c r="G1284" s="14" t="str">
        <x:v>Lifestyle</x:v>
      </x:c>
      <x:c r="H1284" s="14" t="str"/>
      <x:c r="I1284" s="14" t="str">
        <x:v>Detail</x:v>
      </x:c>
      <x:c r="J1284" s="14" t="str"/>
      <x:c r="K1284" s="14" t="str">
        <x:v>Scale</x:v>
      </x:c>
      <x:c r="L1284" s="14" t="str"/>
      <x:c r="M1284" s="14" t="str">
        <x:v>Alternate</x:v>
      </x:c>
      <x:c r="N1284" s="14" t="n">
        <x:f>IF(E1284&lt;&gt;"",1,0)+IF(F1284&lt;&gt;"",1,0)+IF(H1284&lt;&gt;"",1,0)+IF(J1284&lt;&gt;"",1,0)+IF(L1284&lt;&gt;"",1,0)</x:f>
        <x:v>1</x:v>
      </x:c>
      <x:c r="O1284" s="14" t="str">
        <x:f>IF(E1284="","MISSING MAIN",IF(N1284=1,"MAIN ONLY","MULTI-PHOTO"))</x:f>
        <x:v>MAIN ONLY</x:v>
      </x:c>
      <x:c r="P1284" s="14" t="str">
        <x:v>1531_</x:v>
      </x:c>
      <x:c r="Q1284" s="14" t="str">
        <x:v>https://mb1advancedsolutions.github.io/mb1-catalog/index.html?design=1531</x:v>
      </x:c>
      <x:c r="R1284" s="14" t="str"/>
    </x:row>
    <x:row r="1285">
      <x:c r="A1285" s="13" t="str">
        <x:v>MB1-1532</x:v>
      </x:c>
      <x:c r="B1285" s="13" t="str">
        <x:v>MB1-1532</x:v>
      </x:c>
      <x:c r="C1285" s="14" t="str">
        <x:v>tree of life 21</x:v>
      </x:c>
      <x:c r="D1285" s="14" t="str">
        <x:v>home decor and inspirational</x:v>
      </x:c>
      <x:c r="E1285" s="14" t="str">
        <x:v>https://res.cloudinary.com/oxygre42/image/upload/f_auto,q_auto,c_pad,b_white,w_1200,h_1200/v1788351396/1532_tree_of_life_21.png</x:v>
      </x:c>
      <x:c r="F1285" s="14" t="str"/>
      <x:c r="G1285" s="14" t="str">
        <x:v>Lifestyle</x:v>
      </x:c>
      <x:c r="H1285" s="14" t="str"/>
      <x:c r="I1285" s="14" t="str">
        <x:v>Detail</x:v>
      </x:c>
      <x:c r="J1285" s="14" t="str"/>
      <x:c r="K1285" s="14" t="str">
        <x:v>Scale</x:v>
      </x:c>
      <x:c r="L1285" s="14" t="str"/>
      <x:c r="M1285" s="14" t="str">
        <x:v>Alternate</x:v>
      </x:c>
      <x:c r="N1285" s="14" t="n">
        <x:f>IF(E1285&lt;&gt;"",1,0)+IF(F1285&lt;&gt;"",1,0)+IF(H1285&lt;&gt;"",1,0)+IF(J1285&lt;&gt;"",1,0)+IF(L1285&lt;&gt;"",1,0)</x:f>
        <x:v>1</x:v>
      </x:c>
      <x:c r="O1285" s="14" t="str">
        <x:f>IF(E1285="","MISSING MAIN",IF(N1285=1,"MAIN ONLY","MULTI-PHOTO"))</x:f>
        <x:v>MAIN ONLY</x:v>
      </x:c>
      <x:c r="P1285" s="14" t="str">
        <x:v>1532_</x:v>
      </x:c>
      <x:c r="Q1285" s="14" t="str">
        <x:v>https://mb1advancedsolutions.github.io/mb1-catalog/index.html?design=1532</x:v>
      </x:c>
      <x:c r="R1285" s="14" t="str"/>
    </x:row>
    <x:row r="1286">
      <x:c r="A1286" s="13" t="str">
        <x:v>MB1-1533</x:v>
      </x:c>
      <x:c r="B1286" s="13" t="str">
        <x:v>MB1-1533</x:v>
      </x:c>
      <x:c r="C1286" s="14" t="str">
        <x:v>tree of life 22</x:v>
      </x:c>
      <x:c r="D1286" s="14" t="str">
        <x:v>home decor and inspirational</x:v>
      </x:c>
      <x:c r="E1286" s="14" t="str">
        <x:v>https://res.cloudinary.com/oxygre42/image/upload/f_auto,q_auto,c_pad,b_white,w_1200,h_1200/v1788351398/1533_tree_of_life_22.png</x:v>
      </x:c>
      <x:c r="F1286" s="14" t="str"/>
      <x:c r="G1286" s="14" t="str">
        <x:v>Lifestyle</x:v>
      </x:c>
      <x:c r="H1286" s="14" t="str"/>
      <x:c r="I1286" s="14" t="str">
        <x:v>Detail</x:v>
      </x:c>
      <x:c r="J1286" s="14" t="str"/>
      <x:c r="K1286" s="14" t="str">
        <x:v>Scale</x:v>
      </x:c>
      <x:c r="L1286" s="14" t="str"/>
      <x:c r="M1286" s="14" t="str">
        <x:v>Alternate</x:v>
      </x:c>
      <x:c r="N1286" s="14" t="n">
        <x:f>IF(E1286&lt;&gt;"",1,0)+IF(F1286&lt;&gt;"",1,0)+IF(H1286&lt;&gt;"",1,0)+IF(J1286&lt;&gt;"",1,0)+IF(L1286&lt;&gt;"",1,0)</x:f>
        <x:v>1</x:v>
      </x:c>
      <x:c r="O1286" s="14" t="str">
        <x:f>IF(E1286="","MISSING MAIN",IF(N1286=1,"MAIN ONLY","MULTI-PHOTO"))</x:f>
        <x:v>MAIN ONLY</x:v>
      </x:c>
      <x:c r="P1286" s="14" t="str">
        <x:v>1533_</x:v>
      </x:c>
      <x:c r="Q1286" s="14" t="str">
        <x:v>https://mb1advancedsolutions.github.io/mb1-catalog/index.html?design=1533</x:v>
      </x:c>
      <x:c r="R1286" s="14" t="str"/>
    </x:row>
    <x:row r="1287">
      <x:c r="A1287" s="13" t="str">
        <x:v>MB1-1534</x:v>
      </x:c>
      <x:c r="B1287" s="13" t="str">
        <x:v>MB1-1534</x:v>
      </x:c>
      <x:c r="C1287" s="14" t="str">
        <x:v>tree of life 23 </x:v>
      </x:c>
      <x:c r="D1287" s="14" t="str">
        <x:v>home decor and inspirational</x:v>
      </x:c>
      <x:c r="E1287" s="14" t="str">
        <x:v>https://res.cloudinary.com/oxygre42/image/upload/f_auto,q_auto,c_pad,b_white,w_1200,h_1200/v1788351400/1534_tree_of_life_23.png</x:v>
      </x:c>
      <x:c r="F1287" s="14" t="str"/>
      <x:c r="G1287" s="14" t="str">
        <x:v>Lifestyle</x:v>
      </x:c>
      <x:c r="H1287" s="14" t="str"/>
      <x:c r="I1287" s="14" t="str">
        <x:v>Detail</x:v>
      </x:c>
      <x:c r="J1287" s="14" t="str"/>
      <x:c r="K1287" s="14" t="str">
        <x:v>Scale</x:v>
      </x:c>
      <x:c r="L1287" s="14" t="str"/>
      <x:c r="M1287" s="14" t="str">
        <x:v>Alternate</x:v>
      </x:c>
      <x:c r="N1287" s="14" t="n">
        <x:f>IF(E1287&lt;&gt;"",1,0)+IF(F1287&lt;&gt;"",1,0)+IF(H1287&lt;&gt;"",1,0)+IF(J1287&lt;&gt;"",1,0)+IF(L1287&lt;&gt;"",1,0)</x:f>
        <x:v>1</x:v>
      </x:c>
      <x:c r="O1287" s="14" t="str">
        <x:f>IF(E1287="","MISSING MAIN",IF(N1287=1,"MAIN ONLY","MULTI-PHOTO"))</x:f>
        <x:v>MAIN ONLY</x:v>
      </x:c>
      <x:c r="P1287" s="14" t="str">
        <x:v>1534_</x:v>
      </x:c>
      <x:c r="Q1287" s="14" t="str">
        <x:v>https://mb1advancedsolutions.github.io/mb1-catalog/index.html?design=1534</x:v>
      </x:c>
      <x:c r="R1287" s="14" t="str"/>
    </x:row>
    <x:row r="1288">
      <x:c r="A1288" s="13" t="str">
        <x:v>MB1-1535</x:v>
      </x:c>
      <x:c r="B1288" s="13" t="str">
        <x:v>MB1-1535</x:v>
      </x:c>
      <x:c r="C1288" s="14" t="str">
        <x:v>tree of life 24</x:v>
      </x:c>
      <x:c r="D1288" s="14" t="str">
        <x:v>home decor and inspirational</x:v>
      </x:c>
      <x:c r="E1288" s="14" t="str">
        <x:v>https://res.cloudinary.com/oxygre42/image/upload/f_auto,q_auto,c_pad,b_white,w_1200,h_1200/v1788351402/1535_tree_of_life_24.png</x:v>
      </x:c>
      <x:c r="F1288" s="14" t="str"/>
      <x:c r="G1288" s="14" t="str">
        <x:v>Lifestyle</x:v>
      </x:c>
      <x:c r="H1288" s="14" t="str"/>
      <x:c r="I1288" s="14" t="str">
        <x:v>Detail</x:v>
      </x:c>
      <x:c r="J1288" s="14" t="str"/>
      <x:c r="K1288" s="14" t="str">
        <x:v>Scale</x:v>
      </x:c>
      <x:c r="L1288" s="14" t="str"/>
      <x:c r="M1288" s="14" t="str">
        <x:v>Alternate</x:v>
      </x:c>
      <x:c r="N1288" s="14" t="n">
        <x:f>IF(E1288&lt;&gt;"",1,0)+IF(F1288&lt;&gt;"",1,0)+IF(H1288&lt;&gt;"",1,0)+IF(J1288&lt;&gt;"",1,0)+IF(L1288&lt;&gt;"",1,0)</x:f>
        <x:v>1</x:v>
      </x:c>
      <x:c r="O1288" s="14" t="str">
        <x:f>IF(E1288="","MISSING MAIN",IF(N1288=1,"MAIN ONLY","MULTI-PHOTO"))</x:f>
        <x:v>MAIN ONLY</x:v>
      </x:c>
      <x:c r="P1288" s="14" t="str">
        <x:v>1535_</x:v>
      </x:c>
      <x:c r="Q1288" s="14" t="str">
        <x:v>https://mb1advancedsolutions.github.io/mb1-catalog/index.html?design=1535</x:v>
      </x:c>
      <x:c r="R1288" s="14" t="str"/>
    </x:row>
    <x:row r="1289">
      <x:c r="A1289" s="13" t="str">
        <x:v>MB1-1536</x:v>
      </x:c>
      <x:c r="B1289" s="13" t="str">
        <x:v>MB1-1536</x:v>
      </x:c>
      <x:c r="C1289" s="14" t="str">
        <x:v>tree of life 25</x:v>
      </x:c>
      <x:c r="D1289" s="14" t="str">
        <x:v>home decor and inspirational</x:v>
      </x:c>
      <x:c r="E1289" s="14" t="str">
        <x:v>https://res.cloudinary.com/oxygre42/image/upload/f_auto,q_auto,c_pad,b_white,w_1200,h_1200/v1788351404/1536_tree_of_life_25.png</x:v>
      </x:c>
      <x:c r="F1289" s="14" t="str"/>
      <x:c r="G1289" s="14" t="str">
        <x:v>Lifestyle</x:v>
      </x:c>
      <x:c r="H1289" s="14" t="str"/>
      <x:c r="I1289" s="14" t="str">
        <x:v>Detail</x:v>
      </x:c>
      <x:c r="J1289" s="14" t="str"/>
      <x:c r="K1289" s="14" t="str">
        <x:v>Scale</x:v>
      </x:c>
      <x:c r="L1289" s="14" t="str"/>
      <x:c r="M1289" s="14" t="str">
        <x:v>Alternate</x:v>
      </x:c>
      <x:c r="N1289" s="14" t="n">
        <x:f>IF(E1289&lt;&gt;"",1,0)+IF(F1289&lt;&gt;"",1,0)+IF(H1289&lt;&gt;"",1,0)+IF(J1289&lt;&gt;"",1,0)+IF(L1289&lt;&gt;"",1,0)</x:f>
        <x:v>1</x:v>
      </x:c>
      <x:c r="O1289" s="14" t="str">
        <x:f>IF(E1289="","MISSING MAIN",IF(N1289=1,"MAIN ONLY","MULTI-PHOTO"))</x:f>
        <x:v>MAIN ONLY</x:v>
      </x:c>
      <x:c r="P1289" s="14" t="str">
        <x:v>1536_</x:v>
      </x:c>
      <x:c r="Q1289" s="14" t="str">
        <x:v>https://mb1advancedsolutions.github.io/mb1-catalog/index.html?design=1536</x:v>
      </x:c>
      <x:c r="R1289" s="14" t="str"/>
    </x:row>
    <x:row r="1290">
      <x:c r="A1290" s="13" t="str">
        <x:v>MB1-1537</x:v>
      </x:c>
      <x:c r="B1290" s="13" t="str">
        <x:v>MB1-1537</x:v>
      </x:c>
      <x:c r="C1290" s="14" t="str">
        <x:v>tree of life 26</x:v>
      </x:c>
      <x:c r="D1290" s="14" t="str">
        <x:v>home decor and inspirational</x:v>
      </x:c>
      <x:c r="E1290" s="14" t="str">
        <x:v>https://res.cloudinary.com/oxygre42/image/upload/f_auto,q_auto,c_pad,b_white,w_1200,h_1200/v1788351405/1537_tree_of_life_26.png</x:v>
      </x:c>
      <x:c r="F1290" s="14" t="str"/>
      <x:c r="G1290" s="14" t="str">
        <x:v>Lifestyle</x:v>
      </x:c>
      <x:c r="H1290" s="14" t="str"/>
      <x:c r="I1290" s="14" t="str">
        <x:v>Detail</x:v>
      </x:c>
      <x:c r="J1290" s="14" t="str"/>
      <x:c r="K1290" s="14" t="str">
        <x:v>Scale</x:v>
      </x:c>
      <x:c r="L1290" s="14" t="str"/>
      <x:c r="M1290" s="14" t="str">
        <x:v>Alternate</x:v>
      </x:c>
      <x:c r="N1290" s="14" t="n">
        <x:f>IF(E1290&lt;&gt;"",1,0)+IF(F1290&lt;&gt;"",1,0)+IF(H1290&lt;&gt;"",1,0)+IF(J1290&lt;&gt;"",1,0)+IF(L1290&lt;&gt;"",1,0)</x:f>
        <x:v>1</x:v>
      </x:c>
      <x:c r="O1290" s="14" t="str">
        <x:f>IF(E1290="","MISSING MAIN",IF(N1290=1,"MAIN ONLY","MULTI-PHOTO"))</x:f>
        <x:v>MAIN ONLY</x:v>
      </x:c>
      <x:c r="P1290" s="14" t="str">
        <x:v>1537_</x:v>
      </x:c>
      <x:c r="Q1290" s="14" t="str">
        <x:v>https://mb1advancedsolutions.github.io/mb1-catalog/index.html?design=1537</x:v>
      </x:c>
      <x:c r="R1290" s="14" t="str"/>
    </x:row>
    <x:row r="1291">
      <x:c r="A1291" s="13" t="str">
        <x:v>MB1-1538</x:v>
      </x:c>
      <x:c r="B1291" s="13" t="str">
        <x:v>MB1-1538</x:v>
      </x:c>
      <x:c r="C1291" s="14" t="str">
        <x:v>tree of life 27</x:v>
      </x:c>
      <x:c r="D1291" s="14" t="str">
        <x:v>home decor and inspirational</x:v>
      </x:c>
      <x:c r="E1291" s="14" t="str">
        <x:v>https://res.cloudinary.com/oxygre42/image/upload/f_auto,q_auto,c_pad,b_white,w_1200,h_1200/v1788351407/1538_tree_of_life_27.png</x:v>
      </x:c>
      <x:c r="F1291" s="14" t="str"/>
      <x:c r="G1291" s="14" t="str">
        <x:v>Lifestyle</x:v>
      </x:c>
      <x:c r="H1291" s="14" t="str"/>
      <x:c r="I1291" s="14" t="str">
        <x:v>Detail</x:v>
      </x:c>
      <x:c r="J1291" s="14" t="str"/>
      <x:c r="K1291" s="14" t="str">
        <x:v>Scale</x:v>
      </x:c>
      <x:c r="L1291" s="14" t="str"/>
      <x:c r="M1291" s="14" t="str">
        <x:v>Alternate</x:v>
      </x:c>
      <x:c r="N1291" s="14" t="n">
        <x:f>IF(E1291&lt;&gt;"",1,0)+IF(F1291&lt;&gt;"",1,0)+IF(H1291&lt;&gt;"",1,0)+IF(J1291&lt;&gt;"",1,0)+IF(L1291&lt;&gt;"",1,0)</x:f>
        <x:v>1</x:v>
      </x:c>
      <x:c r="O1291" s="14" t="str">
        <x:f>IF(E1291="","MISSING MAIN",IF(N1291=1,"MAIN ONLY","MULTI-PHOTO"))</x:f>
        <x:v>MAIN ONLY</x:v>
      </x:c>
      <x:c r="P1291" s="14" t="str">
        <x:v>1538_</x:v>
      </x:c>
      <x:c r="Q1291" s="14" t="str">
        <x:v>https://mb1advancedsolutions.github.io/mb1-catalog/index.html?design=1538</x:v>
      </x:c>
      <x:c r="R1291" s="14" t="str"/>
    </x:row>
    <x:row r="1292">
      <x:c r="A1292" s="13" t="str">
        <x:v>MB1-1539</x:v>
      </x:c>
      <x:c r="B1292" s="13" t="str">
        <x:v>MB1-1539</x:v>
      </x:c>
      <x:c r="C1292" s="14" t="str">
        <x:v>tree of life 28</x:v>
      </x:c>
      <x:c r="D1292" s="14" t="str">
        <x:v>home decor and inspirational</x:v>
      </x:c>
      <x:c r="E1292" s="14" t="str">
        <x:v>https://res.cloudinary.com/oxygre42/image/upload/f_auto,q_auto,c_pad,b_white,w_1200,h_1200/v1788351409/1539_tree_of_life_28.png</x:v>
      </x:c>
      <x:c r="F1292" s="14" t="str"/>
      <x:c r="G1292" s="14" t="str">
        <x:v>Lifestyle</x:v>
      </x:c>
      <x:c r="H1292" s="14" t="str"/>
      <x:c r="I1292" s="14" t="str">
        <x:v>Detail</x:v>
      </x:c>
      <x:c r="J1292" s="14" t="str"/>
      <x:c r="K1292" s="14" t="str">
        <x:v>Scale</x:v>
      </x:c>
      <x:c r="L1292" s="14" t="str"/>
      <x:c r="M1292" s="14" t="str">
        <x:v>Alternate</x:v>
      </x:c>
      <x:c r="N1292" s="14" t="n">
        <x:f>IF(E1292&lt;&gt;"",1,0)+IF(F1292&lt;&gt;"",1,0)+IF(H1292&lt;&gt;"",1,0)+IF(J1292&lt;&gt;"",1,0)+IF(L1292&lt;&gt;"",1,0)</x:f>
        <x:v>1</x:v>
      </x:c>
      <x:c r="O1292" s="14" t="str">
        <x:f>IF(E1292="","MISSING MAIN",IF(N1292=1,"MAIN ONLY","MULTI-PHOTO"))</x:f>
        <x:v>MAIN ONLY</x:v>
      </x:c>
      <x:c r="P1292" s="14" t="str">
        <x:v>1539_</x:v>
      </x:c>
      <x:c r="Q1292" s="14" t="str">
        <x:v>https://mb1advancedsolutions.github.io/mb1-catalog/index.html?design=1539</x:v>
      </x:c>
      <x:c r="R1292" s="14" t="str"/>
    </x:row>
    <x:row r="1293">
      <x:c r="A1293" s="13" t="str">
        <x:v>MB1-1540</x:v>
      </x:c>
      <x:c r="B1293" s="13" t="str">
        <x:v>MB1-1540</x:v>
      </x:c>
      <x:c r="C1293" s="14" t="str">
        <x:v>tree of life 29</x:v>
      </x:c>
      <x:c r="D1293" s="14" t="str">
        <x:v>home decor and inspirational</x:v>
      </x:c>
      <x:c r="E1293" s="14" t="str">
        <x:v>https://res.cloudinary.com/oxygre42/image/upload/f_auto,q_auto,c_pad,b_white,w_1200,h_1200/v1788351411/1540_tree_of_life_29.png</x:v>
      </x:c>
      <x:c r="F1293" s="14" t="str"/>
      <x:c r="G1293" s="14" t="str">
        <x:v>Lifestyle</x:v>
      </x:c>
      <x:c r="H1293" s="14" t="str"/>
      <x:c r="I1293" s="14" t="str">
        <x:v>Detail</x:v>
      </x:c>
      <x:c r="J1293" s="14" t="str"/>
      <x:c r="K1293" s="14" t="str">
        <x:v>Scale</x:v>
      </x:c>
      <x:c r="L1293" s="14" t="str"/>
      <x:c r="M1293" s="14" t="str">
        <x:v>Alternate</x:v>
      </x:c>
      <x:c r="N1293" s="14" t="n">
        <x:f>IF(E1293&lt;&gt;"",1,0)+IF(F1293&lt;&gt;"",1,0)+IF(H1293&lt;&gt;"",1,0)+IF(J1293&lt;&gt;"",1,0)+IF(L1293&lt;&gt;"",1,0)</x:f>
        <x:v>1</x:v>
      </x:c>
      <x:c r="O1293" s="14" t="str">
        <x:f>IF(E1293="","MISSING MAIN",IF(N1293=1,"MAIN ONLY","MULTI-PHOTO"))</x:f>
        <x:v>MAIN ONLY</x:v>
      </x:c>
      <x:c r="P1293" s="14" t="str">
        <x:v>1540_</x:v>
      </x:c>
      <x:c r="Q1293" s="14" t="str">
        <x:v>https://mb1advancedsolutions.github.io/mb1-catalog/index.html?design=1540</x:v>
      </x:c>
      <x:c r="R1293" s="14" t="str"/>
    </x:row>
    <x:row r="1294">
      <x:c r="A1294" s="13" t="str">
        <x:v>MB1-1541</x:v>
      </x:c>
      <x:c r="B1294" s="13" t="str">
        <x:v>MB1-1541</x:v>
      </x:c>
      <x:c r="C1294" s="14" t="str">
        <x:v>tree of life 3</x:v>
      </x:c>
      <x:c r="D1294" s="14" t="str">
        <x:v>home decor and inspirational</x:v>
      </x:c>
      <x:c r="E1294" s="14" t="str">
        <x:v>https://res.cloudinary.com/oxygre42/image/upload/f_auto,q_auto,c_pad,b_white,w_1200,h_1200/v1788351413/1541_tree_of_life_3.png</x:v>
      </x:c>
      <x:c r="F1294" s="14" t="str"/>
      <x:c r="G1294" s="14" t="str">
        <x:v>Lifestyle</x:v>
      </x:c>
      <x:c r="H1294" s="14" t="str"/>
      <x:c r="I1294" s="14" t="str">
        <x:v>Detail</x:v>
      </x:c>
      <x:c r="J1294" s="14" t="str"/>
      <x:c r="K1294" s="14" t="str">
        <x:v>Scale</x:v>
      </x:c>
      <x:c r="L1294" s="14" t="str"/>
      <x:c r="M1294" s="14" t="str">
        <x:v>Alternate</x:v>
      </x:c>
      <x:c r="N1294" s="14" t="n">
        <x:f>IF(E1294&lt;&gt;"",1,0)+IF(F1294&lt;&gt;"",1,0)+IF(H1294&lt;&gt;"",1,0)+IF(J1294&lt;&gt;"",1,0)+IF(L1294&lt;&gt;"",1,0)</x:f>
        <x:v>1</x:v>
      </x:c>
      <x:c r="O1294" s="14" t="str">
        <x:f>IF(E1294="","MISSING MAIN",IF(N1294=1,"MAIN ONLY","MULTI-PHOTO"))</x:f>
        <x:v>MAIN ONLY</x:v>
      </x:c>
      <x:c r="P1294" s="14" t="str">
        <x:v>1541_</x:v>
      </x:c>
      <x:c r="Q1294" s="14" t="str">
        <x:v>https://mb1advancedsolutions.github.io/mb1-catalog/index.html?design=1541</x:v>
      </x:c>
      <x:c r="R1294" s="14" t="str"/>
    </x:row>
    <x:row r="1295">
      <x:c r="A1295" s="13" t="str">
        <x:v>MB1-1542</x:v>
      </x:c>
      <x:c r="B1295" s="13" t="str">
        <x:v>MB1-1542</x:v>
      </x:c>
      <x:c r="C1295" s="14" t="str">
        <x:v>tree of life 30</x:v>
      </x:c>
      <x:c r="D1295" s="14" t="str">
        <x:v>home decor and inspirational</x:v>
      </x:c>
      <x:c r="E1295" s="14" t="str">
        <x:v>https://res.cloudinary.com/oxygre42/image/upload/f_auto,q_auto,c_pad,b_white,w_1200,h_1200/v1788351415/1542_tree_of_life_30.png</x:v>
      </x:c>
      <x:c r="F1295" s="14" t="str"/>
      <x:c r="G1295" s="14" t="str">
        <x:v>Lifestyle</x:v>
      </x:c>
      <x:c r="H1295" s="14" t="str"/>
      <x:c r="I1295" s="14" t="str">
        <x:v>Detail</x:v>
      </x:c>
      <x:c r="J1295" s="14" t="str"/>
      <x:c r="K1295" s="14" t="str">
        <x:v>Scale</x:v>
      </x:c>
      <x:c r="L1295" s="14" t="str"/>
      <x:c r="M1295" s="14" t="str">
        <x:v>Alternate</x:v>
      </x:c>
      <x:c r="N1295" s="14" t="n">
        <x:f>IF(E1295&lt;&gt;"",1,0)+IF(F1295&lt;&gt;"",1,0)+IF(H1295&lt;&gt;"",1,0)+IF(J1295&lt;&gt;"",1,0)+IF(L1295&lt;&gt;"",1,0)</x:f>
        <x:v>1</x:v>
      </x:c>
      <x:c r="O1295" s="14" t="str">
        <x:f>IF(E1295="","MISSING MAIN",IF(N1295=1,"MAIN ONLY","MULTI-PHOTO"))</x:f>
        <x:v>MAIN ONLY</x:v>
      </x:c>
      <x:c r="P1295" s="14" t="str">
        <x:v>1542_</x:v>
      </x:c>
      <x:c r="Q1295" s="14" t="str">
        <x:v>https://mb1advancedsolutions.github.io/mb1-catalog/index.html?design=1542</x:v>
      </x:c>
      <x:c r="R1295" s="14" t="str"/>
    </x:row>
    <x:row r="1296">
      <x:c r="A1296" s="13" t="str">
        <x:v>MB1-1543</x:v>
      </x:c>
      <x:c r="B1296" s="13" t="str">
        <x:v>MB1-1543</x:v>
      </x:c>
      <x:c r="C1296" s="14" t="str">
        <x:v>tree of life 31</x:v>
      </x:c>
      <x:c r="D1296" s="14" t="str">
        <x:v>home decor and inspirational</x:v>
      </x:c>
      <x:c r="E1296" s="14" t="str">
        <x:v>https://res.cloudinary.com/oxygre42/image/upload/f_auto,q_auto,c_pad,b_white,w_1200,h_1200/v1788351417/1543_tree_of_life_31.png</x:v>
      </x:c>
      <x:c r="F1296" s="14" t="str"/>
      <x:c r="G1296" s="14" t="str">
        <x:v>Lifestyle</x:v>
      </x:c>
      <x:c r="H1296" s="14" t="str"/>
      <x:c r="I1296" s="14" t="str">
        <x:v>Detail</x:v>
      </x:c>
      <x:c r="J1296" s="14" t="str"/>
      <x:c r="K1296" s="14" t="str">
        <x:v>Scale</x:v>
      </x:c>
      <x:c r="L1296" s="14" t="str"/>
      <x:c r="M1296" s="14" t="str">
        <x:v>Alternate</x:v>
      </x:c>
      <x:c r="N1296" s="14" t="n">
        <x:f>IF(E1296&lt;&gt;"",1,0)+IF(F1296&lt;&gt;"",1,0)+IF(H1296&lt;&gt;"",1,0)+IF(J1296&lt;&gt;"",1,0)+IF(L1296&lt;&gt;"",1,0)</x:f>
        <x:v>1</x:v>
      </x:c>
      <x:c r="O1296" s="14" t="str">
        <x:f>IF(E1296="","MISSING MAIN",IF(N1296=1,"MAIN ONLY","MULTI-PHOTO"))</x:f>
        <x:v>MAIN ONLY</x:v>
      </x:c>
      <x:c r="P1296" s="14" t="str">
        <x:v>1543_</x:v>
      </x:c>
      <x:c r="Q1296" s="14" t="str">
        <x:v>https://mb1advancedsolutions.github.io/mb1-catalog/index.html?design=1543</x:v>
      </x:c>
      <x:c r="R1296" s="14" t="str"/>
    </x:row>
    <x:row r="1297">
      <x:c r="A1297" s="13" t="str">
        <x:v>MB1-1544</x:v>
      </x:c>
      <x:c r="B1297" s="13" t="str">
        <x:v>MB1-1544</x:v>
      </x:c>
      <x:c r="C1297" s="14" t="str">
        <x:v>tree of life 32</x:v>
      </x:c>
      <x:c r="D1297" s="14" t="str">
        <x:v>home decor and inspirational</x:v>
      </x:c>
      <x:c r="E1297" s="14" t="str">
        <x:v>https://res.cloudinary.com/oxygre42/image/upload/f_auto,q_auto,c_pad,b_white,w_1200,h_1200/v1788351419/1544_tree_of_life_32.png</x:v>
      </x:c>
      <x:c r="F1297" s="14" t="str"/>
      <x:c r="G1297" s="14" t="str">
        <x:v>Lifestyle</x:v>
      </x:c>
      <x:c r="H1297" s="14" t="str"/>
      <x:c r="I1297" s="14" t="str">
        <x:v>Detail</x:v>
      </x:c>
      <x:c r="J1297" s="14" t="str"/>
      <x:c r="K1297" s="14" t="str">
        <x:v>Scale</x:v>
      </x:c>
      <x:c r="L1297" s="14" t="str"/>
      <x:c r="M1297" s="14" t="str">
        <x:v>Alternate</x:v>
      </x:c>
      <x:c r="N1297" s="14" t="n">
        <x:f>IF(E1297&lt;&gt;"",1,0)+IF(F1297&lt;&gt;"",1,0)+IF(H1297&lt;&gt;"",1,0)+IF(J1297&lt;&gt;"",1,0)+IF(L1297&lt;&gt;"",1,0)</x:f>
        <x:v>1</x:v>
      </x:c>
      <x:c r="O1297" s="14" t="str">
        <x:f>IF(E1297="","MISSING MAIN",IF(N1297=1,"MAIN ONLY","MULTI-PHOTO"))</x:f>
        <x:v>MAIN ONLY</x:v>
      </x:c>
      <x:c r="P1297" s="14" t="str">
        <x:v>1544_</x:v>
      </x:c>
      <x:c r="Q1297" s="14" t="str">
        <x:v>https://mb1advancedsolutions.github.io/mb1-catalog/index.html?design=1544</x:v>
      </x:c>
      <x:c r="R1297" s="14" t="str"/>
    </x:row>
    <x:row r="1298">
      <x:c r="A1298" s="13" t="str">
        <x:v>MB1-1545</x:v>
      </x:c>
      <x:c r="B1298" s="13" t="str">
        <x:v>MB1-1545</x:v>
      </x:c>
      <x:c r="C1298" s="14" t="str">
        <x:v>tree of life 33</x:v>
      </x:c>
      <x:c r="D1298" s="14" t="str">
        <x:v>home decor and inspirational</x:v>
      </x:c>
      <x:c r="E1298" s="14" t="str">
        <x:v>https://res.cloudinary.com/oxygre42/image/upload/f_auto,q_auto,c_pad,b_white,w_1200,h_1200/v1788351420/1545_tree_of_life_33.png</x:v>
      </x:c>
      <x:c r="F1298" s="14" t="str"/>
      <x:c r="G1298" s="14" t="str">
        <x:v>Lifestyle</x:v>
      </x:c>
      <x:c r="H1298" s="14" t="str"/>
      <x:c r="I1298" s="14" t="str">
        <x:v>Detail</x:v>
      </x:c>
      <x:c r="J1298" s="14" t="str"/>
      <x:c r="K1298" s="14" t="str">
        <x:v>Scale</x:v>
      </x:c>
      <x:c r="L1298" s="14" t="str"/>
      <x:c r="M1298" s="14" t="str">
        <x:v>Alternate</x:v>
      </x:c>
      <x:c r="N1298" s="14" t="n">
        <x:f>IF(E1298&lt;&gt;"",1,0)+IF(F1298&lt;&gt;"",1,0)+IF(H1298&lt;&gt;"",1,0)+IF(J1298&lt;&gt;"",1,0)+IF(L1298&lt;&gt;"",1,0)</x:f>
        <x:v>1</x:v>
      </x:c>
      <x:c r="O1298" s="14" t="str">
        <x:f>IF(E1298="","MISSING MAIN",IF(N1298=1,"MAIN ONLY","MULTI-PHOTO"))</x:f>
        <x:v>MAIN ONLY</x:v>
      </x:c>
      <x:c r="P1298" s="14" t="str">
        <x:v>1545_</x:v>
      </x:c>
      <x:c r="Q1298" s="14" t="str">
        <x:v>https://mb1advancedsolutions.github.io/mb1-catalog/index.html?design=1545</x:v>
      </x:c>
      <x:c r="R1298" s="14" t="str"/>
    </x:row>
    <x:row r="1299">
      <x:c r="A1299" s="13" t="str">
        <x:v>MB1-1547</x:v>
      </x:c>
      <x:c r="B1299" s="13" t="str">
        <x:v>MB1-1547</x:v>
      </x:c>
      <x:c r="C1299" s="14" t="str">
        <x:v>tree of life 35</x:v>
      </x:c>
      <x:c r="D1299" s="14" t="str">
        <x:v>home decor and inspirational</x:v>
      </x:c>
      <x:c r="E1299" s="14" t="str">
        <x:v>https://res.cloudinary.com/oxygre42/image/upload/f_auto,q_auto,c_pad,b_white,w_1200,h_1200/v1788351422/1547_tree_of_life_35.png</x:v>
      </x:c>
      <x:c r="F1299" s="14" t="str"/>
      <x:c r="G1299" s="14" t="str">
        <x:v>Lifestyle</x:v>
      </x:c>
      <x:c r="H1299" s="14" t="str"/>
      <x:c r="I1299" s="14" t="str">
        <x:v>Detail</x:v>
      </x:c>
      <x:c r="J1299" s="14" t="str"/>
      <x:c r="K1299" s="14" t="str">
        <x:v>Scale</x:v>
      </x:c>
      <x:c r="L1299" s="14" t="str"/>
      <x:c r="M1299" s="14" t="str">
        <x:v>Alternate</x:v>
      </x:c>
      <x:c r="N1299" s="14" t="n">
        <x:f>IF(E1299&lt;&gt;"",1,0)+IF(F1299&lt;&gt;"",1,0)+IF(H1299&lt;&gt;"",1,0)+IF(J1299&lt;&gt;"",1,0)+IF(L1299&lt;&gt;"",1,0)</x:f>
        <x:v>1</x:v>
      </x:c>
      <x:c r="O1299" s="14" t="str">
        <x:f>IF(E1299="","MISSING MAIN",IF(N1299=1,"MAIN ONLY","MULTI-PHOTO"))</x:f>
        <x:v>MAIN ONLY</x:v>
      </x:c>
      <x:c r="P1299" s="14" t="str">
        <x:v>1547_</x:v>
      </x:c>
      <x:c r="Q1299" s="14" t="str">
        <x:v>https://mb1advancedsolutions.github.io/mb1-catalog/index.html?design=1547</x:v>
      </x:c>
      <x:c r="R1299" s="14" t="str"/>
    </x:row>
    <x:row r="1300">
      <x:c r="A1300" s="13" t="str">
        <x:v>MB1-1548</x:v>
      </x:c>
      <x:c r="B1300" s="13" t="str">
        <x:v>MB1-1548</x:v>
      </x:c>
      <x:c r="C1300" s="14" t="str">
        <x:v>tree of life 36</x:v>
      </x:c>
      <x:c r="D1300" s="14" t="str">
        <x:v>home decor and inspirational</x:v>
      </x:c>
      <x:c r="E1300" s="14" t="str">
        <x:v>https://res.cloudinary.com/oxygre42/image/upload/f_auto,q_auto,c_pad,b_white,w_1200,h_1200/v1788351424/1548_tree_of_life_36.png</x:v>
      </x:c>
      <x:c r="F1300" s="14" t="str"/>
      <x:c r="G1300" s="14" t="str">
        <x:v>Lifestyle</x:v>
      </x:c>
      <x:c r="H1300" s="14" t="str"/>
      <x:c r="I1300" s="14" t="str">
        <x:v>Detail</x:v>
      </x:c>
      <x:c r="J1300" s="14" t="str"/>
      <x:c r="K1300" s="14" t="str">
        <x:v>Scale</x:v>
      </x:c>
      <x:c r="L1300" s="14" t="str"/>
      <x:c r="M1300" s="14" t="str">
        <x:v>Alternate</x:v>
      </x:c>
      <x:c r="N1300" s="14" t="n">
        <x:f>IF(E1300&lt;&gt;"",1,0)+IF(F1300&lt;&gt;"",1,0)+IF(H1300&lt;&gt;"",1,0)+IF(J1300&lt;&gt;"",1,0)+IF(L1300&lt;&gt;"",1,0)</x:f>
        <x:v>1</x:v>
      </x:c>
      <x:c r="O1300" s="14" t="str">
        <x:f>IF(E1300="","MISSING MAIN",IF(N1300=1,"MAIN ONLY","MULTI-PHOTO"))</x:f>
        <x:v>MAIN ONLY</x:v>
      </x:c>
      <x:c r="P1300" s="14" t="str">
        <x:v>1548_</x:v>
      </x:c>
      <x:c r="Q1300" s="14" t="str">
        <x:v>https://mb1advancedsolutions.github.io/mb1-catalog/index.html?design=1548</x:v>
      </x:c>
      <x:c r="R1300" s="14" t="str"/>
    </x:row>
    <x:row r="1301">
      <x:c r="A1301" s="13" t="str">
        <x:v>MB1-1549</x:v>
      </x:c>
      <x:c r="B1301" s="13" t="str">
        <x:v>MB1-1549</x:v>
      </x:c>
      <x:c r="C1301" s="14" t="str">
        <x:v>tree of life 37</x:v>
      </x:c>
      <x:c r="D1301" s="14" t="str">
        <x:v>home decor and inspirational</x:v>
      </x:c>
      <x:c r="E1301" s="14" t="str">
        <x:v>https://res.cloudinary.com/oxygre42/image/upload/f_auto,q_auto,c_pad,b_white,w_1200,h_1200/v1788351426/1549_tree_of_life_37.png</x:v>
      </x:c>
      <x:c r="F1301" s="14" t="str"/>
      <x:c r="G1301" s="14" t="str">
        <x:v>Lifestyle</x:v>
      </x:c>
      <x:c r="H1301" s="14" t="str"/>
      <x:c r="I1301" s="14" t="str">
        <x:v>Detail</x:v>
      </x:c>
      <x:c r="J1301" s="14" t="str"/>
      <x:c r="K1301" s="14" t="str">
        <x:v>Scale</x:v>
      </x:c>
      <x:c r="L1301" s="14" t="str"/>
      <x:c r="M1301" s="14" t="str">
        <x:v>Alternate</x:v>
      </x:c>
      <x:c r="N1301" s="14" t="n">
        <x:f>IF(E1301&lt;&gt;"",1,0)+IF(F1301&lt;&gt;"",1,0)+IF(H1301&lt;&gt;"",1,0)+IF(J1301&lt;&gt;"",1,0)+IF(L1301&lt;&gt;"",1,0)</x:f>
        <x:v>1</x:v>
      </x:c>
      <x:c r="O1301" s="14" t="str">
        <x:f>IF(E1301="","MISSING MAIN",IF(N1301=1,"MAIN ONLY","MULTI-PHOTO"))</x:f>
        <x:v>MAIN ONLY</x:v>
      </x:c>
      <x:c r="P1301" s="14" t="str">
        <x:v>1549_</x:v>
      </x:c>
      <x:c r="Q1301" s="14" t="str">
        <x:v>https://mb1advancedsolutions.github.io/mb1-catalog/index.html?design=1549</x:v>
      </x:c>
      <x:c r="R1301" s="14" t="str"/>
    </x:row>
    <x:row r="1302">
      <x:c r="A1302" s="13" t="str">
        <x:v>MB1-1550</x:v>
      </x:c>
      <x:c r="B1302" s="13" t="str">
        <x:v>MB1-1550</x:v>
      </x:c>
      <x:c r="C1302" s="14" t="str">
        <x:v>tree of life 38</x:v>
      </x:c>
      <x:c r="D1302" s="14" t="str">
        <x:v>home decor and inspirational</x:v>
      </x:c>
      <x:c r="E1302" s="14" t="str">
        <x:v>https://res.cloudinary.com/oxygre42/image/upload/f_auto,q_auto,c_pad,b_white,w_1200,h_1200/v1788351428/1550_tree_of_life_38.png</x:v>
      </x:c>
      <x:c r="F1302" s="14" t="str"/>
      <x:c r="G1302" s="14" t="str">
        <x:v>Lifestyle</x:v>
      </x:c>
      <x:c r="H1302" s="14" t="str"/>
      <x:c r="I1302" s="14" t="str">
        <x:v>Detail</x:v>
      </x:c>
      <x:c r="J1302" s="14" t="str"/>
      <x:c r="K1302" s="14" t="str">
        <x:v>Scale</x:v>
      </x:c>
      <x:c r="L1302" s="14" t="str"/>
      <x:c r="M1302" s="14" t="str">
        <x:v>Alternate</x:v>
      </x:c>
      <x:c r="N1302" s="14" t="n">
        <x:f>IF(E1302&lt;&gt;"",1,0)+IF(F1302&lt;&gt;"",1,0)+IF(H1302&lt;&gt;"",1,0)+IF(J1302&lt;&gt;"",1,0)+IF(L1302&lt;&gt;"",1,0)</x:f>
        <x:v>1</x:v>
      </x:c>
      <x:c r="O1302" s="14" t="str">
        <x:f>IF(E1302="","MISSING MAIN",IF(N1302=1,"MAIN ONLY","MULTI-PHOTO"))</x:f>
        <x:v>MAIN ONLY</x:v>
      </x:c>
      <x:c r="P1302" s="14" t="str">
        <x:v>1550_</x:v>
      </x:c>
      <x:c r="Q1302" s="14" t="str">
        <x:v>https://mb1advancedsolutions.github.io/mb1-catalog/index.html?design=1550</x:v>
      </x:c>
      <x:c r="R1302" s="14" t="str"/>
    </x:row>
    <x:row r="1303">
      <x:c r="A1303" s="13" t="str">
        <x:v>MB1-1551</x:v>
      </x:c>
      <x:c r="B1303" s="13" t="str">
        <x:v>MB1-1551</x:v>
      </x:c>
      <x:c r="C1303" s="14" t="str">
        <x:v>tree of life 39</x:v>
      </x:c>
      <x:c r="D1303" s="14" t="str">
        <x:v>home decor and inspirational</x:v>
      </x:c>
      <x:c r="E1303" s="14" t="str">
        <x:v>https://res.cloudinary.com/oxygre42/image/upload/f_auto,q_auto,c_pad,b_white,w_1200,h_1200/v1788351430/1551_tree_of_life_39.png</x:v>
      </x:c>
      <x:c r="F1303" s="14" t="str"/>
      <x:c r="G1303" s="14" t="str">
        <x:v>Lifestyle</x:v>
      </x:c>
      <x:c r="H1303" s="14" t="str"/>
      <x:c r="I1303" s="14" t="str">
        <x:v>Detail</x:v>
      </x:c>
      <x:c r="J1303" s="14" t="str"/>
      <x:c r="K1303" s="14" t="str">
        <x:v>Scale</x:v>
      </x:c>
      <x:c r="L1303" s="14" t="str"/>
      <x:c r="M1303" s="14" t="str">
        <x:v>Alternate</x:v>
      </x:c>
      <x:c r="N1303" s="14" t="n">
        <x:f>IF(E1303&lt;&gt;"",1,0)+IF(F1303&lt;&gt;"",1,0)+IF(H1303&lt;&gt;"",1,0)+IF(J1303&lt;&gt;"",1,0)+IF(L1303&lt;&gt;"",1,0)</x:f>
        <x:v>1</x:v>
      </x:c>
      <x:c r="O1303" s="14" t="str">
        <x:f>IF(E1303="","MISSING MAIN",IF(N1303=1,"MAIN ONLY","MULTI-PHOTO"))</x:f>
        <x:v>MAIN ONLY</x:v>
      </x:c>
      <x:c r="P1303" s="14" t="str">
        <x:v>1551_</x:v>
      </x:c>
      <x:c r="Q1303" s="14" t="str">
        <x:v>https://mb1advancedsolutions.github.io/mb1-catalog/index.html?design=1551</x:v>
      </x:c>
      <x:c r="R1303" s="14" t="str"/>
    </x:row>
    <x:row r="1304">
      <x:c r="A1304" s="13" t="str">
        <x:v>MB1-1552</x:v>
      </x:c>
      <x:c r="B1304" s="13" t="str">
        <x:v>MB1-1552</x:v>
      </x:c>
      <x:c r="C1304" s="14" t="str">
        <x:v>tree of life 4</x:v>
      </x:c>
      <x:c r="D1304" s="14" t="str">
        <x:v>home decor and inspirational</x:v>
      </x:c>
      <x:c r="E1304" s="14" t="str">
        <x:v>https://res.cloudinary.com/oxygre42/image/upload/f_auto,q_auto,c_pad,b_white,w_1200,h_1200/v1788351432/1552_tree_of_life_4.png</x:v>
      </x:c>
      <x:c r="F1304" s="14" t="str"/>
      <x:c r="G1304" s="14" t="str">
        <x:v>Lifestyle</x:v>
      </x:c>
      <x:c r="H1304" s="14" t="str"/>
      <x:c r="I1304" s="14" t="str">
        <x:v>Detail</x:v>
      </x:c>
      <x:c r="J1304" s="14" t="str"/>
      <x:c r="K1304" s="14" t="str">
        <x:v>Scale</x:v>
      </x:c>
      <x:c r="L1304" s="14" t="str"/>
      <x:c r="M1304" s="14" t="str">
        <x:v>Alternate</x:v>
      </x:c>
      <x:c r="N1304" s="14" t="n">
        <x:f>IF(E1304&lt;&gt;"",1,0)+IF(F1304&lt;&gt;"",1,0)+IF(H1304&lt;&gt;"",1,0)+IF(J1304&lt;&gt;"",1,0)+IF(L1304&lt;&gt;"",1,0)</x:f>
        <x:v>1</x:v>
      </x:c>
      <x:c r="O1304" s="14" t="str">
        <x:f>IF(E1304="","MISSING MAIN",IF(N1304=1,"MAIN ONLY","MULTI-PHOTO"))</x:f>
        <x:v>MAIN ONLY</x:v>
      </x:c>
      <x:c r="P1304" s="14" t="str">
        <x:v>1552_</x:v>
      </x:c>
      <x:c r="Q1304" s="14" t="str">
        <x:v>https://mb1advancedsolutions.github.io/mb1-catalog/index.html?design=1552</x:v>
      </x:c>
      <x:c r="R1304" s="14" t="str"/>
    </x:row>
    <x:row r="1305">
      <x:c r="A1305" s="13" t="str">
        <x:v>MB1-1553</x:v>
      </x:c>
      <x:c r="B1305" s="13" t="str">
        <x:v>MB1-1553</x:v>
      </x:c>
      <x:c r="C1305" s="14" t="str">
        <x:v>tree of life 40</x:v>
      </x:c>
      <x:c r="D1305" s="14" t="str">
        <x:v>home decor and inspirational</x:v>
      </x:c>
      <x:c r="E1305" s="14" t="str">
        <x:v>https://res.cloudinary.com/oxygre42/image/upload/f_auto,q_auto,c_pad,b_white,w_1200,h_1200/v1788351434/1553_tree_of_life_40.png</x:v>
      </x:c>
      <x:c r="F1305" s="14" t="str"/>
      <x:c r="G1305" s="14" t="str">
        <x:v>Lifestyle</x:v>
      </x:c>
      <x:c r="H1305" s="14" t="str"/>
      <x:c r="I1305" s="14" t="str">
        <x:v>Detail</x:v>
      </x:c>
      <x:c r="J1305" s="14" t="str"/>
      <x:c r="K1305" s="14" t="str">
        <x:v>Scale</x:v>
      </x:c>
      <x:c r="L1305" s="14" t="str"/>
      <x:c r="M1305" s="14" t="str">
        <x:v>Alternate</x:v>
      </x:c>
      <x:c r="N1305" s="14" t="n">
        <x:f>IF(E1305&lt;&gt;"",1,0)+IF(F1305&lt;&gt;"",1,0)+IF(H1305&lt;&gt;"",1,0)+IF(J1305&lt;&gt;"",1,0)+IF(L1305&lt;&gt;"",1,0)</x:f>
        <x:v>1</x:v>
      </x:c>
      <x:c r="O1305" s="14" t="str">
        <x:f>IF(E1305="","MISSING MAIN",IF(N1305=1,"MAIN ONLY","MULTI-PHOTO"))</x:f>
        <x:v>MAIN ONLY</x:v>
      </x:c>
      <x:c r="P1305" s="14" t="str">
        <x:v>1553_</x:v>
      </x:c>
      <x:c r="Q1305" s="14" t="str">
        <x:v>https://mb1advancedsolutions.github.io/mb1-catalog/index.html?design=1553</x:v>
      </x:c>
      <x:c r="R1305" s="14" t="str"/>
    </x:row>
    <x:row r="1306">
      <x:c r="A1306" s="13" t="str">
        <x:v>MB1-1554</x:v>
      </x:c>
      <x:c r="B1306" s="13" t="str">
        <x:v>MB1-1554</x:v>
      </x:c>
      <x:c r="C1306" s="14" t="str">
        <x:v>tree of life 41</x:v>
      </x:c>
      <x:c r="D1306" s="14" t="str">
        <x:v>home decor and inspirational</x:v>
      </x:c>
      <x:c r="E1306" s="14" t="str">
        <x:v>https://res.cloudinary.com/oxygre42/image/upload/f_auto,q_auto,c_pad,b_white,w_1200,h_1200/v1788351435/1554_tree_of_life_41.png</x:v>
      </x:c>
      <x:c r="F1306" s="14" t="str"/>
      <x:c r="G1306" s="14" t="str">
        <x:v>Lifestyle</x:v>
      </x:c>
      <x:c r="H1306" s="14" t="str"/>
      <x:c r="I1306" s="14" t="str">
        <x:v>Detail</x:v>
      </x:c>
      <x:c r="J1306" s="14" t="str"/>
      <x:c r="K1306" s="14" t="str">
        <x:v>Scale</x:v>
      </x:c>
      <x:c r="L1306" s="14" t="str"/>
      <x:c r="M1306" s="14" t="str">
        <x:v>Alternate</x:v>
      </x:c>
      <x:c r="N1306" s="14" t="n">
        <x:f>IF(E1306&lt;&gt;"",1,0)+IF(F1306&lt;&gt;"",1,0)+IF(H1306&lt;&gt;"",1,0)+IF(J1306&lt;&gt;"",1,0)+IF(L1306&lt;&gt;"",1,0)</x:f>
        <x:v>1</x:v>
      </x:c>
      <x:c r="O1306" s="14" t="str">
        <x:f>IF(E1306="","MISSING MAIN",IF(N1306=1,"MAIN ONLY","MULTI-PHOTO"))</x:f>
        <x:v>MAIN ONLY</x:v>
      </x:c>
      <x:c r="P1306" s="14" t="str">
        <x:v>1554_</x:v>
      </x:c>
      <x:c r="Q1306" s="14" t="str">
        <x:v>https://mb1advancedsolutions.github.io/mb1-catalog/index.html?design=1554</x:v>
      </x:c>
      <x:c r="R1306" s="14" t="str"/>
    </x:row>
    <x:row r="1307">
      <x:c r="A1307" s="13" t="str">
        <x:v>MB1-1555</x:v>
      </x:c>
      <x:c r="B1307" s="13" t="str">
        <x:v>MB1-1555</x:v>
      </x:c>
      <x:c r="C1307" s="14" t="str">
        <x:v>tree of life 42</x:v>
      </x:c>
      <x:c r="D1307" s="14" t="str">
        <x:v>home decor and inspirational</x:v>
      </x:c>
      <x:c r="E1307" s="14" t="str">
        <x:v>https://res.cloudinary.com/oxygre42/image/upload/f_auto,q_auto,c_pad,b_white,w_1200,h_1200/v1788351437/1555_tree_of_life_42.png</x:v>
      </x:c>
      <x:c r="F1307" s="14" t="str"/>
      <x:c r="G1307" s="14" t="str">
        <x:v>Lifestyle</x:v>
      </x:c>
      <x:c r="H1307" s="14" t="str"/>
      <x:c r="I1307" s="14" t="str">
        <x:v>Detail</x:v>
      </x:c>
      <x:c r="J1307" s="14" t="str"/>
      <x:c r="K1307" s="14" t="str">
        <x:v>Scale</x:v>
      </x:c>
      <x:c r="L1307" s="14" t="str"/>
      <x:c r="M1307" s="14" t="str">
        <x:v>Alternate</x:v>
      </x:c>
      <x:c r="N1307" s="14" t="n">
        <x:f>IF(E1307&lt;&gt;"",1,0)+IF(F1307&lt;&gt;"",1,0)+IF(H1307&lt;&gt;"",1,0)+IF(J1307&lt;&gt;"",1,0)+IF(L1307&lt;&gt;"",1,0)</x:f>
        <x:v>1</x:v>
      </x:c>
      <x:c r="O1307" s="14" t="str">
        <x:f>IF(E1307="","MISSING MAIN",IF(N1307=1,"MAIN ONLY","MULTI-PHOTO"))</x:f>
        <x:v>MAIN ONLY</x:v>
      </x:c>
      <x:c r="P1307" s="14" t="str">
        <x:v>1555_</x:v>
      </x:c>
      <x:c r="Q1307" s="14" t="str">
        <x:v>https://mb1advancedsolutions.github.io/mb1-catalog/index.html?design=1555</x:v>
      </x:c>
      <x:c r="R1307" s="14" t="str"/>
    </x:row>
    <x:row r="1308">
      <x:c r="A1308" s="13" t="str">
        <x:v>MB1-1556</x:v>
      </x:c>
      <x:c r="B1308" s="13" t="str">
        <x:v>MB1-1556</x:v>
      </x:c>
      <x:c r="C1308" s="14" t="str">
        <x:v>tree of life 43</x:v>
      </x:c>
      <x:c r="D1308" s="14" t="str">
        <x:v>home decor and inspirational</x:v>
      </x:c>
      <x:c r="E1308" s="14" t="str">
        <x:v>https://res.cloudinary.com/oxygre42/image/upload/f_auto,q_auto,c_pad,b_white,w_1200,h_1200/v1788351439/1556_tree_of_life_43.png</x:v>
      </x:c>
      <x:c r="F1308" s="14" t="str"/>
      <x:c r="G1308" s="14" t="str">
        <x:v>Lifestyle</x:v>
      </x:c>
      <x:c r="H1308" s="14" t="str"/>
      <x:c r="I1308" s="14" t="str">
        <x:v>Detail</x:v>
      </x:c>
      <x:c r="J1308" s="14" t="str"/>
      <x:c r="K1308" s="14" t="str">
        <x:v>Scale</x:v>
      </x:c>
      <x:c r="L1308" s="14" t="str"/>
      <x:c r="M1308" s="14" t="str">
        <x:v>Alternate</x:v>
      </x:c>
      <x:c r="N1308" s="14" t="n">
        <x:f>IF(E1308&lt;&gt;"",1,0)+IF(F1308&lt;&gt;"",1,0)+IF(H1308&lt;&gt;"",1,0)+IF(J1308&lt;&gt;"",1,0)+IF(L1308&lt;&gt;"",1,0)</x:f>
        <x:v>1</x:v>
      </x:c>
      <x:c r="O1308" s="14" t="str">
        <x:f>IF(E1308="","MISSING MAIN",IF(N1308=1,"MAIN ONLY","MULTI-PHOTO"))</x:f>
        <x:v>MAIN ONLY</x:v>
      </x:c>
      <x:c r="P1308" s="14" t="str">
        <x:v>1556_</x:v>
      </x:c>
      <x:c r="Q1308" s="14" t="str">
        <x:v>https://mb1advancedsolutions.github.io/mb1-catalog/index.html?design=1556</x:v>
      </x:c>
      <x:c r="R1308" s="14" t="str"/>
    </x:row>
    <x:row r="1309">
      <x:c r="A1309" s="13" t="str">
        <x:v>MB1-1557</x:v>
      </x:c>
      <x:c r="B1309" s="13" t="str">
        <x:v>MB1-1557</x:v>
      </x:c>
      <x:c r="C1309" s="14" t="str">
        <x:v>tree of life 44</x:v>
      </x:c>
      <x:c r="D1309" s="14" t="str">
        <x:v>home decor and inspirational</x:v>
      </x:c>
      <x:c r="E1309" s="14" t="str">
        <x:v>https://res.cloudinary.com/oxygre42/image/upload/f_auto,q_auto,c_pad,b_white,w_1200,h_1200/v1788351441/1557_tree_of_life_44.png</x:v>
      </x:c>
      <x:c r="F1309" s="14" t="str"/>
      <x:c r="G1309" s="14" t="str">
        <x:v>Lifestyle</x:v>
      </x:c>
      <x:c r="H1309" s="14" t="str"/>
      <x:c r="I1309" s="14" t="str">
        <x:v>Detail</x:v>
      </x:c>
      <x:c r="J1309" s="14" t="str"/>
      <x:c r="K1309" s="14" t="str">
        <x:v>Scale</x:v>
      </x:c>
      <x:c r="L1309" s="14" t="str"/>
      <x:c r="M1309" s="14" t="str">
        <x:v>Alternate</x:v>
      </x:c>
      <x:c r="N1309" s="14" t="n">
        <x:f>IF(E1309&lt;&gt;"",1,0)+IF(F1309&lt;&gt;"",1,0)+IF(H1309&lt;&gt;"",1,0)+IF(J1309&lt;&gt;"",1,0)+IF(L1309&lt;&gt;"",1,0)</x:f>
        <x:v>1</x:v>
      </x:c>
      <x:c r="O1309" s="14" t="str">
        <x:f>IF(E1309="","MISSING MAIN",IF(N1309=1,"MAIN ONLY","MULTI-PHOTO"))</x:f>
        <x:v>MAIN ONLY</x:v>
      </x:c>
      <x:c r="P1309" s="14" t="str">
        <x:v>1557_</x:v>
      </x:c>
      <x:c r="Q1309" s="14" t="str">
        <x:v>https://mb1advancedsolutions.github.io/mb1-catalog/index.html?design=1557</x:v>
      </x:c>
      <x:c r="R1309" s="14" t="str"/>
    </x:row>
    <x:row r="1310">
      <x:c r="A1310" s="13" t="str">
        <x:v>MB1-1558</x:v>
      </x:c>
      <x:c r="B1310" s="13" t="str">
        <x:v>MB1-1558</x:v>
      </x:c>
      <x:c r="C1310" s="14" t="str">
        <x:v>tree of life 45</x:v>
      </x:c>
      <x:c r="D1310" s="14" t="str">
        <x:v>home decor and inspirational</x:v>
      </x:c>
      <x:c r="E1310" s="14" t="str">
        <x:v>https://res.cloudinary.com/oxygre42/image/upload/f_auto,q_auto,c_pad,b_white,w_1200,h_1200/v1788351443/1558_tree_of_life_45.png</x:v>
      </x:c>
      <x:c r="F1310" s="14" t="str"/>
      <x:c r="G1310" s="14" t="str">
        <x:v>Lifestyle</x:v>
      </x:c>
      <x:c r="H1310" s="14" t="str"/>
      <x:c r="I1310" s="14" t="str">
        <x:v>Detail</x:v>
      </x:c>
      <x:c r="J1310" s="14" t="str"/>
      <x:c r="K1310" s="14" t="str">
        <x:v>Scale</x:v>
      </x:c>
      <x:c r="L1310" s="14" t="str"/>
      <x:c r="M1310" s="14" t="str">
        <x:v>Alternate</x:v>
      </x:c>
      <x:c r="N1310" s="14" t="n">
        <x:f>IF(E1310&lt;&gt;"",1,0)+IF(F1310&lt;&gt;"",1,0)+IF(H1310&lt;&gt;"",1,0)+IF(J1310&lt;&gt;"",1,0)+IF(L1310&lt;&gt;"",1,0)</x:f>
        <x:v>1</x:v>
      </x:c>
      <x:c r="O1310" s="14" t="str">
        <x:f>IF(E1310="","MISSING MAIN",IF(N1310=1,"MAIN ONLY","MULTI-PHOTO"))</x:f>
        <x:v>MAIN ONLY</x:v>
      </x:c>
      <x:c r="P1310" s="14" t="str">
        <x:v>1558_</x:v>
      </x:c>
      <x:c r="Q1310" s="14" t="str">
        <x:v>https://mb1advancedsolutions.github.io/mb1-catalog/index.html?design=1558</x:v>
      </x:c>
      <x:c r="R1310" s="14" t="str"/>
    </x:row>
    <x:row r="1311">
      <x:c r="A1311" s="13" t="str">
        <x:v>MB1-1559</x:v>
      </x:c>
      <x:c r="B1311" s="13" t="str">
        <x:v>MB1-1559</x:v>
      </x:c>
      <x:c r="C1311" s="14" t="str">
        <x:v>tree of life 46</x:v>
      </x:c>
      <x:c r="D1311" s="14" t="str">
        <x:v>home decor and inspirational</x:v>
      </x:c>
      <x:c r="E1311" s="14" t="str">
        <x:v>https://res.cloudinary.com/oxygre42/image/upload/f_auto,q_auto,c_pad,b_white,w_1200,h_1200/v1788351445/1559_tree_of_life_46.png</x:v>
      </x:c>
      <x:c r="F1311" s="14" t="str"/>
      <x:c r="G1311" s="14" t="str">
        <x:v>Lifestyle</x:v>
      </x:c>
      <x:c r="H1311" s="14" t="str"/>
      <x:c r="I1311" s="14" t="str">
        <x:v>Detail</x:v>
      </x:c>
      <x:c r="J1311" s="14" t="str"/>
      <x:c r="K1311" s="14" t="str">
        <x:v>Scale</x:v>
      </x:c>
      <x:c r="L1311" s="14" t="str"/>
      <x:c r="M1311" s="14" t="str">
        <x:v>Alternate</x:v>
      </x:c>
      <x:c r="N1311" s="14" t="n">
        <x:f>IF(E1311&lt;&gt;"",1,0)+IF(F1311&lt;&gt;"",1,0)+IF(H1311&lt;&gt;"",1,0)+IF(J1311&lt;&gt;"",1,0)+IF(L1311&lt;&gt;"",1,0)</x:f>
        <x:v>1</x:v>
      </x:c>
      <x:c r="O1311" s="14" t="str">
        <x:f>IF(E1311="","MISSING MAIN",IF(N1311=1,"MAIN ONLY","MULTI-PHOTO"))</x:f>
        <x:v>MAIN ONLY</x:v>
      </x:c>
      <x:c r="P1311" s="14" t="str">
        <x:v>1559_</x:v>
      </x:c>
      <x:c r="Q1311" s="14" t="str">
        <x:v>https://mb1advancedsolutions.github.io/mb1-catalog/index.html?design=1559</x:v>
      </x:c>
      <x:c r="R1311" s="14" t="str"/>
    </x:row>
    <x:row r="1312">
      <x:c r="A1312" s="13" t="str">
        <x:v>MB1-1560</x:v>
      </x:c>
      <x:c r="B1312" s="13" t="str">
        <x:v>MB1-1560</x:v>
      </x:c>
      <x:c r="C1312" s="14" t="str">
        <x:v>tree of life 47</x:v>
      </x:c>
      <x:c r="D1312" s="14" t="str">
        <x:v>home decor and inspirational</x:v>
      </x:c>
      <x:c r="E1312" s="14" t="str">
        <x:v>https://res.cloudinary.com/oxygre42/image/upload/f_auto,q_auto,c_pad,b_white,w_1200,h_1200/v1788351447/1560_tree_of_life_47.png</x:v>
      </x:c>
      <x:c r="F1312" s="14" t="str"/>
      <x:c r="G1312" s="14" t="str">
        <x:v>Lifestyle</x:v>
      </x:c>
      <x:c r="H1312" s="14" t="str"/>
      <x:c r="I1312" s="14" t="str">
        <x:v>Detail</x:v>
      </x:c>
      <x:c r="J1312" s="14" t="str"/>
      <x:c r="K1312" s="14" t="str">
        <x:v>Scale</x:v>
      </x:c>
      <x:c r="L1312" s="14" t="str"/>
      <x:c r="M1312" s="14" t="str">
        <x:v>Alternate</x:v>
      </x:c>
      <x:c r="N1312" s="14" t="n">
        <x:f>IF(E1312&lt;&gt;"",1,0)+IF(F1312&lt;&gt;"",1,0)+IF(H1312&lt;&gt;"",1,0)+IF(J1312&lt;&gt;"",1,0)+IF(L1312&lt;&gt;"",1,0)</x:f>
        <x:v>1</x:v>
      </x:c>
      <x:c r="O1312" s="14" t="str">
        <x:f>IF(E1312="","MISSING MAIN",IF(N1312=1,"MAIN ONLY","MULTI-PHOTO"))</x:f>
        <x:v>MAIN ONLY</x:v>
      </x:c>
      <x:c r="P1312" s="14" t="str">
        <x:v>1560_</x:v>
      </x:c>
      <x:c r="Q1312" s="14" t="str">
        <x:v>https://mb1advancedsolutions.github.io/mb1-catalog/index.html?design=1560</x:v>
      </x:c>
      <x:c r="R1312" s="14" t="str"/>
    </x:row>
    <x:row r="1313">
      <x:c r="A1313" s="13" t="str">
        <x:v>MB1-1561</x:v>
      </x:c>
      <x:c r="B1313" s="13" t="str">
        <x:v>MB1-1561</x:v>
      </x:c>
      <x:c r="C1313" s="14" t="str">
        <x:v>tree of life 48</x:v>
      </x:c>
      <x:c r="D1313" s="14" t="str">
        <x:v>home decor and inspirational</x:v>
      </x:c>
      <x:c r="E1313" s="14" t="str">
        <x:v>https://res.cloudinary.com/oxygre42/image/upload/f_auto,q_auto,c_pad,b_white,w_1200,h_1200/v1788351449/1561_tree_of_life_48.png</x:v>
      </x:c>
      <x:c r="F1313" s="14" t="str"/>
      <x:c r="G1313" s="14" t="str">
        <x:v>Lifestyle</x:v>
      </x:c>
      <x:c r="H1313" s="14" t="str"/>
      <x:c r="I1313" s="14" t="str">
        <x:v>Detail</x:v>
      </x:c>
      <x:c r="J1313" s="14" t="str"/>
      <x:c r="K1313" s="14" t="str">
        <x:v>Scale</x:v>
      </x:c>
      <x:c r="L1313" s="14" t="str"/>
      <x:c r="M1313" s="14" t="str">
        <x:v>Alternate</x:v>
      </x:c>
      <x:c r="N1313" s="14" t="n">
        <x:f>IF(E1313&lt;&gt;"",1,0)+IF(F1313&lt;&gt;"",1,0)+IF(H1313&lt;&gt;"",1,0)+IF(J1313&lt;&gt;"",1,0)+IF(L1313&lt;&gt;"",1,0)</x:f>
        <x:v>1</x:v>
      </x:c>
      <x:c r="O1313" s="14" t="str">
        <x:f>IF(E1313="","MISSING MAIN",IF(N1313=1,"MAIN ONLY","MULTI-PHOTO"))</x:f>
        <x:v>MAIN ONLY</x:v>
      </x:c>
      <x:c r="P1313" s="14" t="str">
        <x:v>1561_</x:v>
      </x:c>
      <x:c r="Q1313" s="14" t="str">
        <x:v>https://mb1advancedsolutions.github.io/mb1-catalog/index.html?design=1561</x:v>
      </x:c>
      <x:c r="R1313" s="14" t="str"/>
    </x:row>
    <x:row r="1314">
      <x:c r="A1314" s="13" t="str">
        <x:v>MB1-1562</x:v>
      </x:c>
      <x:c r="B1314" s="13" t="str">
        <x:v>MB1-1562</x:v>
      </x:c>
      <x:c r="C1314" s="14" t="str">
        <x:v>tree of life 5</x:v>
      </x:c>
      <x:c r="D1314" s="14" t="str">
        <x:v>home decor and inspirational</x:v>
      </x:c>
      <x:c r="E1314" s="14" t="str">
        <x:v>https://res.cloudinary.com/oxygre42/image/upload/f_auto,q_auto,c_pad,b_white,w_1200,h_1200/v1788351451/1562_tree_of_life_5.png</x:v>
      </x:c>
      <x:c r="F1314" s="14" t="str"/>
      <x:c r="G1314" s="14" t="str">
        <x:v>Lifestyle</x:v>
      </x:c>
      <x:c r="H1314" s="14" t="str"/>
      <x:c r="I1314" s="14" t="str">
        <x:v>Detail</x:v>
      </x:c>
      <x:c r="J1314" s="14" t="str"/>
      <x:c r="K1314" s="14" t="str">
        <x:v>Scale</x:v>
      </x:c>
      <x:c r="L1314" s="14" t="str"/>
      <x:c r="M1314" s="14" t="str">
        <x:v>Alternate</x:v>
      </x:c>
      <x:c r="N1314" s="14" t="n">
        <x:f>IF(E1314&lt;&gt;"",1,0)+IF(F1314&lt;&gt;"",1,0)+IF(H1314&lt;&gt;"",1,0)+IF(J1314&lt;&gt;"",1,0)+IF(L1314&lt;&gt;"",1,0)</x:f>
        <x:v>1</x:v>
      </x:c>
      <x:c r="O1314" s="14" t="str">
        <x:f>IF(E1314="","MISSING MAIN",IF(N1314=1,"MAIN ONLY","MULTI-PHOTO"))</x:f>
        <x:v>MAIN ONLY</x:v>
      </x:c>
      <x:c r="P1314" s="14" t="str">
        <x:v>1562_</x:v>
      </x:c>
      <x:c r="Q1314" s="14" t="str">
        <x:v>https://mb1advancedsolutions.github.io/mb1-catalog/index.html?design=1562</x:v>
      </x:c>
      <x:c r="R1314" s="14" t="str"/>
    </x:row>
    <x:row r="1315">
      <x:c r="A1315" s="13" t="str">
        <x:v>MB1-1563</x:v>
      </x:c>
      <x:c r="B1315" s="13" t="str">
        <x:v>MB1-1563</x:v>
      </x:c>
      <x:c r="C1315" s="14" t="str">
        <x:v>tree of life 50</x:v>
      </x:c>
      <x:c r="D1315" s="14" t="str">
        <x:v>home decor and inspirational</x:v>
      </x:c>
      <x:c r="E1315" s="14" t="str">
        <x:v>https://res.cloudinary.com/oxygre42/image/upload/f_auto,q_auto,c_pad,b_white,w_1200,h_1200/v1788351452/1563_tree_of_life_50.png</x:v>
      </x:c>
      <x:c r="F1315" s="14" t="str"/>
      <x:c r="G1315" s="14" t="str">
        <x:v>Lifestyle</x:v>
      </x:c>
      <x:c r="H1315" s="14" t="str"/>
      <x:c r="I1315" s="14" t="str">
        <x:v>Detail</x:v>
      </x:c>
      <x:c r="J1315" s="14" t="str"/>
      <x:c r="K1315" s="14" t="str">
        <x:v>Scale</x:v>
      </x:c>
      <x:c r="L1315" s="14" t="str"/>
      <x:c r="M1315" s="14" t="str">
        <x:v>Alternate</x:v>
      </x:c>
      <x:c r="N1315" s="14" t="n">
        <x:f>IF(E1315&lt;&gt;"",1,0)+IF(F1315&lt;&gt;"",1,0)+IF(H1315&lt;&gt;"",1,0)+IF(J1315&lt;&gt;"",1,0)+IF(L1315&lt;&gt;"",1,0)</x:f>
        <x:v>1</x:v>
      </x:c>
      <x:c r="O1315" s="14" t="str">
        <x:f>IF(E1315="","MISSING MAIN",IF(N1315=1,"MAIN ONLY","MULTI-PHOTO"))</x:f>
        <x:v>MAIN ONLY</x:v>
      </x:c>
      <x:c r="P1315" s="14" t="str">
        <x:v>1563_</x:v>
      </x:c>
      <x:c r="Q1315" s="14" t="str">
        <x:v>https://mb1advancedsolutions.github.io/mb1-catalog/index.html?design=1563</x:v>
      </x:c>
      <x:c r="R1315" s="14" t="str"/>
    </x:row>
    <x:row r="1316">
      <x:c r="A1316" s="13" t="str">
        <x:v>MB1-1564</x:v>
      </x:c>
      <x:c r="B1316" s="13" t="str">
        <x:v>MB1-1564</x:v>
      </x:c>
      <x:c r="C1316" s="14" t="str">
        <x:v>tree of life 51</x:v>
      </x:c>
      <x:c r="D1316" s="14" t="str">
        <x:v>home decor and inspirational</x:v>
      </x:c>
      <x:c r="E1316" s="14" t="str">
        <x:v>https://res.cloudinary.com/oxygre42/image/upload/f_auto,q_auto,c_pad,b_white,w_1200,h_1200/v1788351454/1564_tree_of_life_51.png</x:v>
      </x:c>
      <x:c r="F1316" s="14" t="str"/>
      <x:c r="G1316" s="14" t="str">
        <x:v>Lifestyle</x:v>
      </x:c>
      <x:c r="H1316" s="14" t="str"/>
      <x:c r="I1316" s="14" t="str">
        <x:v>Detail</x:v>
      </x:c>
      <x:c r="J1316" s="14" t="str"/>
      <x:c r="K1316" s="14" t="str">
        <x:v>Scale</x:v>
      </x:c>
      <x:c r="L1316" s="14" t="str"/>
      <x:c r="M1316" s="14" t="str">
        <x:v>Alternate</x:v>
      </x:c>
      <x:c r="N1316" s="14" t="n">
        <x:f>IF(E1316&lt;&gt;"",1,0)+IF(F1316&lt;&gt;"",1,0)+IF(H1316&lt;&gt;"",1,0)+IF(J1316&lt;&gt;"",1,0)+IF(L1316&lt;&gt;"",1,0)</x:f>
        <x:v>1</x:v>
      </x:c>
      <x:c r="O1316" s="14" t="str">
        <x:f>IF(E1316="","MISSING MAIN",IF(N1316=1,"MAIN ONLY","MULTI-PHOTO"))</x:f>
        <x:v>MAIN ONLY</x:v>
      </x:c>
      <x:c r="P1316" s="14" t="str">
        <x:v>1564_</x:v>
      </x:c>
      <x:c r="Q1316" s="14" t="str">
        <x:v>https://mb1advancedsolutions.github.io/mb1-catalog/index.html?design=1564</x:v>
      </x:c>
      <x:c r="R1316" s="14" t="str"/>
    </x:row>
    <x:row r="1317">
      <x:c r="A1317" s="13" t="str">
        <x:v>MB1-1565</x:v>
      </x:c>
      <x:c r="B1317" s="13" t="str">
        <x:v>MB1-1565</x:v>
      </x:c>
      <x:c r="C1317" s="14" t="str">
        <x:v>tree of life 52</x:v>
      </x:c>
      <x:c r="D1317" s="14" t="str">
        <x:v>home decor and inspirational</x:v>
      </x:c>
      <x:c r="E1317" s="14" t="str">
        <x:v>https://res.cloudinary.com/oxygre42/image/upload/f_auto,q_auto,c_pad,b_white,w_1200,h_1200/v1788351456/1565_tree_of_life_52.png</x:v>
      </x:c>
      <x:c r="F1317" s="14" t="str"/>
      <x:c r="G1317" s="14" t="str">
        <x:v>Lifestyle</x:v>
      </x:c>
      <x:c r="H1317" s="14" t="str"/>
      <x:c r="I1317" s="14" t="str">
        <x:v>Detail</x:v>
      </x:c>
      <x:c r="J1317" s="14" t="str"/>
      <x:c r="K1317" s="14" t="str">
        <x:v>Scale</x:v>
      </x:c>
      <x:c r="L1317" s="14" t="str"/>
      <x:c r="M1317" s="14" t="str">
        <x:v>Alternate</x:v>
      </x:c>
      <x:c r="N1317" s="14" t="n">
        <x:f>IF(E1317&lt;&gt;"",1,0)+IF(F1317&lt;&gt;"",1,0)+IF(H1317&lt;&gt;"",1,0)+IF(J1317&lt;&gt;"",1,0)+IF(L1317&lt;&gt;"",1,0)</x:f>
        <x:v>1</x:v>
      </x:c>
      <x:c r="O1317" s="14" t="str">
        <x:f>IF(E1317="","MISSING MAIN",IF(N1317=1,"MAIN ONLY","MULTI-PHOTO"))</x:f>
        <x:v>MAIN ONLY</x:v>
      </x:c>
      <x:c r="P1317" s="14" t="str">
        <x:v>1565_</x:v>
      </x:c>
      <x:c r="Q1317" s="14" t="str">
        <x:v>https://mb1advancedsolutions.github.io/mb1-catalog/index.html?design=1565</x:v>
      </x:c>
      <x:c r="R1317" s="14" t="str"/>
    </x:row>
    <x:row r="1318">
      <x:c r="A1318" s="13" t="str">
        <x:v>MB1-1566</x:v>
      </x:c>
      <x:c r="B1318" s="13" t="str">
        <x:v>MB1-1566</x:v>
      </x:c>
      <x:c r="C1318" s="14" t="str">
        <x:v>tree of life 53</x:v>
      </x:c>
      <x:c r="D1318" s="14" t="str">
        <x:v>home decor and inspirational</x:v>
      </x:c>
      <x:c r="E1318" s="14" t="str">
        <x:v>https://res.cloudinary.com/oxygre42/image/upload/f_auto,q_auto,c_pad,b_white,w_1200,h_1200/v1788351458/1566_tree_of_life_53.png</x:v>
      </x:c>
      <x:c r="F1318" s="14" t="str"/>
      <x:c r="G1318" s="14" t="str">
        <x:v>Lifestyle</x:v>
      </x:c>
      <x:c r="H1318" s="14" t="str"/>
      <x:c r="I1318" s="14" t="str">
        <x:v>Detail</x:v>
      </x:c>
      <x:c r="J1318" s="14" t="str"/>
      <x:c r="K1318" s="14" t="str">
        <x:v>Scale</x:v>
      </x:c>
      <x:c r="L1318" s="14" t="str"/>
      <x:c r="M1318" s="14" t="str">
        <x:v>Alternate</x:v>
      </x:c>
      <x:c r="N1318" s="14" t="n">
        <x:f>IF(E1318&lt;&gt;"",1,0)+IF(F1318&lt;&gt;"",1,0)+IF(H1318&lt;&gt;"",1,0)+IF(J1318&lt;&gt;"",1,0)+IF(L1318&lt;&gt;"",1,0)</x:f>
        <x:v>1</x:v>
      </x:c>
      <x:c r="O1318" s="14" t="str">
        <x:f>IF(E1318="","MISSING MAIN",IF(N1318=1,"MAIN ONLY","MULTI-PHOTO"))</x:f>
        <x:v>MAIN ONLY</x:v>
      </x:c>
      <x:c r="P1318" s="14" t="str">
        <x:v>1566_</x:v>
      </x:c>
      <x:c r="Q1318" s="14" t="str">
        <x:v>https://mb1advancedsolutions.github.io/mb1-catalog/index.html?design=1566</x:v>
      </x:c>
      <x:c r="R1318" s="14" t="str"/>
    </x:row>
    <x:row r="1319">
      <x:c r="A1319" s="13" t="str">
        <x:v>MB1-1567</x:v>
      </x:c>
      <x:c r="B1319" s="13" t="str">
        <x:v>MB1-1567</x:v>
      </x:c>
      <x:c r="C1319" s="14" t="str">
        <x:v>tree of life 54</x:v>
      </x:c>
      <x:c r="D1319" s="14" t="str">
        <x:v>home decor and inspirational</x:v>
      </x:c>
      <x:c r="E1319" s="14" t="str">
        <x:v>https://res.cloudinary.com/oxygre42/image/upload/f_auto,q_auto,c_pad,b_white,w_1200,h_1200/v1788351460/1567_tree_of_life_54.png</x:v>
      </x:c>
      <x:c r="F1319" s="14" t="str"/>
      <x:c r="G1319" s="14" t="str">
        <x:v>Lifestyle</x:v>
      </x:c>
      <x:c r="H1319" s="14" t="str"/>
      <x:c r="I1319" s="14" t="str">
        <x:v>Detail</x:v>
      </x:c>
      <x:c r="J1319" s="14" t="str"/>
      <x:c r="K1319" s="14" t="str">
        <x:v>Scale</x:v>
      </x:c>
      <x:c r="L1319" s="14" t="str"/>
      <x:c r="M1319" s="14" t="str">
        <x:v>Alternate</x:v>
      </x:c>
      <x:c r="N1319" s="14" t="n">
        <x:f>IF(E1319&lt;&gt;"",1,0)+IF(F1319&lt;&gt;"",1,0)+IF(H1319&lt;&gt;"",1,0)+IF(J1319&lt;&gt;"",1,0)+IF(L1319&lt;&gt;"",1,0)</x:f>
        <x:v>1</x:v>
      </x:c>
      <x:c r="O1319" s="14" t="str">
        <x:f>IF(E1319="","MISSING MAIN",IF(N1319=1,"MAIN ONLY","MULTI-PHOTO"))</x:f>
        <x:v>MAIN ONLY</x:v>
      </x:c>
      <x:c r="P1319" s="14" t="str">
        <x:v>1567_</x:v>
      </x:c>
      <x:c r="Q1319" s="14" t="str">
        <x:v>https://mb1advancedsolutions.github.io/mb1-catalog/index.html?design=1567</x:v>
      </x:c>
      <x:c r="R1319" s="14" t="str"/>
    </x:row>
    <x:row r="1320">
      <x:c r="A1320" s="13" t="str">
        <x:v>MB1-1568</x:v>
      </x:c>
      <x:c r="B1320" s="13" t="str">
        <x:v>MB1-1568</x:v>
      </x:c>
      <x:c r="C1320" s="14" t="str">
        <x:v>tree of life 55</x:v>
      </x:c>
      <x:c r="D1320" s="14" t="str">
        <x:v>home decor and inspirational</x:v>
      </x:c>
      <x:c r="E1320" s="14" t="str">
        <x:v>https://res.cloudinary.com/oxygre42/image/upload/f_auto,q_auto,c_pad,b_white,w_1200,h_1200/v1788351462/1568_tree_of_life_55.png</x:v>
      </x:c>
      <x:c r="F1320" s="14" t="str"/>
      <x:c r="G1320" s="14" t="str">
        <x:v>Lifestyle</x:v>
      </x:c>
      <x:c r="H1320" s="14" t="str"/>
      <x:c r="I1320" s="14" t="str">
        <x:v>Detail</x:v>
      </x:c>
      <x:c r="J1320" s="14" t="str"/>
      <x:c r="K1320" s="14" t="str">
        <x:v>Scale</x:v>
      </x:c>
      <x:c r="L1320" s="14" t="str"/>
      <x:c r="M1320" s="14" t="str">
        <x:v>Alternate</x:v>
      </x:c>
      <x:c r="N1320" s="14" t="n">
        <x:f>IF(E1320&lt;&gt;"",1,0)+IF(F1320&lt;&gt;"",1,0)+IF(H1320&lt;&gt;"",1,0)+IF(J1320&lt;&gt;"",1,0)+IF(L1320&lt;&gt;"",1,0)</x:f>
        <x:v>1</x:v>
      </x:c>
      <x:c r="O1320" s="14" t="str">
        <x:f>IF(E1320="","MISSING MAIN",IF(N1320=1,"MAIN ONLY","MULTI-PHOTO"))</x:f>
        <x:v>MAIN ONLY</x:v>
      </x:c>
      <x:c r="P1320" s="14" t="str">
        <x:v>1568_</x:v>
      </x:c>
      <x:c r="Q1320" s="14" t="str">
        <x:v>https://mb1advancedsolutions.github.io/mb1-catalog/index.html?design=1568</x:v>
      </x:c>
      <x:c r="R1320" s="14" t="str"/>
    </x:row>
    <x:row r="1321">
      <x:c r="A1321" s="13" t="str">
        <x:v>MB1-1569</x:v>
      </x:c>
      <x:c r="B1321" s="13" t="str">
        <x:v>MB1-1569</x:v>
      </x:c>
      <x:c r="C1321" s="14" t="str">
        <x:v>tree of life 56</x:v>
      </x:c>
      <x:c r="D1321" s="14" t="str">
        <x:v>home decor and inspirational</x:v>
      </x:c>
      <x:c r="E1321" s="14" t="str">
        <x:v>https://res.cloudinary.com/oxygre42/image/upload/f_auto,q_auto,c_pad,b_white,w_1200,h_1200/v1788351464/1569_tree_of_life_56.png</x:v>
      </x:c>
      <x:c r="F1321" s="14" t="str"/>
      <x:c r="G1321" s="14" t="str">
        <x:v>Lifestyle</x:v>
      </x:c>
      <x:c r="H1321" s="14" t="str"/>
      <x:c r="I1321" s="14" t="str">
        <x:v>Detail</x:v>
      </x:c>
      <x:c r="J1321" s="14" t="str"/>
      <x:c r="K1321" s="14" t="str">
        <x:v>Scale</x:v>
      </x:c>
      <x:c r="L1321" s="14" t="str"/>
      <x:c r="M1321" s="14" t="str">
        <x:v>Alternate</x:v>
      </x:c>
      <x:c r="N1321" s="14" t="n">
        <x:f>IF(E1321&lt;&gt;"",1,0)+IF(F1321&lt;&gt;"",1,0)+IF(H1321&lt;&gt;"",1,0)+IF(J1321&lt;&gt;"",1,0)+IF(L1321&lt;&gt;"",1,0)</x:f>
        <x:v>1</x:v>
      </x:c>
      <x:c r="O1321" s="14" t="str">
        <x:f>IF(E1321="","MISSING MAIN",IF(N1321=1,"MAIN ONLY","MULTI-PHOTO"))</x:f>
        <x:v>MAIN ONLY</x:v>
      </x:c>
      <x:c r="P1321" s="14" t="str">
        <x:v>1569_</x:v>
      </x:c>
      <x:c r="Q1321" s="14" t="str">
        <x:v>https://mb1advancedsolutions.github.io/mb1-catalog/index.html?design=1569</x:v>
      </x:c>
      <x:c r="R1321" s="14" t="str"/>
    </x:row>
    <x:row r="1322">
      <x:c r="A1322" s="13" t="str">
        <x:v>MB1-1570</x:v>
      </x:c>
      <x:c r="B1322" s="13" t="str">
        <x:v>MB1-1570</x:v>
      </x:c>
      <x:c r="C1322" s="14" t="str">
        <x:v>tree of life 6</x:v>
      </x:c>
      <x:c r="D1322" s="14" t="str">
        <x:v>home decor and inspirational</x:v>
      </x:c>
      <x:c r="E1322" s="14" t="str">
        <x:v>https://res.cloudinary.com/oxygre42/image/upload/f_auto,q_auto,c_pad,b_white,w_1200,h_1200/v1788351466/1570_tree_of_life_6.png</x:v>
      </x:c>
      <x:c r="F1322" s="14" t="str"/>
      <x:c r="G1322" s="14" t="str">
        <x:v>Lifestyle</x:v>
      </x:c>
      <x:c r="H1322" s="14" t="str"/>
      <x:c r="I1322" s="14" t="str">
        <x:v>Detail</x:v>
      </x:c>
      <x:c r="J1322" s="14" t="str"/>
      <x:c r="K1322" s="14" t="str">
        <x:v>Scale</x:v>
      </x:c>
      <x:c r="L1322" s="14" t="str"/>
      <x:c r="M1322" s="14" t="str">
        <x:v>Alternate</x:v>
      </x:c>
      <x:c r="N1322" s="14" t="n">
        <x:f>IF(E1322&lt;&gt;"",1,0)+IF(F1322&lt;&gt;"",1,0)+IF(H1322&lt;&gt;"",1,0)+IF(J1322&lt;&gt;"",1,0)+IF(L1322&lt;&gt;"",1,0)</x:f>
        <x:v>1</x:v>
      </x:c>
      <x:c r="O1322" s="14" t="str">
        <x:f>IF(E1322="","MISSING MAIN",IF(N1322=1,"MAIN ONLY","MULTI-PHOTO"))</x:f>
        <x:v>MAIN ONLY</x:v>
      </x:c>
      <x:c r="P1322" s="14" t="str">
        <x:v>1570_</x:v>
      </x:c>
      <x:c r="Q1322" s="14" t="str">
        <x:v>https://mb1advancedsolutions.github.io/mb1-catalog/index.html?design=1570</x:v>
      </x:c>
      <x:c r="R1322" s="14" t="str"/>
    </x:row>
    <x:row r="1323">
      <x:c r="A1323" s="13" t="str">
        <x:v>MB1-1571</x:v>
      </x:c>
      <x:c r="B1323" s="13" t="str">
        <x:v>MB1-1571</x:v>
      </x:c>
      <x:c r="C1323" s="14" t="str">
        <x:v>tree of life 7</x:v>
      </x:c>
      <x:c r="D1323" s="14" t="str">
        <x:v>home decor and inspirational</x:v>
      </x:c>
      <x:c r="E1323" s="14" t="str">
        <x:v>https://res.cloudinary.com/oxygre42/image/upload/f_auto,q_auto,c_pad,b_white,w_1200,h_1200/v1788351468/1571_tree_of_life_7.png</x:v>
      </x:c>
      <x:c r="F1323" s="14" t="str"/>
      <x:c r="G1323" s="14" t="str">
        <x:v>Lifestyle</x:v>
      </x:c>
      <x:c r="H1323" s="14" t="str"/>
      <x:c r="I1323" s="14" t="str">
        <x:v>Detail</x:v>
      </x:c>
      <x:c r="J1323" s="14" t="str"/>
      <x:c r="K1323" s="14" t="str">
        <x:v>Scale</x:v>
      </x:c>
      <x:c r="L1323" s="14" t="str"/>
      <x:c r="M1323" s="14" t="str">
        <x:v>Alternate</x:v>
      </x:c>
      <x:c r="N1323" s="14" t="n">
        <x:f>IF(E1323&lt;&gt;"",1,0)+IF(F1323&lt;&gt;"",1,0)+IF(H1323&lt;&gt;"",1,0)+IF(J1323&lt;&gt;"",1,0)+IF(L1323&lt;&gt;"",1,0)</x:f>
        <x:v>1</x:v>
      </x:c>
      <x:c r="O1323" s="14" t="str">
        <x:f>IF(E1323="","MISSING MAIN",IF(N1323=1,"MAIN ONLY","MULTI-PHOTO"))</x:f>
        <x:v>MAIN ONLY</x:v>
      </x:c>
      <x:c r="P1323" s="14" t="str">
        <x:v>1571_</x:v>
      </x:c>
      <x:c r="Q1323" s="14" t="str">
        <x:v>https://mb1advancedsolutions.github.io/mb1-catalog/index.html?design=1571</x:v>
      </x:c>
      <x:c r="R1323" s="14" t="str"/>
    </x:row>
    <x:row r="1324">
      <x:c r="A1324" s="13" t="str">
        <x:v>MB1-1572</x:v>
      </x:c>
      <x:c r="B1324" s="13" t="str">
        <x:v>MB1-1572</x:v>
      </x:c>
      <x:c r="C1324" s="14" t="str">
        <x:v>tree of life 8</x:v>
      </x:c>
      <x:c r="D1324" s="14" t="str">
        <x:v>home decor and inspirational</x:v>
      </x:c>
      <x:c r="E1324" s="14" t="str">
        <x:v>https://res.cloudinary.com/oxygre42/image/upload/f_auto,q_auto,c_pad,b_white,w_1200,h_1200/v1788351469/1572_tree_of_life_8.png</x:v>
      </x:c>
      <x:c r="F1324" s="14" t="str"/>
      <x:c r="G1324" s="14" t="str">
        <x:v>Lifestyle</x:v>
      </x:c>
      <x:c r="H1324" s="14" t="str"/>
      <x:c r="I1324" s="14" t="str">
        <x:v>Detail</x:v>
      </x:c>
      <x:c r="J1324" s="14" t="str"/>
      <x:c r="K1324" s="14" t="str">
        <x:v>Scale</x:v>
      </x:c>
      <x:c r="L1324" s="14" t="str"/>
      <x:c r="M1324" s="14" t="str">
        <x:v>Alternate</x:v>
      </x:c>
      <x:c r="N1324" s="14" t="n">
        <x:f>IF(E1324&lt;&gt;"",1,0)+IF(F1324&lt;&gt;"",1,0)+IF(H1324&lt;&gt;"",1,0)+IF(J1324&lt;&gt;"",1,0)+IF(L1324&lt;&gt;"",1,0)</x:f>
        <x:v>1</x:v>
      </x:c>
      <x:c r="O1324" s="14" t="str">
        <x:f>IF(E1324="","MISSING MAIN",IF(N1324=1,"MAIN ONLY","MULTI-PHOTO"))</x:f>
        <x:v>MAIN ONLY</x:v>
      </x:c>
      <x:c r="P1324" s="14" t="str">
        <x:v>1572_</x:v>
      </x:c>
      <x:c r="Q1324" s="14" t="str">
        <x:v>https://mb1advancedsolutions.github.io/mb1-catalog/index.html?design=1572</x:v>
      </x:c>
      <x:c r="R1324" s="14" t="str"/>
    </x:row>
    <x:row r="1325">
      <x:c r="A1325" s="13" t="str">
        <x:v>MB1-1573</x:v>
      </x:c>
      <x:c r="B1325" s="13" t="str">
        <x:v>MB1-1573</x:v>
      </x:c>
      <x:c r="C1325" s="14" t="str">
        <x:v>tree of life 9</x:v>
      </x:c>
      <x:c r="D1325" s="14" t="str">
        <x:v>home decor and inspirational</x:v>
      </x:c>
      <x:c r="E1325" s="14" t="str">
        <x:v>https://res.cloudinary.com/oxygre42/image/upload/f_auto,q_auto,c_pad,b_white,w_1200,h_1200/v1788351471/1573_tree_of_life_9.png</x:v>
      </x:c>
      <x:c r="F1325" s="14" t="str"/>
      <x:c r="G1325" s="14" t="str">
        <x:v>Lifestyle</x:v>
      </x:c>
      <x:c r="H1325" s="14" t="str"/>
      <x:c r="I1325" s="14" t="str">
        <x:v>Detail</x:v>
      </x:c>
      <x:c r="J1325" s="14" t="str"/>
      <x:c r="K1325" s="14" t="str">
        <x:v>Scale</x:v>
      </x:c>
      <x:c r="L1325" s="14" t="str"/>
      <x:c r="M1325" s="14" t="str">
        <x:v>Alternate</x:v>
      </x:c>
      <x:c r="N1325" s="14" t="n">
        <x:f>IF(E1325&lt;&gt;"",1,0)+IF(F1325&lt;&gt;"",1,0)+IF(H1325&lt;&gt;"",1,0)+IF(J1325&lt;&gt;"",1,0)+IF(L1325&lt;&gt;"",1,0)</x:f>
        <x:v>1</x:v>
      </x:c>
      <x:c r="O1325" s="14" t="str">
        <x:f>IF(E1325="","MISSING MAIN",IF(N1325=1,"MAIN ONLY","MULTI-PHOTO"))</x:f>
        <x:v>MAIN ONLY</x:v>
      </x:c>
      <x:c r="P1325" s="14" t="str">
        <x:v>1573_</x:v>
      </x:c>
      <x:c r="Q1325" s="14" t="str">
        <x:v>https://mb1advancedsolutions.github.io/mb1-catalog/index.html?design=1573</x:v>
      </x:c>
      <x:c r="R1325" s="14" t="str"/>
    </x:row>
    <x:row r="1326">
      <x:c r="A1326" s="13" t="str">
        <x:v>MB1-1574</x:v>
      </x:c>
      <x:c r="B1326" s="13" t="str">
        <x:v>MB1-1574</x:v>
      </x:c>
      <x:c r="C1326" s="14" t="str">
        <x:v>tree stake bigfoot</x:v>
      </x:c>
      <x:c r="D1326" s="14" t="str">
        <x:v>home decor and inspirational</x:v>
      </x:c>
      <x:c r="E1326" s="14" t="str">
        <x:v>https://res.cloudinary.com/oxygre42/image/upload/f_auto,q_auto,c_pad,b_white,w_1200,h_1200/v1788351473/1574_tree_stake_bigfoot.png</x:v>
      </x:c>
      <x:c r="F1326" s="14" t="str"/>
      <x:c r="G1326" s="14" t="str">
        <x:v>Lifestyle</x:v>
      </x:c>
      <x:c r="H1326" s="14" t="str"/>
      <x:c r="I1326" s="14" t="str">
        <x:v>Detail</x:v>
      </x:c>
      <x:c r="J1326" s="14" t="str"/>
      <x:c r="K1326" s="14" t="str">
        <x:v>Scale</x:v>
      </x:c>
      <x:c r="L1326" s="14" t="str"/>
      <x:c r="M1326" s="14" t="str">
        <x:v>Alternate</x:v>
      </x:c>
      <x:c r="N1326" s="14" t="n">
        <x:f>IF(E1326&lt;&gt;"",1,0)+IF(F1326&lt;&gt;"",1,0)+IF(H1326&lt;&gt;"",1,0)+IF(J1326&lt;&gt;"",1,0)+IF(L1326&lt;&gt;"",1,0)</x:f>
        <x:v>1</x:v>
      </x:c>
      <x:c r="O1326" s="14" t="str">
        <x:f>IF(E1326="","MISSING MAIN",IF(N1326=1,"MAIN ONLY","MULTI-PHOTO"))</x:f>
        <x:v>MAIN ONLY</x:v>
      </x:c>
      <x:c r="P1326" s="14" t="str">
        <x:v>1574_</x:v>
      </x:c>
      <x:c r="Q1326" s="14" t="str">
        <x:v>https://mb1advancedsolutions.github.io/mb1-catalog/index.html?design=1574</x:v>
      </x:c>
      <x:c r="R1326" s="14" t="str"/>
    </x:row>
    <x:row r="1327">
      <x:c r="A1327" s="13" t="str">
        <x:v>MB1-1575</x:v>
      </x:c>
      <x:c r="B1327" s="13" t="str">
        <x:v>MB1-1575</x:v>
      </x:c>
      <x:c r="C1327" s="14" t="str">
        <x:v>tree stake bird family</x:v>
      </x:c>
      <x:c r="D1327" s="14" t="str">
        <x:v>family &amp; name</x:v>
      </x:c>
      <x:c r="E1327" s="14" t="str">
        <x:v>https://res.cloudinary.com/oxygre42/image/upload/f_auto,q_auto,c_pad,b_white,w_1200,h_1200/v1788351475/1575_tree_stake_bird_family.png</x:v>
      </x:c>
      <x:c r="F1327" s="14" t="str"/>
      <x:c r="G1327" s="14" t="str">
        <x:v>Lifestyle</x:v>
      </x:c>
      <x:c r="H1327" s="14" t="str"/>
      <x:c r="I1327" s="14" t="str">
        <x:v>Detail</x:v>
      </x:c>
      <x:c r="J1327" s="14" t="str"/>
      <x:c r="K1327" s="14" t="str">
        <x:v>Scale</x:v>
      </x:c>
      <x:c r="L1327" s="14" t="str"/>
      <x:c r="M1327" s="14" t="str">
        <x:v>Alternate</x:v>
      </x:c>
      <x:c r="N1327" s="14" t="n">
        <x:f>IF(E1327&lt;&gt;"",1,0)+IF(F1327&lt;&gt;"",1,0)+IF(H1327&lt;&gt;"",1,0)+IF(J1327&lt;&gt;"",1,0)+IF(L1327&lt;&gt;"",1,0)</x:f>
        <x:v>1</x:v>
      </x:c>
      <x:c r="O1327" s="14" t="str">
        <x:f>IF(E1327="","MISSING MAIN",IF(N1327=1,"MAIN ONLY","MULTI-PHOTO"))</x:f>
        <x:v>MAIN ONLY</x:v>
      </x:c>
      <x:c r="P1327" s="14" t="str">
        <x:v>1575_</x:v>
      </x:c>
      <x:c r="Q1327" s="14" t="str">
        <x:v>https://mb1advancedsolutions.github.io/mb1-catalog/index.html?design=1575</x:v>
      </x:c>
      <x:c r="R1327" s="14" t="str"/>
    </x:row>
    <x:row r="1328">
      <x:c r="A1328" s="13" t="str">
        <x:v>MB1-1576</x:v>
      </x:c>
      <x:c r="B1328" s="13" t="str">
        <x:v>MB1-1576</x:v>
      </x:c>
      <x:c r="C1328" s="14" t="str">
        <x:v>tree stake bird mom family</x:v>
      </x:c>
      <x:c r="D1328" s="14" t="str">
        <x:v>family &amp; name</x:v>
      </x:c>
      <x:c r="E1328" s="14" t="str">
        <x:v>https://res.cloudinary.com/oxygre42/image/upload/f_auto,q_auto,c_pad,b_white,w_1200,h_1200/v1788351477/1576_tree_stake_bird_mom_family.png</x:v>
      </x:c>
      <x:c r="F1328" s="14" t="str"/>
      <x:c r="G1328" s="14" t="str">
        <x:v>Lifestyle</x:v>
      </x:c>
      <x:c r="H1328" s="14" t="str"/>
      <x:c r="I1328" s="14" t="str">
        <x:v>Detail</x:v>
      </x:c>
      <x:c r="J1328" s="14" t="str"/>
      <x:c r="K1328" s="14" t="str">
        <x:v>Scale</x:v>
      </x:c>
      <x:c r="L1328" s="14" t="str"/>
      <x:c r="M1328" s="14" t="str">
        <x:v>Alternate</x:v>
      </x:c>
      <x:c r="N1328" s="14" t="n">
        <x:f>IF(E1328&lt;&gt;"",1,0)+IF(F1328&lt;&gt;"",1,0)+IF(H1328&lt;&gt;"",1,0)+IF(J1328&lt;&gt;"",1,0)+IF(L1328&lt;&gt;"",1,0)</x:f>
        <x:v>1</x:v>
      </x:c>
      <x:c r="O1328" s="14" t="str">
        <x:f>IF(E1328="","MISSING MAIN",IF(N1328=1,"MAIN ONLY","MULTI-PHOTO"))</x:f>
        <x:v>MAIN ONLY</x:v>
      </x:c>
      <x:c r="P1328" s="14" t="str">
        <x:v>1576_</x:v>
      </x:c>
      <x:c r="Q1328" s="14" t="str">
        <x:v>https://mb1advancedsolutions.github.io/mb1-catalog/index.html?design=1576</x:v>
      </x:c>
      <x:c r="R1328" s="14" t="str"/>
    </x:row>
    <x:row r="1329">
      <x:c r="A1329" s="13" t="str">
        <x:v>MB1-1577</x:v>
      </x:c>
      <x:c r="B1329" s="13" t="str">
        <x:v>MB1-1577</x:v>
      </x:c>
      <x:c r="C1329" s="14" t="str">
        <x:v>tree stake butterfly</x:v>
      </x:c>
      <x:c r="D1329" s="14" t="str">
        <x:v>wildlife and outdoors</x:v>
      </x:c>
      <x:c r="E1329" s="14" t="str">
        <x:v>https://res.cloudinary.com/oxygre42/image/upload/f_auto,q_auto,c_pad,b_white,w_1200,h_1200/v1788351479/1577_tree_stake_butterfly.png</x:v>
      </x:c>
      <x:c r="F1329" s="14" t="str"/>
      <x:c r="G1329" s="14" t="str">
        <x:v>Lifestyle</x:v>
      </x:c>
      <x:c r="H1329" s="14" t="str"/>
      <x:c r="I1329" s="14" t="str">
        <x:v>Detail</x:v>
      </x:c>
      <x:c r="J1329" s="14" t="str"/>
      <x:c r="K1329" s="14" t="str">
        <x:v>Scale</x:v>
      </x:c>
      <x:c r="L1329" s="14" t="str"/>
      <x:c r="M1329" s="14" t="str">
        <x:v>Alternate</x:v>
      </x:c>
      <x:c r="N1329" s="14" t="n">
        <x:f>IF(E1329&lt;&gt;"",1,0)+IF(F1329&lt;&gt;"",1,0)+IF(H1329&lt;&gt;"",1,0)+IF(J1329&lt;&gt;"",1,0)+IF(L1329&lt;&gt;"",1,0)</x:f>
        <x:v>1</x:v>
      </x:c>
      <x:c r="O1329" s="14" t="str">
        <x:f>IF(E1329="","MISSING MAIN",IF(N1329=1,"MAIN ONLY","MULTI-PHOTO"))</x:f>
        <x:v>MAIN ONLY</x:v>
      </x:c>
      <x:c r="P1329" s="14" t="str">
        <x:v>1577_</x:v>
      </x:c>
      <x:c r="Q1329" s="14" t="str">
        <x:v>https://mb1advancedsolutions.github.io/mb1-catalog/index.html?design=1577</x:v>
      </x:c>
      <x:c r="R1329" s="14" t="str"/>
    </x:row>
    <x:row r="1330">
      <x:c r="A1330" s="13" t="str">
        <x:v>MB1-1578</x:v>
      </x:c>
      <x:c r="B1330" s="13" t="str">
        <x:v>MB1-1578</x:v>
      </x:c>
      <x:c r="C1330" s="14" t="str">
        <x:v>tree stake cardinal</x:v>
      </x:c>
      <x:c r="D1330" s="14" t="str">
        <x:v>home decor and inspirational</x:v>
      </x:c>
      <x:c r="E1330" s="14" t="str">
        <x:v>https://res.cloudinary.com/oxygre42/image/upload/f_auto,q_auto,c_pad,b_white,w_1200,h_1200/v1788351481/1578_tree_stake_cardinal.png</x:v>
      </x:c>
      <x:c r="F1330" s="14" t="str"/>
      <x:c r="G1330" s="14" t="str">
        <x:v>Lifestyle</x:v>
      </x:c>
      <x:c r="H1330" s="14" t="str"/>
      <x:c r="I1330" s="14" t="str">
        <x:v>Detail</x:v>
      </x:c>
      <x:c r="J1330" s="14" t="str"/>
      <x:c r="K1330" s="14" t="str">
        <x:v>Scale</x:v>
      </x:c>
      <x:c r="L1330" s="14" t="str"/>
      <x:c r="M1330" s="14" t="str">
        <x:v>Alternate</x:v>
      </x:c>
      <x:c r="N1330" s="14" t="n">
        <x:f>IF(E1330&lt;&gt;"",1,0)+IF(F1330&lt;&gt;"",1,0)+IF(H1330&lt;&gt;"",1,0)+IF(J1330&lt;&gt;"",1,0)+IF(L1330&lt;&gt;"",1,0)</x:f>
        <x:v>1</x:v>
      </x:c>
      <x:c r="O1330" s="14" t="str">
        <x:f>IF(E1330="","MISSING MAIN",IF(N1330=1,"MAIN ONLY","MULTI-PHOTO"))</x:f>
        <x:v>MAIN ONLY</x:v>
      </x:c>
      <x:c r="P1330" s="14" t="str">
        <x:v>1578_</x:v>
      </x:c>
      <x:c r="Q1330" s="14" t="str">
        <x:v>https://mb1advancedsolutions.github.io/mb1-catalog/index.html?design=1578</x:v>
      </x:c>
      <x:c r="R1330" s="14" t="str"/>
    </x:row>
    <x:row r="1331">
      <x:c r="A1331" s="13" t="str">
        <x:v>MB1-1579</x:v>
      </x:c>
      <x:c r="B1331" s="13" t="str">
        <x:v>MB1-1579</x:v>
      </x:c>
      <x:c r="C1331" s="14" t="str">
        <x:v>tree stake dragon </x:v>
      </x:c>
      <x:c r="D1331" s="14" t="str">
        <x:v>wildlife and outdoors</x:v>
      </x:c>
      <x:c r="E1331" s="14" t="str">
        <x:v>https://res.cloudinary.com/oxygre42/image/upload/f_auto,q_auto,c_pad,b_white,w_1200,h_1200/v1788351483/1579_tree_stake_dragon.png</x:v>
      </x:c>
      <x:c r="F1331" s="14" t="str"/>
      <x:c r="G1331" s="14" t="str">
        <x:v>Lifestyle</x:v>
      </x:c>
      <x:c r="H1331" s="14" t="str"/>
      <x:c r="I1331" s="14" t="str">
        <x:v>Detail</x:v>
      </x:c>
      <x:c r="J1331" s="14" t="str"/>
      <x:c r="K1331" s="14" t="str">
        <x:v>Scale</x:v>
      </x:c>
      <x:c r="L1331" s="14" t="str"/>
      <x:c r="M1331" s="14" t="str">
        <x:v>Alternate</x:v>
      </x:c>
      <x:c r="N1331" s="14" t="n">
        <x:f>IF(E1331&lt;&gt;"",1,0)+IF(F1331&lt;&gt;"",1,0)+IF(H1331&lt;&gt;"",1,0)+IF(J1331&lt;&gt;"",1,0)+IF(L1331&lt;&gt;"",1,0)</x:f>
        <x:v>1</x:v>
      </x:c>
      <x:c r="O1331" s="14" t="str">
        <x:f>IF(E1331="","MISSING MAIN",IF(N1331=1,"MAIN ONLY","MULTI-PHOTO"))</x:f>
        <x:v>MAIN ONLY</x:v>
      </x:c>
      <x:c r="P1331" s="14" t="str">
        <x:v>1579_</x:v>
      </x:c>
      <x:c r="Q1331" s="14" t="str">
        <x:v>https://mb1advancedsolutions.github.io/mb1-catalog/index.html?design=1579</x:v>
      </x:c>
      <x:c r="R1331" s="14" t="str"/>
    </x:row>
    <x:row r="1332">
      <x:c r="A1332" s="13" t="str">
        <x:v>MB1-1580</x:v>
      </x:c>
      <x:c r="B1332" s="13" t="str">
        <x:v>MB1-1580</x:v>
      </x:c>
      <x:c r="C1332" s="14" t="str">
        <x:v>tree stake eagle flag</x:v>
      </x:c>
      <x:c r="D1332" s="14" t="str">
        <x:v>seasonal and holiday</x:v>
      </x:c>
      <x:c r="E1332" s="14" t="str">
        <x:v>https://res.cloudinary.com/oxygre42/image/upload/f_auto,q_auto,c_pad,b_white,w_1200,h_1200/v1788351485/1580_tree_stake_eagle_flag.png</x:v>
      </x:c>
      <x:c r="F1332" s="14" t="str"/>
      <x:c r="G1332" s="14" t="str">
        <x:v>Lifestyle</x:v>
      </x:c>
      <x:c r="H1332" s="14" t="str"/>
      <x:c r="I1332" s="14" t="str">
        <x:v>Detail</x:v>
      </x:c>
      <x:c r="J1332" s="14" t="str"/>
      <x:c r="K1332" s="14" t="str">
        <x:v>Scale</x:v>
      </x:c>
      <x:c r="L1332" s="14" t="str"/>
      <x:c r="M1332" s="14" t="str">
        <x:v>Alternate</x:v>
      </x:c>
      <x:c r="N1332" s="14" t="n">
        <x:f>IF(E1332&lt;&gt;"",1,0)+IF(F1332&lt;&gt;"",1,0)+IF(H1332&lt;&gt;"",1,0)+IF(J1332&lt;&gt;"",1,0)+IF(L1332&lt;&gt;"",1,0)</x:f>
        <x:v>1</x:v>
      </x:c>
      <x:c r="O1332" s="14" t="str">
        <x:f>IF(E1332="","MISSING MAIN",IF(N1332=1,"MAIN ONLY","MULTI-PHOTO"))</x:f>
        <x:v>MAIN ONLY</x:v>
      </x:c>
      <x:c r="P1332" s="14" t="str">
        <x:v>1580_</x:v>
      </x:c>
      <x:c r="Q1332" s="14" t="str">
        <x:v>https://mb1advancedsolutions.github.io/mb1-catalog/index.html?design=1580</x:v>
      </x:c>
      <x:c r="R1332" s="14" t="str"/>
    </x:row>
    <x:row r="1333">
      <x:c r="A1333" s="13" t="str">
        <x:v>MB1-1581</x:v>
      </x:c>
      <x:c r="B1333" s="13" t="str">
        <x:v>MB1-1581</x:v>
      </x:c>
      <x:c r="C1333" s="14" t="str">
        <x:v>tree stake eagle</x:v>
      </x:c>
      <x:c r="D1333" s="14" t="str">
        <x:v>wildlife and outdoors</x:v>
      </x:c>
      <x:c r="E1333" s="14" t="str">
        <x:v>https://res.cloudinary.com/oxygre42/image/upload/f_auto,q_auto,c_pad,b_white,w_1200,h_1200/v1788351486/1581_tree_stake_eagle.png</x:v>
      </x:c>
      <x:c r="F1333" s="14" t="str"/>
      <x:c r="G1333" s="14" t="str">
        <x:v>Lifestyle</x:v>
      </x:c>
      <x:c r="H1333" s="14" t="str"/>
      <x:c r="I1333" s="14" t="str">
        <x:v>Detail</x:v>
      </x:c>
      <x:c r="J1333" s="14" t="str"/>
      <x:c r="K1333" s="14" t="str">
        <x:v>Scale</x:v>
      </x:c>
      <x:c r="L1333" s="14" t="str"/>
      <x:c r="M1333" s="14" t="str">
        <x:v>Alternate</x:v>
      </x:c>
      <x:c r="N1333" s="14" t="n">
        <x:f>IF(E1333&lt;&gt;"",1,0)+IF(F1333&lt;&gt;"",1,0)+IF(H1333&lt;&gt;"",1,0)+IF(J1333&lt;&gt;"",1,0)+IF(L1333&lt;&gt;"",1,0)</x:f>
        <x:v>1</x:v>
      </x:c>
      <x:c r="O1333" s="14" t="str">
        <x:f>IF(E1333="","MISSING MAIN",IF(N1333=1,"MAIN ONLY","MULTI-PHOTO"))</x:f>
        <x:v>MAIN ONLY</x:v>
      </x:c>
      <x:c r="P1333" s="14" t="str">
        <x:v>1581_</x:v>
      </x:c>
      <x:c r="Q1333" s="14" t="str">
        <x:v>https://mb1advancedsolutions.github.io/mb1-catalog/index.html?design=1581</x:v>
      </x:c>
      <x:c r="R1333" s="14" t="str"/>
    </x:row>
    <x:row r="1334">
      <x:c r="A1334" s="13" t="str">
        <x:v>MB1-1582</x:v>
      </x:c>
      <x:c r="B1334" s="13" t="str">
        <x:v>MB1-1582</x:v>
      </x:c>
      <x:c r="C1334" s="14" t="str">
        <x:v>tree stake fairy</x:v>
      </x:c>
      <x:c r="D1334" s="14" t="str">
        <x:v>home decor and inspirational</x:v>
      </x:c>
      <x:c r="E1334" s="14" t="str">
        <x:v>https://res.cloudinary.com/oxygre42/image/upload/f_auto,q_auto,c_pad,b_white,w_1200,h_1200/v1788351488/1582_tree_stake_fairy.png</x:v>
      </x:c>
      <x:c r="F1334" s="14" t="str"/>
      <x:c r="G1334" s="14" t="str">
        <x:v>Lifestyle</x:v>
      </x:c>
      <x:c r="H1334" s="14" t="str"/>
      <x:c r="I1334" s="14" t="str">
        <x:v>Detail</x:v>
      </x:c>
      <x:c r="J1334" s="14" t="str"/>
      <x:c r="K1334" s="14" t="str">
        <x:v>Scale</x:v>
      </x:c>
      <x:c r="L1334" s="14" t="str"/>
      <x:c r="M1334" s="14" t="str">
        <x:v>Alternate</x:v>
      </x:c>
      <x:c r="N1334" s="14" t="n">
        <x:f>IF(E1334&lt;&gt;"",1,0)+IF(F1334&lt;&gt;"",1,0)+IF(H1334&lt;&gt;"",1,0)+IF(J1334&lt;&gt;"",1,0)+IF(L1334&lt;&gt;"",1,0)</x:f>
        <x:v>1</x:v>
      </x:c>
      <x:c r="O1334" s="14" t="str">
        <x:f>IF(E1334="","MISSING MAIN",IF(N1334=1,"MAIN ONLY","MULTI-PHOTO"))</x:f>
        <x:v>MAIN ONLY</x:v>
      </x:c>
      <x:c r="P1334" s="14" t="str">
        <x:v>1582_</x:v>
      </x:c>
      <x:c r="Q1334" s="14" t="str">
        <x:v>https://mb1advancedsolutions.github.io/mb1-catalog/index.html?design=1582</x:v>
      </x:c>
      <x:c r="R1334" s="14" t="str"/>
    </x:row>
    <x:row r="1335">
      <x:c r="A1335" s="13" t="str">
        <x:v>MB1-1583</x:v>
      </x:c>
      <x:c r="B1335" s="13" t="str">
        <x:v>MB1-1583</x:v>
      </x:c>
      <x:c r="C1335" s="14" t="str">
        <x:v>tree stake flag humming bird</x:v>
      </x:c>
      <x:c r="D1335" s="14" t="str">
        <x:v>seasonal and holiday</x:v>
      </x:c>
      <x:c r="E1335" s="14" t="str">
        <x:v>https://res.cloudinary.com/oxygre42/image/upload/f_auto,q_auto,c_pad,b_white,w_1200,h_1200/v1788351490/1583_tree_stake_flag_humming_bird.png</x:v>
      </x:c>
      <x:c r="F1335" s="14" t="str"/>
      <x:c r="G1335" s="14" t="str">
        <x:v>Lifestyle</x:v>
      </x:c>
      <x:c r="H1335" s="14" t="str"/>
      <x:c r="I1335" s="14" t="str">
        <x:v>Detail</x:v>
      </x:c>
      <x:c r="J1335" s="14" t="str"/>
      <x:c r="K1335" s="14" t="str">
        <x:v>Scale</x:v>
      </x:c>
      <x:c r="L1335" s="14" t="str"/>
      <x:c r="M1335" s="14" t="str">
        <x:v>Alternate</x:v>
      </x:c>
      <x:c r="N1335" s="14" t="n">
        <x:f>IF(E1335&lt;&gt;"",1,0)+IF(F1335&lt;&gt;"",1,0)+IF(H1335&lt;&gt;"",1,0)+IF(J1335&lt;&gt;"",1,0)+IF(L1335&lt;&gt;"",1,0)</x:f>
        <x:v>1</x:v>
      </x:c>
      <x:c r="O1335" s="14" t="str">
        <x:f>IF(E1335="","MISSING MAIN",IF(N1335=1,"MAIN ONLY","MULTI-PHOTO"))</x:f>
        <x:v>MAIN ONLY</x:v>
      </x:c>
      <x:c r="P1335" s="14" t="str">
        <x:v>1583_</x:v>
      </x:c>
      <x:c r="Q1335" s="14" t="str">
        <x:v>https://mb1advancedsolutions.github.io/mb1-catalog/index.html?design=1583</x:v>
      </x:c>
      <x:c r="R1335" s="14" t="str"/>
    </x:row>
    <x:row r="1336">
      <x:c r="A1336" s="13" t="str">
        <x:v>MB1-1584</x:v>
      </x:c>
      <x:c r="B1336" s="13" t="str">
        <x:v>MB1-1584</x:v>
      </x:c>
      <x:c r="C1336" s="14" t="str">
        <x:v>tree stake flag lemer</x:v>
      </x:c>
      <x:c r="D1336" s="14" t="str">
        <x:v>seasonal and holiday</x:v>
      </x:c>
      <x:c r="E1336" s="14" t="str">
        <x:v>https://res.cloudinary.com/oxygre42/image/upload/f_auto,q_auto,c_pad,b_white,w_1200,h_1200/v1788351492/1584_tree_stake_flag_lemer.png</x:v>
      </x:c>
      <x:c r="F1336" s="14" t="str"/>
      <x:c r="G1336" s="14" t="str">
        <x:v>Lifestyle</x:v>
      </x:c>
      <x:c r="H1336" s="14" t="str"/>
      <x:c r="I1336" s="14" t="str">
        <x:v>Detail</x:v>
      </x:c>
      <x:c r="J1336" s="14" t="str"/>
      <x:c r="K1336" s="14" t="str">
        <x:v>Scale</x:v>
      </x:c>
      <x:c r="L1336" s="14" t="str"/>
      <x:c r="M1336" s="14" t="str">
        <x:v>Alternate</x:v>
      </x:c>
      <x:c r="N1336" s="14" t="n">
        <x:f>IF(E1336&lt;&gt;"",1,0)+IF(F1336&lt;&gt;"",1,0)+IF(H1336&lt;&gt;"",1,0)+IF(J1336&lt;&gt;"",1,0)+IF(L1336&lt;&gt;"",1,0)</x:f>
        <x:v>1</x:v>
      </x:c>
      <x:c r="O1336" s="14" t="str">
        <x:f>IF(E1336="","MISSING MAIN",IF(N1336=1,"MAIN ONLY","MULTI-PHOTO"))</x:f>
        <x:v>MAIN ONLY</x:v>
      </x:c>
      <x:c r="P1336" s="14" t="str">
        <x:v>1584_</x:v>
      </x:c>
      <x:c r="Q1336" s="14" t="str">
        <x:v>https://mb1advancedsolutions.github.io/mb1-catalog/index.html?design=1584</x:v>
      </x:c>
      <x:c r="R1336" s="14" t="str"/>
    </x:row>
    <x:row r="1337">
      <x:c r="A1337" s="13" t="str">
        <x:v>MB1-1585</x:v>
      </x:c>
      <x:c r="B1337" s="13" t="str">
        <x:v>MB1-1585</x:v>
      </x:c>
      <x:c r="C1337" s="14" t="str">
        <x:v>tree stake flag</x:v>
      </x:c>
      <x:c r="D1337" s="14" t="str">
        <x:v>seasonal and holiday</x:v>
      </x:c>
      <x:c r="E1337" s="14" t="str">
        <x:v>https://res.cloudinary.com/oxygre42/image/upload/f_auto,q_auto,c_pad,b_white,w_1200,h_1200/v1788351494/1585_tree_stake_flag.png</x:v>
      </x:c>
      <x:c r="F1337" s="14" t="str"/>
      <x:c r="G1337" s="14" t="str">
        <x:v>Lifestyle</x:v>
      </x:c>
      <x:c r="H1337" s="14" t="str"/>
      <x:c r="I1337" s="14" t="str">
        <x:v>Detail</x:v>
      </x:c>
      <x:c r="J1337" s="14" t="str"/>
      <x:c r="K1337" s="14" t="str">
        <x:v>Scale</x:v>
      </x:c>
      <x:c r="L1337" s="14" t="str"/>
      <x:c r="M1337" s="14" t="str">
        <x:v>Alternate</x:v>
      </x:c>
      <x:c r="N1337" s="14" t="n">
        <x:f>IF(E1337&lt;&gt;"",1,0)+IF(F1337&lt;&gt;"",1,0)+IF(H1337&lt;&gt;"",1,0)+IF(J1337&lt;&gt;"",1,0)+IF(L1337&lt;&gt;"",1,0)</x:f>
        <x:v>1</x:v>
      </x:c>
      <x:c r="O1337" s="14" t="str">
        <x:f>IF(E1337="","MISSING MAIN",IF(N1337=1,"MAIN ONLY","MULTI-PHOTO"))</x:f>
        <x:v>MAIN ONLY</x:v>
      </x:c>
      <x:c r="P1337" s="14" t="str">
        <x:v>1585_</x:v>
      </x:c>
      <x:c r="Q1337" s="14" t="str">
        <x:v>https://mb1advancedsolutions.github.io/mb1-catalog/index.html?design=1585</x:v>
      </x:c>
      <x:c r="R1337" s="14" t="str"/>
    </x:row>
    <x:row r="1338">
      <x:c r="A1338" s="13" t="str">
        <x:v>MB1-1586</x:v>
      </x:c>
      <x:c r="B1338" s="13" t="str">
        <x:v>MB1-1586</x:v>
      </x:c>
      <x:c r="C1338" s="14" t="str">
        <x:v>tree stake gnomes family</x:v>
      </x:c>
      <x:c r="D1338" s="14" t="str">
        <x:v>family &amp; name</x:v>
      </x:c>
      <x:c r="E1338" s="14" t="str">
        <x:v>https://res.cloudinary.com/oxygre42/image/upload/f_auto,q_auto,c_pad,b_white,w_1200,h_1200/v1788351496/1586_tree_stake_gnomes_family.png</x:v>
      </x:c>
      <x:c r="F1338" s="14" t="str"/>
      <x:c r="G1338" s="14" t="str">
        <x:v>Lifestyle</x:v>
      </x:c>
      <x:c r="H1338" s="14" t="str"/>
      <x:c r="I1338" s="14" t="str">
        <x:v>Detail</x:v>
      </x:c>
      <x:c r="J1338" s="14" t="str"/>
      <x:c r="K1338" s="14" t="str">
        <x:v>Scale</x:v>
      </x:c>
      <x:c r="L1338" s="14" t="str"/>
      <x:c r="M1338" s="14" t="str">
        <x:v>Alternate</x:v>
      </x:c>
      <x:c r="N1338" s="14" t="n">
        <x:f>IF(E1338&lt;&gt;"",1,0)+IF(F1338&lt;&gt;"",1,0)+IF(H1338&lt;&gt;"",1,0)+IF(J1338&lt;&gt;"",1,0)+IF(L1338&lt;&gt;"",1,0)</x:f>
        <x:v>1</x:v>
      </x:c>
      <x:c r="O1338" s="14" t="str">
        <x:f>IF(E1338="","MISSING MAIN",IF(N1338=1,"MAIN ONLY","MULTI-PHOTO"))</x:f>
        <x:v>MAIN ONLY</x:v>
      </x:c>
      <x:c r="P1338" s="14" t="str">
        <x:v>1586_</x:v>
      </x:c>
      <x:c r="Q1338" s="14" t="str">
        <x:v>https://mb1advancedsolutions.github.io/mb1-catalog/index.html?design=1586</x:v>
      </x:c>
      <x:c r="R1338" s="14" t="str"/>
    </x:row>
    <x:row r="1339">
      <x:c r="A1339" s="13" t="str">
        <x:v>MB1-1587</x:v>
      </x:c>
      <x:c r="B1339" s="13" t="str">
        <x:v>MB1-1587</x:v>
      </x:c>
      <x:c r="C1339" s="14" t="str">
        <x:v>tree stake gnomes love</x:v>
      </x:c>
      <x:c r="D1339" s="14" t="str">
        <x:v>home decor and inspirational</x:v>
      </x:c>
      <x:c r="E1339" s="14" t="str">
        <x:v>https://res.cloudinary.com/oxygre42/image/upload/f_auto,q_auto,c_pad,b_white,w_1200,h_1200/v1788351498/1587_tree_stake_gnomes_love.png</x:v>
      </x:c>
      <x:c r="F1339" s="14" t="str"/>
      <x:c r="G1339" s="14" t="str">
        <x:v>Lifestyle</x:v>
      </x:c>
      <x:c r="H1339" s="14" t="str"/>
      <x:c r="I1339" s="14" t="str">
        <x:v>Detail</x:v>
      </x:c>
      <x:c r="J1339" s="14" t="str"/>
      <x:c r="K1339" s="14" t="str">
        <x:v>Scale</x:v>
      </x:c>
      <x:c r="L1339" s="14" t="str"/>
      <x:c r="M1339" s="14" t="str">
        <x:v>Alternate</x:v>
      </x:c>
      <x:c r="N1339" s="14" t="n">
        <x:f>IF(E1339&lt;&gt;"",1,0)+IF(F1339&lt;&gt;"",1,0)+IF(H1339&lt;&gt;"",1,0)+IF(J1339&lt;&gt;"",1,0)+IF(L1339&lt;&gt;"",1,0)</x:f>
        <x:v>1</x:v>
      </x:c>
      <x:c r="O1339" s="14" t="str">
        <x:f>IF(E1339="","MISSING MAIN",IF(N1339=1,"MAIN ONLY","MULTI-PHOTO"))</x:f>
        <x:v>MAIN ONLY</x:v>
      </x:c>
      <x:c r="P1339" s="14" t="str">
        <x:v>1587_</x:v>
      </x:c>
      <x:c r="Q1339" s="14" t="str">
        <x:v>https://mb1advancedsolutions.github.io/mb1-catalog/index.html?design=1587</x:v>
      </x:c>
      <x:c r="R1339" s="14" t="str"/>
    </x:row>
    <x:row r="1340">
      <x:c r="A1340" s="13" t="str">
        <x:v>MB1-1588</x:v>
      </x:c>
      <x:c r="B1340" s="13" t="str">
        <x:v>MB1-1588</x:v>
      </x:c>
      <x:c r="C1340" s="14" t="str">
        <x:v>tree stake little bird</x:v>
      </x:c>
      <x:c r="D1340" s="14" t="str">
        <x:v>home decor and inspirational</x:v>
      </x:c>
      <x:c r="E1340" s="14" t="str">
        <x:v>https://res.cloudinary.com/oxygre42/image/upload/f_auto,q_auto,c_pad,b_white,w_1200,h_1200/v1788351499/1588_tree_stake_little_bird.png</x:v>
      </x:c>
      <x:c r="F1340" s="14" t="str"/>
      <x:c r="G1340" s="14" t="str">
        <x:v>Lifestyle</x:v>
      </x:c>
      <x:c r="H1340" s="14" t="str"/>
      <x:c r="I1340" s="14" t="str">
        <x:v>Detail</x:v>
      </x:c>
      <x:c r="J1340" s="14" t="str"/>
      <x:c r="K1340" s="14" t="str">
        <x:v>Scale</x:v>
      </x:c>
      <x:c r="L1340" s="14" t="str"/>
      <x:c r="M1340" s="14" t="str">
        <x:v>Alternate</x:v>
      </x:c>
      <x:c r="N1340" s="14" t="n">
        <x:f>IF(E1340&lt;&gt;"",1,0)+IF(F1340&lt;&gt;"",1,0)+IF(H1340&lt;&gt;"",1,0)+IF(J1340&lt;&gt;"",1,0)+IF(L1340&lt;&gt;"",1,0)</x:f>
        <x:v>1</x:v>
      </x:c>
      <x:c r="O1340" s="14" t="str">
        <x:f>IF(E1340="","MISSING MAIN",IF(N1340=1,"MAIN ONLY","MULTI-PHOTO"))</x:f>
        <x:v>MAIN ONLY</x:v>
      </x:c>
      <x:c r="P1340" s="14" t="str">
        <x:v>1588_</x:v>
      </x:c>
      <x:c r="Q1340" s="14" t="str">
        <x:v>https://mb1advancedsolutions.github.io/mb1-catalog/index.html?design=1588</x:v>
      </x:c>
      <x:c r="R1340" s="14" t="str"/>
    </x:row>
    <x:row r="1341">
      <x:c r="A1341" s="13" t="str">
        <x:v>MB1-1589</x:v>
      </x:c>
      <x:c r="B1341" s="13" t="str">
        <x:v>MB1-1589</x:v>
      </x:c>
      <x:c r="C1341" s="14" t="str">
        <x:v>tree stake love birds</x:v>
      </x:c>
      <x:c r="D1341" s="14" t="str">
        <x:v>home decor and inspirational</x:v>
      </x:c>
      <x:c r="E1341" s="14" t="str">
        <x:v>https://res.cloudinary.com/oxygre42/image/upload/f_auto,q_auto,c_pad,b_white,w_1200,h_1200/v1788351501/1589_tree_stake_love_birds.png</x:v>
      </x:c>
      <x:c r="F1341" s="14" t="str"/>
      <x:c r="G1341" s="14" t="str">
        <x:v>Lifestyle</x:v>
      </x:c>
      <x:c r="H1341" s="14" t="str"/>
      <x:c r="I1341" s="14" t="str">
        <x:v>Detail</x:v>
      </x:c>
      <x:c r="J1341" s="14" t="str"/>
      <x:c r="K1341" s="14" t="str">
        <x:v>Scale</x:v>
      </x:c>
      <x:c r="L1341" s="14" t="str"/>
      <x:c r="M1341" s="14" t="str">
        <x:v>Alternate</x:v>
      </x:c>
      <x:c r="N1341" s="14" t="n">
        <x:f>IF(E1341&lt;&gt;"",1,0)+IF(F1341&lt;&gt;"",1,0)+IF(H1341&lt;&gt;"",1,0)+IF(J1341&lt;&gt;"",1,0)+IF(L1341&lt;&gt;"",1,0)</x:f>
        <x:v>1</x:v>
      </x:c>
      <x:c r="O1341" s="14" t="str">
        <x:f>IF(E1341="","MISSING MAIN",IF(N1341=1,"MAIN ONLY","MULTI-PHOTO"))</x:f>
        <x:v>MAIN ONLY</x:v>
      </x:c>
      <x:c r="P1341" s="14" t="str">
        <x:v>1589_</x:v>
      </x:c>
      <x:c r="Q1341" s="14" t="str">
        <x:v>https://mb1advancedsolutions.github.io/mb1-catalog/index.html?design=1589</x:v>
      </x:c>
      <x:c r="R1341" s="14" t="str"/>
    </x:row>
    <x:row r="1342">
      <x:c r="A1342" s="13" t="str">
        <x:v>MB1-1590</x:v>
      </x:c>
      <x:c r="B1342" s="13" t="str">
        <x:v>MB1-1590</x:v>
      </x:c>
      <x:c r="C1342" s="14" t="str">
        <x:v>tree stake owl</x:v>
      </x:c>
      <x:c r="D1342" s="14" t="str">
        <x:v>wildlife and outdoors</x:v>
      </x:c>
      <x:c r="E1342" s="14" t="str">
        <x:v>https://res.cloudinary.com/oxygre42/image/upload/f_auto,q_auto,c_pad,b_white,w_1200,h_1200/v1788351503/1590_tree_stake_owl.png</x:v>
      </x:c>
      <x:c r="F1342" s="14" t="str"/>
      <x:c r="G1342" s="14" t="str">
        <x:v>Lifestyle</x:v>
      </x:c>
      <x:c r="H1342" s="14" t="str"/>
      <x:c r="I1342" s="14" t="str">
        <x:v>Detail</x:v>
      </x:c>
      <x:c r="J1342" s="14" t="str"/>
      <x:c r="K1342" s="14" t="str">
        <x:v>Scale</x:v>
      </x:c>
      <x:c r="L1342" s="14" t="str"/>
      <x:c r="M1342" s="14" t="str">
        <x:v>Alternate</x:v>
      </x:c>
      <x:c r="N1342" s="14" t="n">
        <x:f>IF(E1342&lt;&gt;"",1,0)+IF(F1342&lt;&gt;"",1,0)+IF(H1342&lt;&gt;"",1,0)+IF(J1342&lt;&gt;"",1,0)+IF(L1342&lt;&gt;"",1,0)</x:f>
        <x:v>1</x:v>
      </x:c>
      <x:c r="O1342" s="14" t="str">
        <x:f>IF(E1342="","MISSING MAIN",IF(N1342=1,"MAIN ONLY","MULTI-PHOTO"))</x:f>
        <x:v>MAIN ONLY</x:v>
      </x:c>
      <x:c r="P1342" s="14" t="str">
        <x:v>1590_</x:v>
      </x:c>
      <x:c r="Q1342" s="14" t="str">
        <x:v>https://mb1advancedsolutions.github.io/mb1-catalog/index.html?design=1590</x:v>
      </x:c>
      <x:c r="R1342" s="14" t="str"/>
    </x:row>
    <x:row r="1343">
      <x:c r="A1343" s="13" t="str">
        <x:v>MB1-1591</x:v>
      </x:c>
      <x:c r="B1343" s="13" t="str">
        <x:v>MB1-1591</x:v>
      </x:c>
      <x:c r="C1343" s="14" t="str">
        <x:v>tree stake quail</x:v>
      </x:c>
      <x:c r="D1343" s="14" t="str">
        <x:v>home decor and inspirational</x:v>
      </x:c>
      <x:c r="E1343" s="14" t="str">
        <x:v>https://res.cloudinary.com/oxygre42/image/upload/f_auto,q_auto,c_pad,b_white,w_1200,h_1200/v1788351505/1591_tree_stake_quail.png</x:v>
      </x:c>
      <x:c r="F1343" s="14" t="str"/>
      <x:c r="G1343" s="14" t="str">
        <x:v>Lifestyle</x:v>
      </x:c>
      <x:c r="H1343" s="14" t="str"/>
      <x:c r="I1343" s="14" t="str">
        <x:v>Detail</x:v>
      </x:c>
      <x:c r="J1343" s="14" t="str"/>
      <x:c r="K1343" s="14" t="str">
        <x:v>Scale</x:v>
      </x:c>
      <x:c r="L1343" s="14" t="str"/>
      <x:c r="M1343" s="14" t="str">
        <x:v>Alternate</x:v>
      </x:c>
      <x:c r="N1343" s="14" t="n">
        <x:f>IF(E1343&lt;&gt;"",1,0)+IF(F1343&lt;&gt;"",1,0)+IF(H1343&lt;&gt;"",1,0)+IF(J1343&lt;&gt;"",1,0)+IF(L1343&lt;&gt;"",1,0)</x:f>
        <x:v>1</x:v>
      </x:c>
      <x:c r="O1343" s="14" t="str">
        <x:f>IF(E1343="","MISSING MAIN",IF(N1343=1,"MAIN ONLY","MULTI-PHOTO"))</x:f>
        <x:v>MAIN ONLY</x:v>
      </x:c>
      <x:c r="P1343" s="14" t="str">
        <x:v>1591_</x:v>
      </x:c>
      <x:c r="Q1343" s="14" t="str">
        <x:v>https://mb1advancedsolutions.github.io/mb1-catalog/index.html?design=1591</x:v>
      </x:c>
      <x:c r="R1343" s="14" t="str"/>
    </x:row>
    <x:row r="1344">
      <x:c r="A1344" s="13" t="str">
        <x:v>MB1-1592</x:v>
      </x:c>
      <x:c r="B1344" s="13" t="str">
        <x:v>MB1-1592</x:v>
      </x:c>
      <x:c r="C1344" s="14" t="str">
        <x:v>tree stake racoon</x:v>
      </x:c>
      <x:c r="D1344" s="14" t="str">
        <x:v>home decor and inspirational</x:v>
      </x:c>
      <x:c r="E1344" s="14" t="str">
        <x:v>https://res.cloudinary.com/oxygre42/image/upload/f_auto,q_auto,c_pad,b_white,w_1200,h_1200/v1788351507/1592_tree_stake_racoon.png</x:v>
      </x:c>
      <x:c r="F1344" s="14" t="str"/>
      <x:c r="G1344" s="14" t="str">
        <x:v>Lifestyle</x:v>
      </x:c>
      <x:c r="H1344" s="14" t="str"/>
      <x:c r="I1344" s="14" t="str">
        <x:v>Detail</x:v>
      </x:c>
      <x:c r="J1344" s="14" t="str"/>
      <x:c r="K1344" s="14" t="str">
        <x:v>Scale</x:v>
      </x:c>
      <x:c r="L1344" s="14" t="str"/>
      <x:c r="M1344" s="14" t="str">
        <x:v>Alternate</x:v>
      </x:c>
      <x:c r="N1344" s="14" t="n">
        <x:f>IF(E1344&lt;&gt;"",1,0)+IF(F1344&lt;&gt;"",1,0)+IF(H1344&lt;&gt;"",1,0)+IF(J1344&lt;&gt;"",1,0)+IF(L1344&lt;&gt;"",1,0)</x:f>
        <x:v>1</x:v>
      </x:c>
      <x:c r="O1344" s="14" t="str">
        <x:f>IF(E1344="","MISSING MAIN",IF(N1344=1,"MAIN ONLY","MULTI-PHOTO"))</x:f>
        <x:v>MAIN ONLY</x:v>
      </x:c>
      <x:c r="P1344" s="14" t="str">
        <x:v>1592_</x:v>
      </x:c>
      <x:c r="Q1344" s="14" t="str">
        <x:v>https://mb1advancedsolutions.github.io/mb1-catalog/index.html?design=1592</x:v>
      </x:c>
      <x:c r="R1344" s="14" t="str"/>
    </x:row>
    <x:row r="1345">
      <x:c r="A1345" s="13" t="str">
        <x:v>MB1-1593</x:v>
      </x:c>
      <x:c r="B1345" s="13" t="str">
        <x:v>MB1-1593</x:v>
      </x:c>
      <x:c r="C1345" s="14" t="str">
        <x:v>tree stake raven</x:v>
      </x:c>
      <x:c r="D1345" s="14" t="str">
        <x:v>home decor and inspirational</x:v>
      </x:c>
      <x:c r="E1345" s="14" t="str">
        <x:v>https://res.cloudinary.com/oxygre42/image/upload/f_auto,q_auto,c_pad,b_white,w_1200,h_1200/v1788351509/1593_tree_stake_raven.png</x:v>
      </x:c>
      <x:c r="F1345" s="14" t="str"/>
      <x:c r="G1345" s="14" t="str">
        <x:v>Lifestyle</x:v>
      </x:c>
      <x:c r="H1345" s="14" t="str"/>
      <x:c r="I1345" s="14" t="str">
        <x:v>Detail</x:v>
      </x:c>
      <x:c r="J1345" s="14" t="str"/>
      <x:c r="K1345" s="14" t="str">
        <x:v>Scale</x:v>
      </x:c>
      <x:c r="L1345" s="14" t="str"/>
      <x:c r="M1345" s="14" t="str">
        <x:v>Alternate</x:v>
      </x:c>
      <x:c r="N1345" s="14" t="n">
        <x:f>IF(E1345&lt;&gt;"",1,0)+IF(F1345&lt;&gt;"",1,0)+IF(H1345&lt;&gt;"",1,0)+IF(J1345&lt;&gt;"",1,0)+IF(L1345&lt;&gt;"",1,0)</x:f>
        <x:v>1</x:v>
      </x:c>
      <x:c r="O1345" s="14" t="str">
        <x:f>IF(E1345="","MISSING MAIN",IF(N1345=1,"MAIN ONLY","MULTI-PHOTO"))</x:f>
        <x:v>MAIN ONLY</x:v>
      </x:c>
      <x:c r="P1345" s="14" t="str">
        <x:v>1593_</x:v>
      </x:c>
      <x:c r="Q1345" s="14" t="str">
        <x:v>https://mb1advancedsolutions.github.io/mb1-catalog/index.html?design=1593</x:v>
      </x:c>
      <x:c r="R1345" s="14" t="str"/>
    </x:row>
    <x:row r="1346">
      <x:c r="A1346" s="13" t="str">
        <x:v>MB1-1594</x:v>
      </x:c>
      <x:c r="B1346" s="13" t="str">
        <x:v>MB1-1594</x:v>
      </x:c>
      <x:c r="C1346" s="14" t="str">
        <x:v>tree stake skunk</x:v>
      </x:c>
      <x:c r="D1346" s="14" t="str">
        <x:v>home decor and inspirational</x:v>
      </x:c>
      <x:c r="E1346" s="14" t="str">
        <x:v>https://res.cloudinary.com/oxygre42/image/upload/f_auto,q_auto,c_pad,b_white,w_1200,h_1200/v1788351511/1594_tree_stake_skunk.png</x:v>
      </x:c>
      <x:c r="F1346" s="14" t="str"/>
      <x:c r="G1346" s="14" t="str">
        <x:v>Lifestyle</x:v>
      </x:c>
      <x:c r="H1346" s="14" t="str"/>
      <x:c r="I1346" s="14" t="str">
        <x:v>Detail</x:v>
      </x:c>
      <x:c r="J1346" s="14" t="str"/>
      <x:c r="K1346" s="14" t="str">
        <x:v>Scale</x:v>
      </x:c>
      <x:c r="L1346" s="14" t="str"/>
      <x:c r="M1346" s="14" t="str">
        <x:v>Alternate</x:v>
      </x:c>
      <x:c r="N1346" s="14" t="n">
        <x:f>IF(E1346&lt;&gt;"",1,0)+IF(F1346&lt;&gt;"",1,0)+IF(H1346&lt;&gt;"",1,0)+IF(J1346&lt;&gt;"",1,0)+IF(L1346&lt;&gt;"",1,0)</x:f>
        <x:v>1</x:v>
      </x:c>
      <x:c r="O1346" s="14" t="str">
        <x:f>IF(E1346="","MISSING MAIN",IF(N1346=1,"MAIN ONLY","MULTI-PHOTO"))</x:f>
        <x:v>MAIN ONLY</x:v>
      </x:c>
      <x:c r="P1346" s="14" t="str">
        <x:v>1594_</x:v>
      </x:c>
      <x:c r="Q1346" s="14" t="str">
        <x:v>https://mb1advancedsolutions.github.io/mb1-catalog/index.html?design=1594</x:v>
      </x:c>
      <x:c r="R1346" s="14" t="str"/>
    </x:row>
    <x:row r="1347">
      <x:c r="A1347" s="13" t="str">
        <x:v>MB1-1595</x:v>
      </x:c>
      <x:c r="B1347" s="13" t="str">
        <x:v>MB1-1595</x:v>
      </x:c>
      <x:c r="C1347" s="14" t="str">
        <x:v>tree stake squirrel</x:v>
      </x:c>
      <x:c r="D1347" s="14" t="str">
        <x:v>home decor and inspirational</x:v>
      </x:c>
      <x:c r="E1347" s="14" t="str">
        <x:v>https://res.cloudinary.com/oxygre42/image/upload/f_auto,q_auto,c_pad,b_white,w_1200,h_1200/v1788351513/1595_tree_stake_squirrel.png</x:v>
      </x:c>
      <x:c r="F1347" s="14" t="str"/>
      <x:c r="G1347" s="14" t="str">
        <x:v>Lifestyle</x:v>
      </x:c>
      <x:c r="H1347" s="14" t="str"/>
      <x:c r="I1347" s="14" t="str">
        <x:v>Detail</x:v>
      </x:c>
      <x:c r="J1347" s="14" t="str"/>
      <x:c r="K1347" s="14" t="str">
        <x:v>Scale</x:v>
      </x:c>
      <x:c r="L1347" s="14" t="str"/>
      <x:c r="M1347" s="14" t="str">
        <x:v>Alternate</x:v>
      </x:c>
      <x:c r="N1347" s="14" t="n">
        <x:f>IF(E1347&lt;&gt;"",1,0)+IF(F1347&lt;&gt;"",1,0)+IF(H1347&lt;&gt;"",1,0)+IF(J1347&lt;&gt;"",1,0)+IF(L1347&lt;&gt;"",1,0)</x:f>
        <x:v>1</x:v>
      </x:c>
      <x:c r="O1347" s="14" t="str">
        <x:f>IF(E1347="","MISSING MAIN",IF(N1347=1,"MAIN ONLY","MULTI-PHOTO"))</x:f>
        <x:v>MAIN ONLY</x:v>
      </x:c>
      <x:c r="P1347" s="14" t="str">
        <x:v>1595_</x:v>
      </x:c>
      <x:c r="Q1347" s="14" t="str">
        <x:v>https://mb1advancedsolutions.github.io/mb1-catalog/index.html?design=1595</x:v>
      </x:c>
      <x:c r="R1347" s="14" t="str"/>
    </x:row>
    <x:row r="1348">
      <x:c r="A1348" s="13" t="str">
        <x:v>MB1-1596</x:v>
      </x:c>
      <x:c r="B1348" s="13" t="str">
        <x:v>MB1-1596</x:v>
      </x:c>
      <x:c r="C1348" s="14" t="str">
        <x:v>2nd security 1789</x:v>
      </x:c>
      <x:c r="D1348" s="14" t="str">
        <x:v>address and property</x:v>
      </x:c>
      <x:c r="E1348" s="14" t="str">
        <x:v>https://res.cloudinary.com/oxygre42/image/upload/f_auto,q_auto,c_pad,b_white,w_1200,h_1200/v1788351514/1596_2nd_security_1789.png</x:v>
      </x:c>
      <x:c r="F1348" s="14" t="str"/>
      <x:c r="G1348" s="14" t="str">
        <x:v>Lifestyle</x:v>
      </x:c>
      <x:c r="H1348" s="14" t="str"/>
      <x:c r="I1348" s="14" t="str">
        <x:v>Detail</x:v>
      </x:c>
      <x:c r="J1348" s="14" t="str"/>
      <x:c r="K1348" s="14" t="str">
        <x:v>Scale</x:v>
      </x:c>
      <x:c r="L1348" s="14" t="str"/>
      <x:c r="M1348" s="14" t="str">
        <x:v>Alternate</x:v>
      </x:c>
      <x:c r="N1348" s="14" t="n">
        <x:f>IF(E1348&lt;&gt;"",1,0)+IF(F1348&lt;&gt;"",1,0)+IF(H1348&lt;&gt;"",1,0)+IF(J1348&lt;&gt;"",1,0)+IF(L1348&lt;&gt;"",1,0)</x:f>
        <x:v>1</x:v>
      </x:c>
      <x:c r="O1348" s="14" t="str">
        <x:f>IF(E1348="","MISSING MAIN",IF(N1348=1,"MAIN ONLY","MULTI-PHOTO"))</x:f>
        <x:v>MAIN ONLY</x:v>
      </x:c>
      <x:c r="P1348" s="14" t="str">
        <x:v>1596_</x:v>
      </x:c>
      <x:c r="Q1348" s="14" t="str">
        <x:v>https://mb1advancedsolutions.github.io/mb1-catalog/index.html?design=1596</x:v>
      </x:c>
      <x:c r="R1348" s="14" t="str"/>
    </x:row>
    <x:row r="1349">
      <x:c r="A1349" s="13" t="str">
        <x:v>MB1-1597</x:v>
      </x:c>
      <x:c r="B1349" s="13" t="str">
        <x:v>MB1-1597</x:v>
      </x:c>
      <x:c r="C1349" s="14" t="str">
        <x:v>AR-15 911</x:v>
      </x:c>
      <x:c r="D1349" s="14" t="str">
        <x:v>address and property</x:v>
      </x:c>
      <x:c r="E1349" s="14" t="str">
        <x:v>https://res.cloudinary.com/oxygre42/image/upload/f_auto,q_auto,c_pad,b_white,w_1200,h_1200/v1788351516/1597_AR-15_911.png</x:v>
      </x:c>
      <x:c r="F1349" s="14" t="str"/>
      <x:c r="G1349" s="14" t="str">
        <x:v>Lifestyle</x:v>
      </x:c>
      <x:c r="H1349" s="14" t="str"/>
      <x:c r="I1349" s="14" t="str">
        <x:v>Detail</x:v>
      </x:c>
      <x:c r="J1349" s="14" t="str"/>
      <x:c r="K1349" s="14" t="str">
        <x:v>Scale</x:v>
      </x:c>
      <x:c r="L1349" s="14" t="str"/>
      <x:c r="M1349" s="14" t="str">
        <x:v>Alternate</x:v>
      </x:c>
      <x:c r="N1349" s="14" t="n">
        <x:f>IF(E1349&lt;&gt;"",1,0)+IF(F1349&lt;&gt;"",1,0)+IF(H1349&lt;&gt;"",1,0)+IF(J1349&lt;&gt;"",1,0)+IF(L1349&lt;&gt;"",1,0)</x:f>
        <x:v>1</x:v>
      </x:c>
      <x:c r="O1349" s="14" t="str">
        <x:f>IF(E1349="","MISSING MAIN",IF(N1349=1,"MAIN ONLY","MULTI-PHOTO"))</x:f>
        <x:v>MAIN ONLY</x:v>
      </x:c>
      <x:c r="P1349" s="14" t="str">
        <x:v>1597_</x:v>
      </x:c>
      <x:c r="Q1349" s="14" t="str">
        <x:v>https://mb1advancedsolutions.github.io/mb1-catalog/index.html?design=1597</x:v>
      </x:c>
      <x:c r="R1349" s="14" t="str"/>
    </x:row>
    <x:row r="1350">
      <x:c r="A1350" s="13" t="str">
        <x:v>MB1-1598</x:v>
      </x:c>
      <x:c r="B1350" s="13" t="str">
        <x:v>MB1-1598</x:v>
      </x:c>
      <x:c r="C1350" s="14" t="str">
        <x:v>Wife Warning Sign</x:v>
      </x:c>
      <x:c r="D1350" s="14" t="str">
        <x:v>address and property</x:v>
      </x:c>
      <x:c r="E1350" s="14" t="str">
        <x:v>https://res.cloudinary.com/oxygre42/image/upload/f_auto,q_auto,c_pad,b_white,w_1200,h_1200/v1788351518/1598_Wife_Warning_Sign.png</x:v>
      </x:c>
      <x:c r="F1350" s="14" t="str"/>
      <x:c r="G1350" s="14" t="str">
        <x:v>Lifestyle</x:v>
      </x:c>
      <x:c r="H1350" s="14" t="str"/>
      <x:c r="I1350" s="14" t="str">
        <x:v>Detail</x:v>
      </x:c>
      <x:c r="J1350" s="14" t="str"/>
      <x:c r="K1350" s="14" t="str">
        <x:v>Scale</x:v>
      </x:c>
      <x:c r="L1350" s="14" t="str"/>
      <x:c r="M1350" s="14" t="str">
        <x:v>Alternate</x:v>
      </x:c>
      <x:c r="N1350" s="14" t="n">
        <x:f>IF(E1350&lt;&gt;"",1,0)+IF(F1350&lt;&gt;"",1,0)+IF(H1350&lt;&gt;"",1,0)+IF(J1350&lt;&gt;"",1,0)+IF(L1350&lt;&gt;"",1,0)</x:f>
        <x:v>1</x:v>
      </x:c>
      <x:c r="O1350" s="14" t="str">
        <x:f>IF(E1350="","MISSING MAIN",IF(N1350=1,"MAIN ONLY","MULTI-PHOTO"))</x:f>
        <x:v>MAIN ONLY</x:v>
      </x:c>
      <x:c r="P1350" s="14" t="str">
        <x:v>1598_</x:v>
      </x:c>
      <x:c r="Q1350" s="14" t="str">
        <x:v>https://mb1advancedsolutions.github.io/mb1-catalog/index.html?design=1598</x:v>
      </x:c>
      <x:c r="R1350" s="14" t="str"/>
    </x:row>
    <x:row r="1351">
      <x:c r="A1351" s="13" t="str">
        <x:v>MB1-1601</x:v>
      </x:c>
      <x:c r="B1351" s="13" t="str">
        <x:v>MB1-1601</x:v>
      </x:c>
      <x:c r="C1351" s="14" t="str">
        <x:v>fuck around and find out</x:v>
      </x:c>
      <x:c r="D1351" s="14" t="str">
        <x:v>home decor and inspirational</x:v>
      </x:c>
      <x:c r="E1351" s="14" t="str">
        <x:v>https://res.cloudinary.com/oxygre42/image/upload/f_auto,q_auto,c_pad,b_white,w_1200,h_1200/v1788351520/1601_fuck_around_and_find_out.png</x:v>
      </x:c>
      <x:c r="F1351" s="14" t="str"/>
      <x:c r="G1351" s="14" t="str">
        <x:v>Lifestyle</x:v>
      </x:c>
      <x:c r="H1351" s="14" t="str"/>
      <x:c r="I1351" s="14" t="str">
        <x:v>Detail</x:v>
      </x:c>
      <x:c r="J1351" s="14" t="str"/>
      <x:c r="K1351" s="14" t="str">
        <x:v>Scale</x:v>
      </x:c>
      <x:c r="L1351" s="14" t="str"/>
      <x:c r="M1351" s="14" t="str">
        <x:v>Alternate</x:v>
      </x:c>
      <x:c r="N1351" s="14" t="n">
        <x:f>IF(E1351&lt;&gt;"",1,0)+IF(F1351&lt;&gt;"",1,0)+IF(H1351&lt;&gt;"",1,0)+IF(J1351&lt;&gt;"",1,0)+IF(L1351&lt;&gt;"",1,0)</x:f>
        <x:v>1</x:v>
      </x:c>
      <x:c r="O1351" s="14" t="str">
        <x:f>IF(E1351="","MISSING MAIN",IF(N1351=1,"MAIN ONLY","MULTI-PHOTO"))</x:f>
        <x:v>MAIN ONLY</x:v>
      </x:c>
      <x:c r="P1351" s="14" t="str">
        <x:v>1601_</x:v>
      </x:c>
      <x:c r="Q1351" s="14" t="str">
        <x:v>https://mb1advancedsolutions.github.io/mb1-catalog/index.html?design=1601</x:v>
      </x:c>
      <x:c r="R1351" s="14" t="str"/>
    </x:row>
    <x:row r="1352">
      <x:c r="A1352" s="13" t="str">
        <x:v>MB1-1602</x:v>
      </x:c>
      <x:c r="B1352" s="13" t="str">
        <x:v>MB1-1602</x:v>
      </x:c>
      <x:c r="C1352" s="14" t="str">
        <x:v>funny trespassing sign</x:v>
      </x:c>
      <x:c r="D1352" s="14" t="str">
        <x:v>address and property</x:v>
      </x:c>
      <x:c r="E1352" s="14" t="str">
        <x:v>https://res.cloudinary.com/oxygre42/image/upload/f_auto,q_auto,c_pad,b_white,w_1200,h_1200/v1788351522/1602_funny_trespassing_sign.png</x:v>
      </x:c>
      <x:c r="F1352" s="14" t="str"/>
      <x:c r="G1352" s="14" t="str">
        <x:v>Lifestyle</x:v>
      </x:c>
      <x:c r="H1352" s="14" t="str"/>
      <x:c r="I1352" s="14" t="str">
        <x:v>Detail</x:v>
      </x:c>
      <x:c r="J1352" s="14" t="str"/>
      <x:c r="K1352" s="14" t="str">
        <x:v>Scale</x:v>
      </x:c>
      <x:c r="L1352" s="14" t="str"/>
      <x:c r="M1352" s="14" t="str">
        <x:v>Alternate</x:v>
      </x:c>
      <x:c r="N1352" s="14" t="n">
        <x:f>IF(E1352&lt;&gt;"",1,0)+IF(F1352&lt;&gt;"",1,0)+IF(H1352&lt;&gt;"",1,0)+IF(J1352&lt;&gt;"",1,0)+IF(L1352&lt;&gt;"",1,0)</x:f>
        <x:v>1</x:v>
      </x:c>
      <x:c r="O1352" s="14" t="str">
        <x:f>IF(E1352="","MISSING MAIN",IF(N1352=1,"MAIN ONLY","MULTI-PHOTO"))</x:f>
        <x:v>MAIN ONLY</x:v>
      </x:c>
      <x:c r="P1352" s="14" t="str">
        <x:v>1602_</x:v>
      </x:c>
      <x:c r="Q1352" s="14" t="str">
        <x:v>https://mb1advancedsolutions.github.io/mb1-catalog/index.html?design=1602</x:v>
      </x:c>
      <x:c r="R1352" s="14" t="str"/>
    </x:row>
    <x:row r="1353">
      <x:c r="A1353" s="13" t="str">
        <x:v>MB1-1603</x:v>
      </x:c>
      <x:c r="B1353" s="13" t="str">
        <x:v>MB1-1603</x:v>
      </x:c>
      <x:c r="C1353" s="14" t="str">
        <x:v>just the tip i promise</x:v>
      </x:c>
      <x:c r="D1353" s="14" t="str">
        <x:v>home decor and inspirational</x:v>
      </x:c>
      <x:c r="E1353" s="14" t="str">
        <x:v>https://res.cloudinary.com/oxygre42/image/upload/f_auto,q_auto,c_pad,b_white,w_1200,h_1200/v1788351524/1603_just_the_tip_i_promise.png</x:v>
      </x:c>
      <x:c r="F1353" s="14" t="str"/>
      <x:c r="G1353" s="14" t="str">
        <x:v>Lifestyle</x:v>
      </x:c>
      <x:c r="H1353" s="14" t="str"/>
      <x:c r="I1353" s="14" t="str">
        <x:v>Detail</x:v>
      </x:c>
      <x:c r="J1353" s="14" t="str"/>
      <x:c r="K1353" s="14" t="str">
        <x:v>Scale</x:v>
      </x:c>
      <x:c r="L1353" s="14" t="str"/>
      <x:c r="M1353" s="14" t="str">
        <x:v>Alternate</x:v>
      </x:c>
      <x:c r="N1353" s="14" t="n">
        <x:f>IF(E1353&lt;&gt;"",1,0)+IF(F1353&lt;&gt;"",1,0)+IF(H1353&lt;&gt;"",1,0)+IF(J1353&lt;&gt;"",1,0)+IF(L1353&lt;&gt;"",1,0)</x:f>
        <x:v>1</x:v>
      </x:c>
      <x:c r="O1353" s="14" t="str">
        <x:f>IF(E1353="","MISSING MAIN",IF(N1353=1,"MAIN ONLY","MULTI-PHOTO"))</x:f>
        <x:v>MAIN ONLY</x:v>
      </x:c>
      <x:c r="P1353" s="14" t="str">
        <x:v>1603_</x:v>
      </x:c>
      <x:c r="Q1353" s="14" t="str">
        <x:v>https://mb1advancedsolutions.github.io/mb1-catalog/index.html?design=1603</x:v>
      </x:c>
      <x:c r="R1353" s="14" t="str"/>
    </x:row>
    <x:row r="1354">
      <x:c r="A1354" s="13" t="str">
        <x:v>MB1-1604</x:v>
      </x:c>
      <x:c r="B1354" s="13" t="str">
        <x:v>MB1-1604</x:v>
      </x:c>
      <x:c r="C1354" s="14" t="str">
        <x:v>kill yourself before i catch you</x:v>
      </x:c>
      <x:c r="D1354" s="14" t="str">
        <x:v>home decor and inspirational</x:v>
      </x:c>
      <x:c r="E1354" s="14" t="str">
        <x:v>https://res.cloudinary.com/oxygre42/image/upload/f_auto,q_auto,c_pad,b_white,w_1200,h_1200/v1788351526/1604_kill_yourself_before_i_catch_you.png</x:v>
      </x:c>
      <x:c r="F1354" s="14" t="str"/>
      <x:c r="G1354" s="14" t="str">
        <x:v>Lifestyle</x:v>
      </x:c>
      <x:c r="H1354" s="14" t="str"/>
      <x:c r="I1354" s="14" t="str">
        <x:v>Detail</x:v>
      </x:c>
      <x:c r="J1354" s="14" t="str"/>
      <x:c r="K1354" s="14" t="str">
        <x:v>Scale</x:v>
      </x:c>
      <x:c r="L1354" s="14" t="str"/>
      <x:c r="M1354" s="14" t="str">
        <x:v>Alternate</x:v>
      </x:c>
      <x:c r="N1354" s="14" t="n">
        <x:f>IF(E1354&lt;&gt;"",1,0)+IF(F1354&lt;&gt;"",1,0)+IF(H1354&lt;&gt;"",1,0)+IF(J1354&lt;&gt;"",1,0)+IF(L1354&lt;&gt;"",1,0)</x:f>
        <x:v>1</x:v>
      </x:c>
      <x:c r="O1354" s="14" t="str">
        <x:f>IF(E1354="","MISSING MAIN",IF(N1354=1,"MAIN ONLY","MULTI-PHOTO"))</x:f>
        <x:v>MAIN ONLY</x:v>
      </x:c>
      <x:c r="P1354" s="14" t="str">
        <x:v>1604_</x:v>
      </x:c>
      <x:c r="Q1354" s="14" t="str">
        <x:v>https://mb1advancedsolutions.github.io/mb1-catalog/index.html?design=1604</x:v>
      </x:c>
      <x:c r="R1354" s="14" t="str"/>
    </x:row>
    <x:row r="1355">
      <x:c r="A1355" s="13" t="str">
        <x:v>MB1-1605</x:v>
      </x:c>
      <x:c r="B1355" s="13" t="str">
        <x:v>MB1-1605</x:v>
      </x:c>
      <x:c r="C1355" s="14" t="str">
        <x:v>no trespassing</x:v>
      </x:c>
      <x:c r="D1355" s="14" t="str">
        <x:v>address and property</x:v>
      </x:c>
      <x:c r="E1355" s="14" t="str">
        <x:v>https://res.cloudinary.com/oxygre42/image/upload/f_auto,q_auto,c_pad,b_white,w_1200,h_1200/v1788351528/1605_no_trespassing.png</x:v>
      </x:c>
      <x:c r="F1355" s="14" t="str"/>
      <x:c r="G1355" s="14" t="str">
        <x:v>Lifestyle</x:v>
      </x:c>
      <x:c r="H1355" s="14" t="str"/>
      <x:c r="I1355" s="14" t="str">
        <x:v>Detail</x:v>
      </x:c>
      <x:c r="J1355" s="14" t="str"/>
      <x:c r="K1355" s="14" t="str">
        <x:v>Scale</x:v>
      </x:c>
      <x:c r="L1355" s="14" t="str"/>
      <x:c r="M1355" s="14" t="str">
        <x:v>Alternate</x:v>
      </x:c>
      <x:c r="N1355" s="14" t="n">
        <x:f>IF(E1355&lt;&gt;"",1,0)+IF(F1355&lt;&gt;"",1,0)+IF(H1355&lt;&gt;"",1,0)+IF(J1355&lt;&gt;"",1,0)+IF(L1355&lt;&gt;"",1,0)</x:f>
        <x:v>1</x:v>
      </x:c>
      <x:c r="O1355" s="14" t="str">
        <x:f>IF(E1355="","MISSING MAIN",IF(N1355=1,"MAIN ONLY","MULTI-PHOTO"))</x:f>
        <x:v>MAIN ONLY</x:v>
      </x:c>
      <x:c r="P1355" s="14" t="str">
        <x:v>1605_</x:v>
      </x:c>
      <x:c r="Q1355" s="14" t="str">
        <x:v>https://mb1advancedsolutions.github.io/mb1-catalog/index.html?design=1605</x:v>
      </x:c>
      <x:c r="R1355" s="14" t="str"/>
    </x:row>
    <x:row r="1356">
      <x:c r="A1356" s="13" t="str">
        <x:v>MB1-1606</x:v>
      </x:c>
      <x:c r="B1356" s="13" t="str">
        <x:v>MB1-1606</x:v>
      </x:c>
      <x:c r="C1356" s="14" t="str">
        <x:v>protected by second amendment</x:v>
      </x:c>
      <x:c r="D1356" s="14" t="str">
        <x:v>address and property</x:v>
      </x:c>
      <x:c r="E1356" s="14" t="str">
        <x:v>https://res.cloudinary.com/oxygre42/image/upload/f_auto,q_auto,c_pad,b_white,w_1200,h_1200/v1788351530/1606_protected_by_second_amendment.png</x:v>
      </x:c>
      <x:c r="F1356" s="14" t="str"/>
      <x:c r="G1356" s="14" t="str">
        <x:v>Lifestyle</x:v>
      </x:c>
      <x:c r="H1356" s="14" t="str"/>
      <x:c r="I1356" s="14" t="str">
        <x:v>Detail</x:v>
      </x:c>
      <x:c r="J1356" s="14" t="str"/>
      <x:c r="K1356" s="14" t="str">
        <x:v>Scale</x:v>
      </x:c>
      <x:c r="L1356" s="14" t="str"/>
      <x:c r="M1356" s="14" t="str">
        <x:v>Alternate</x:v>
      </x:c>
      <x:c r="N1356" s="14" t="n">
        <x:f>IF(E1356&lt;&gt;"",1,0)+IF(F1356&lt;&gt;"",1,0)+IF(H1356&lt;&gt;"",1,0)+IF(J1356&lt;&gt;"",1,0)+IF(L1356&lt;&gt;"",1,0)</x:f>
        <x:v>1</x:v>
      </x:c>
      <x:c r="O1356" s="14" t="str">
        <x:f>IF(E1356="","MISSING MAIN",IF(N1356=1,"MAIN ONLY","MULTI-PHOTO"))</x:f>
        <x:v>MAIN ONLY</x:v>
      </x:c>
      <x:c r="P1356" s="14" t="str">
        <x:v>1606_</x:v>
      </x:c>
      <x:c r="Q1356" s="14" t="str">
        <x:v>https://mb1advancedsolutions.github.io/mb1-catalog/index.html?design=1606</x:v>
      </x:c>
      <x:c r="R1356" s="14" t="str"/>
    </x:row>
    <x:row r="1357">
      <x:c r="A1357" s="13" t="str">
        <x:v>MB1-1607</x:v>
      </x:c>
      <x:c r="B1357" s="13" t="str">
        <x:v>MB1-1607</x:v>
      </x:c>
      <x:c r="C1357" s="14" t="str">
        <x:v>protected by the lord 2</x:v>
      </x:c>
      <x:c r="D1357" s="14" t="str">
        <x:v>home decor and inspirational</x:v>
      </x:c>
      <x:c r="E1357" s="14" t="str">
        <x:v>https://res.cloudinary.com/oxygre42/image/upload/f_auto,q_auto,c_pad,b_white,w_1200,h_1200/v1788351531/1607_protected_by_the_lord_2.png</x:v>
      </x:c>
      <x:c r="F1357" s="14" t="str"/>
      <x:c r="G1357" s="14" t="str">
        <x:v>Lifestyle</x:v>
      </x:c>
      <x:c r="H1357" s="14" t="str"/>
      <x:c r="I1357" s="14" t="str">
        <x:v>Detail</x:v>
      </x:c>
      <x:c r="J1357" s="14" t="str"/>
      <x:c r="K1357" s="14" t="str">
        <x:v>Scale</x:v>
      </x:c>
      <x:c r="L1357" s="14" t="str"/>
      <x:c r="M1357" s="14" t="str">
        <x:v>Alternate</x:v>
      </x:c>
      <x:c r="N1357" s="14" t="n">
        <x:f>IF(E1357&lt;&gt;"",1,0)+IF(F1357&lt;&gt;"",1,0)+IF(H1357&lt;&gt;"",1,0)+IF(J1357&lt;&gt;"",1,0)+IF(L1357&lt;&gt;"",1,0)</x:f>
        <x:v>1</x:v>
      </x:c>
      <x:c r="O1357" s="14" t="str">
        <x:f>IF(E1357="","MISSING MAIN",IF(N1357=1,"MAIN ONLY","MULTI-PHOTO"))</x:f>
        <x:v>MAIN ONLY</x:v>
      </x:c>
      <x:c r="P1357" s="14" t="str">
        <x:v>1607_</x:v>
      </x:c>
      <x:c r="Q1357" s="14" t="str">
        <x:v>https://mb1advancedsolutions.github.io/mb1-catalog/index.html?design=1607</x:v>
      </x:c>
      <x:c r="R1357" s="14" t="str"/>
    </x:row>
    <x:row r="1358">
      <x:c r="A1358" s="13" t="str">
        <x:v>MB1-1609</x:v>
      </x:c>
      <x:c r="B1358" s="13" t="str">
        <x:v>MB1-1609</x:v>
      </x:c>
      <x:c r="C1358" s="14" t="str">
        <x:v>think twice </x:v>
      </x:c>
      <x:c r="D1358" s="14" t="str">
        <x:v>home decor and inspirational</x:v>
      </x:c>
      <x:c r="E1358" s="14" t="str">
        <x:v>https://res.cloudinary.com/oxygre42/image/upload/f_auto,q_auto,c_pad,b_white,w_1200,h_1200/v1788351533/1609_think_twice.png</x:v>
      </x:c>
      <x:c r="F1358" s="14" t="str"/>
      <x:c r="G1358" s="14" t="str">
        <x:v>Lifestyle</x:v>
      </x:c>
      <x:c r="H1358" s="14" t="str"/>
      <x:c r="I1358" s="14" t="str">
        <x:v>Detail</x:v>
      </x:c>
      <x:c r="J1358" s="14" t="str"/>
      <x:c r="K1358" s="14" t="str">
        <x:v>Scale</x:v>
      </x:c>
      <x:c r="L1358" s="14" t="str"/>
      <x:c r="M1358" s="14" t="str">
        <x:v>Alternate</x:v>
      </x:c>
      <x:c r="N1358" s="14" t="n">
        <x:f>IF(E1358&lt;&gt;"",1,0)+IF(F1358&lt;&gt;"",1,0)+IF(H1358&lt;&gt;"",1,0)+IF(J1358&lt;&gt;"",1,0)+IF(L1358&lt;&gt;"",1,0)</x:f>
        <x:v>1</x:v>
      </x:c>
      <x:c r="O1358" s="14" t="str">
        <x:f>IF(E1358="","MISSING MAIN",IF(N1358=1,"MAIN ONLY","MULTI-PHOTO"))</x:f>
        <x:v>MAIN ONLY</x:v>
      </x:c>
      <x:c r="P1358" s="14" t="str">
        <x:v>1609_</x:v>
      </x:c>
      <x:c r="Q1358" s="14" t="str">
        <x:v>https://mb1advancedsolutions.github.io/mb1-catalog/index.html?design=1609</x:v>
      </x:c>
      <x:c r="R1358" s="14" t="str"/>
    </x:row>
    <x:row r="1359">
      <x:c r="A1359" s="13" t="str">
        <x:v>MB1-1610</x:v>
      </x:c>
      <x:c r="B1359" s="13" t="str">
        <x:v>MB1-1610</x:v>
      </x:c>
      <x:c r="C1359" s="14" t="str">
        <x:v>warning alarm</x:v>
      </x:c>
      <x:c r="D1359" s="14" t="str">
        <x:v>address and property</x:v>
      </x:c>
      <x:c r="E1359" s="14" t="str">
        <x:v>https://res.cloudinary.com/oxygre42/image/upload/f_auto,q_auto,c_pad,b_white,w_1200,h_1200/v1788351535/1610_warning_alarm.png</x:v>
      </x:c>
      <x:c r="F1359" s="14" t="str"/>
      <x:c r="G1359" s="14" t="str">
        <x:v>Lifestyle</x:v>
      </x:c>
      <x:c r="H1359" s="14" t="str"/>
      <x:c r="I1359" s="14" t="str">
        <x:v>Detail</x:v>
      </x:c>
      <x:c r="J1359" s="14" t="str"/>
      <x:c r="K1359" s="14" t="str">
        <x:v>Scale</x:v>
      </x:c>
      <x:c r="L1359" s="14" t="str"/>
      <x:c r="M1359" s="14" t="str">
        <x:v>Alternate</x:v>
      </x:c>
      <x:c r="N1359" s="14" t="n">
        <x:f>IF(E1359&lt;&gt;"",1,0)+IF(F1359&lt;&gt;"",1,0)+IF(H1359&lt;&gt;"",1,0)+IF(J1359&lt;&gt;"",1,0)+IF(L1359&lt;&gt;"",1,0)</x:f>
        <x:v>1</x:v>
      </x:c>
      <x:c r="O1359" s="14" t="str">
        <x:f>IF(E1359="","MISSING MAIN",IF(N1359=1,"MAIN ONLY","MULTI-PHOTO"))</x:f>
        <x:v>MAIN ONLY</x:v>
      </x:c>
      <x:c r="P1359" s="14" t="str">
        <x:v>1610_</x:v>
      </x:c>
      <x:c r="Q1359" s="14" t="str">
        <x:v>https://mb1advancedsolutions.github.io/mb1-catalog/index.html?design=1610</x:v>
      </x:c>
      <x:c r="R1359" s="14" t="str"/>
    </x:row>
    <x:row r="1360">
      <x:c r="A1360" s="13" t="str">
        <x:v>MB1-1611</x:v>
      </x:c>
      <x:c r="B1360" s="13" t="str">
        <x:v>MB1-1611</x:v>
      </x:c>
      <x:c r="C1360" s="14" t="str">
        <x:v>we do not dial 911 flag</x:v>
      </x:c>
      <x:c r="D1360" s="14" t="str">
        <x:v>seasonal and holiday</x:v>
      </x:c>
      <x:c r="E1360" s="14" t="str">
        <x:v>https://res.cloudinary.com/oxygre42/image/upload/f_auto,q_auto,c_pad,b_white,w_1200,h_1200/v1788351537/1611_we_do_not_dial_911_flag.png</x:v>
      </x:c>
      <x:c r="F1360" s="14" t="str"/>
      <x:c r="G1360" s="14" t="str">
        <x:v>Lifestyle</x:v>
      </x:c>
      <x:c r="H1360" s="14" t="str"/>
      <x:c r="I1360" s="14" t="str">
        <x:v>Detail</x:v>
      </x:c>
      <x:c r="J1360" s="14" t="str"/>
      <x:c r="K1360" s="14" t="str">
        <x:v>Scale</x:v>
      </x:c>
      <x:c r="L1360" s="14" t="str"/>
      <x:c r="M1360" s="14" t="str">
        <x:v>Alternate</x:v>
      </x:c>
      <x:c r="N1360" s="14" t="n">
        <x:f>IF(E1360&lt;&gt;"",1,0)+IF(F1360&lt;&gt;"",1,0)+IF(H1360&lt;&gt;"",1,0)+IF(J1360&lt;&gt;"",1,0)+IF(L1360&lt;&gt;"",1,0)</x:f>
        <x:v>1</x:v>
      </x:c>
      <x:c r="O1360" s="14" t="str">
        <x:f>IF(E1360="","MISSING MAIN",IF(N1360=1,"MAIN ONLY","MULTI-PHOTO"))</x:f>
        <x:v>MAIN ONLY</x:v>
      </x:c>
      <x:c r="P1360" s="14" t="str">
        <x:v>1611_</x:v>
      </x:c>
      <x:c r="Q1360" s="14" t="str">
        <x:v>https://mb1advancedsolutions.github.io/mb1-catalog/index.html?design=1611</x:v>
      </x:c>
      <x:c r="R1360" s="14" t="str"/>
    </x:row>
    <x:row r="1361">
      <x:c r="A1361" s="13" t="str">
        <x:v>MB1-1612</x:v>
      </x:c>
      <x:c r="B1361" s="13" t="str">
        <x:v>MB1-1612</x:v>
      </x:c>
      <x:c r="C1361" s="14" t="str">
        <x:v>you are in range</x:v>
      </x:c>
      <x:c r="D1361" s="14" t="str">
        <x:v>address and property</x:v>
      </x:c>
      <x:c r="E1361" s="14" t="str">
        <x:v>https://res.cloudinary.com/oxygre42/image/upload/f_auto,q_auto,c_pad,b_white,w_1200,h_1200/v1788351539/1612_you_are_in_range.png</x:v>
      </x:c>
      <x:c r="F1361" s="14" t="str"/>
      <x:c r="G1361" s="14" t="str">
        <x:v>Lifestyle</x:v>
      </x:c>
      <x:c r="H1361" s="14" t="str"/>
      <x:c r="I1361" s="14" t="str">
        <x:v>Detail</x:v>
      </x:c>
      <x:c r="J1361" s="14" t="str"/>
      <x:c r="K1361" s="14" t="str">
        <x:v>Scale</x:v>
      </x:c>
      <x:c r="L1361" s="14" t="str"/>
      <x:c r="M1361" s="14" t="str">
        <x:v>Alternate</x:v>
      </x:c>
      <x:c r="N1361" s="14" t="n">
        <x:f>IF(E1361&lt;&gt;"",1,0)+IF(F1361&lt;&gt;"",1,0)+IF(H1361&lt;&gt;"",1,0)+IF(J1361&lt;&gt;"",1,0)+IF(L1361&lt;&gt;"",1,0)</x:f>
        <x:v>1</x:v>
      </x:c>
      <x:c r="O1361" s="14" t="str">
        <x:f>IF(E1361="","MISSING MAIN",IF(N1361=1,"MAIN ONLY","MULTI-PHOTO"))</x:f>
        <x:v>MAIN ONLY</x:v>
      </x:c>
      <x:c r="P1361" s="14" t="str">
        <x:v>1612_</x:v>
      </x:c>
      <x:c r="Q1361" s="14" t="str">
        <x:v>https://mb1advancedsolutions.github.io/mb1-catalog/index.html?design=1612</x:v>
      </x:c>
      <x:c r="R1361" s="14" t="str"/>
    </x:row>
    <x:row r="1362">
      <x:c r="A1362" s="13" t="str">
        <x:v>MB1-1613</x:v>
      </x:c>
      <x:c r="B1362" s="13" t="str">
        <x:v>MB1-1613</x:v>
      </x:c>
      <x:c r="C1362" s="14" t="str">
        <x:v>you are now in range</x:v>
      </x:c>
      <x:c r="D1362" s="14" t="str">
        <x:v>address and property</x:v>
      </x:c>
      <x:c r="E1362" s="14" t="str">
        <x:v>https://res.cloudinary.com/oxygre42/image/upload/f_auto,q_auto,c_pad,b_white,w_1200,h_1200/v1788351541/1613_you_are_now_in_range.png</x:v>
      </x:c>
      <x:c r="F1362" s="14" t="str"/>
      <x:c r="G1362" s="14" t="str">
        <x:v>Lifestyle</x:v>
      </x:c>
      <x:c r="H1362" s="14" t="str"/>
      <x:c r="I1362" s="14" t="str">
        <x:v>Detail</x:v>
      </x:c>
      <x:c r="J1362" s="14" t="str"/>
      <x:c r="K1362" s="14" t="str">
        <x:v>Scale</x:v>
      </x:c>
      <x:c r="L1362" s="14" t="str"/>
      <x:c r="M1362" s="14" t="str">
        <x:v>Alternate</x:v>
      </x:c>
      <x:c r="N1362" s="14" t="n">
        <x:f>IF(E1362&lt;&gt;"",1,0)+IF(F1362&lt;&gt;"",1,0)+IF(H1362&lt;&gt;"",1,0)+IF(J1362&lt;&gt;"",1,0)+IF(L1362&lt;&gt;"",1,0)</x:f>
        <x:v>1</x:v>
      </x:c>
      <x:c r="O1362" s="14" t="str">
        <x:f>IF(E1362="","MISSING MAIN",IF(N1362=1,"MAIN ONLY","MULTI-PHOTO"))</x:f>
        <x:v>MAIN ONLY</x:v>
      </x:c>
      <x:c r="P1362" s="14" t="str">
        <x:v>1613_</x:v>
      </x:c>
      <x:c r="Q1362" s="14" t="str">
        <x:v>https://mb1advancedsolutions.github.io/mb1-catalog/index.html?design=1613</x:v>
      </x:c>
      <x:c r="R1362" s="14" t="str"/>
    </x:row>
    <x:row r="1363">
      <x:c r="A1363" s="13" t="str">
        <x:v>MB1-1614</x:v>
      </x:c>
      <x:c r="B1363" s="13" t="str">
        <x:v>MB1-1614</x:v>
      </x:c>
      <x:c r="C1363" s="14" t="str">
        <x:v>Truck 001</x:v>
      </x:c>
      <x:c r="D1363" s="14" t="str">
        <x:v>home decor and inspirational</x:v>
      </x:c>
      <x:c r="E1363" s="14" t="str">
        <x:v>https://res.cloudinary.com/oxygre42/image/upload/f_auto,q_auto,c_pad,b_white,w_1200,h_1200/v1788351543/1614_Truck_001.png</x:v>
      </x:c>
      <x:c r="F1363" s="14" t="str"/>
      <x:c r="G1363" s="14" t="str">
        <x:v>Lifestyle</x:v>
      </x:c>
      <x:c r="H1363" s="14" t="str"/>
      <x:c r="I1363" s="14" t="str">
        <x:v>Detail</x:v>
      </x:c>
      <x:c r="J1363" s="14" t="str"/>
      <x:c r="K1363" s="14" t="str">
        <x:v>Scale</x:v>
      </x:c>
      <x:c r="L1363" s="14" t="str"/>
      <x:c r="M1363" s="14" t="str">
        <x:v>Alternate</x:v>
      </x:c>
      <x:c r="N1363" s="14" t="n">
        <x:f>IF(E1363&lt;&gt;"",1,0)+IF(F1363&lt;&gt;"",1,0)+IF(H1363&lt;&gt;"",1,0)+IF(J1363&lt;&gt;"",1,0)+IF(L1363&lt;&gt;"",1,0)</x:f>
        <x:v>1</x:v>
      </x:c>
      <x:c r="O1363" s="14" t="str">
        <x:f>IF(E1363="","MISSING MAIN",IF(N1363=1,"MAIN ONLY","MULTI-PHOTO"))</x:f>
        <x:v>MAIN ONLY</x:v>
      </x:c>
      <x:c r="P1363" s="14" t="str">
        <x:v>1614_</x:v>
      </x:c>
      <x:c r="Q1363" s="14" t="str">
        <x:v>https://mb1advancedsolutions.github.io/mb1-catalog/index.html?design=1614</x:v>
      </x:c>
      <x:c r="R1363" s="14" t="str"/>
    </x:row>
    <x:row r="1364">
      <x:c r="A1364" s="13" t="str">
        <x:v>MB1-1615</x:v>
      </x:c>
      <x:c r="B1364" s="13" t="str">
        <x:v>MB1-1615</x:v>
      </x:c>
      <x:c r="C1364" s="14" t="str">
        <x:v>Truck 002 </x:v>
      </x:c>
      <x:c r="D1364" s="14" t="str">
        <x:v>home decor and inspirational</x:v>
      </x:c>
      <x:c r="E1364" s="14" t="str">
        <x:v>https://res.cloudinary.com/oxygre42/image/upload/f_auto,q_auto,c_pad,b_white,w_1200,h_1200/v1788351545/1615_Truck_002.png</x:v>
      </x:c>
      <x:c r="F1364" s="14" t="str"/>
      <x:c r="G1364" s="14" t="str">
        <x:v>Lifestyle</x:v>
      </x:c>
      <x:c r="H1364" s="14" t="str"/>
      <x:c r="I1364" s="14" t="str">
        <x:v>Detail</x:v>
      </x:c>
      <x:c r="J1364" s="14" t="str"/>
      <x:c r="K1364" s="14" t="str">
        <x:v>Scale</x:v>
      </x:c>
      <x:c r="L1364" s="14" t="str"/>
      <x:c r="M1364" s="14" t="str">
        <x:v>Alternate</x:v>
      </x:c>
      <x:c r="N1364" s="14" t="n">
        <x:f>IF(E1364&lt;&gt;"",1,0)+IF(F1364&lt;&gt;"",1,0)+IF(H1364&lt;&gt;"",1,0)+IF(J1364&lt;&gt;"",1,0)+IF(L1364&lt;&gt;"",1,0)</x:f>
        <x:v>1</x:v>
      </x:c>
      <x:c r="O1364" s="14" t="str">
        <x:f>IF(E1364="","MISSING MAIN",IF(N1364=1,"MAIN ONLY","MULTI-PHOTO"))</x:f>
        <x:v>MAIN ONLY</x:v>
      </x:c>
      <x:c r="P1364" s="14" t="str">
        <x:v>1615_</x:v>
      </x:c>
      <x:c r="Q1364" s="14" t="str">
        <x:v>https://mb1advancedsolutions.github.io/mb1-catalog/index.html?design=1615</x:v>
      </x:c>
      <x:c r="R1364" s="14" t="str"/>
    </x:row>
    <x:row r="1365">
      <x:c r="A1365" s="13" t="str">
        <x:v>MB1-1616</x:v>
      </x:c>
      <x:c r="B1365" s="13" t="str">
        <x:v>MB1-1616</x:v>
      </x:c>
      <x:c r="C1365" s="14" t="str">
        <x:v>Truck 003</x:v>
      </x:c>
      <x:c r="D1365" s="14" t="str">
        <x:v>home decor and inspirational</x:v>
      </x:c>
      <x:c r="E1365" s="14" t="str">
        <x:v>https://res.cloudinary.com/oxygre42/image/upload/f_auto,q_auto,c_pad,b_white,w_1200,h_1200/v1788351547/1616_Truck_003.png</x:v>
      </x:c>
      <x:c r="F1365" s="14" t="str"/>
      <x:c r="G1365" s="14" t="str">
        <x:v>Lifestyle</x:v>
      </x:c>
      <x:c r="H1365" s="14" t="str"/>
      <x:c r="I1365" s="14" t="str">
        <x:v>Detail</x:v>
      </x:c>
      <x:c r="J1365" s="14" t="str"/>
      <x:c r="K1365" s="14" t="str">
        <x:v>Scale</x:v>
      </x:c>
      <x:c r="L1365" s="14" t="str"/>
      <x:c r="M1365" s="14" t="str">
        <x:v>Alternate</x:v>
      </x:c>
      <x:c r="N1365" s="14" t="n">
        <x:f>IF(E1365&lt;&gt;"",1,0)+IF(F1365&lt;&gt;"",1,0)+IF(H1365&lt;&gt;"",1,0)+IF(J1365&lt;&gt;"",1,0)+IF(L1365&lt;&gt;"",1,0)</x:f>
        <x:v>1</x:v>
      </x:c>
      <x:c r="O1365" s="14" t="str">
        <x:f>IF(E1365="","MISSING MAIN",IF(N1365=1,"MAIN ONLY","MULTI-PHOTO"))</x:f>
        <x:v>MAIN ONLY</x:v>
      </x:c>
      <x:c r="P1365" s="14" t="str">
        <x:v>1616_</x:v>
      </x:c>
      <x:c r="Q1365" s="14" t="str">
        <x:v>https://mb1advancedsolutions.github.io/mb1-catalog/index.html?design=1616</x:v>
      </x:c>
      <x:c r="R1365" s="14" t="str"/>
    </x:row>
    <x:row r="1366">
      <x:c r="A1366" s="13" t="str">
        <x:v>MB1-1617</x:v>
      </x:c>
      <x:c r="B1366" s="13" t="str">
        <x:v>MB1-1617</x:v>
      </x:c>
      <x:c r="C1366" s="14" t="str">
        <x:v>Truck 004 </x:v>
      </x:c>
      <x:c r="D1366" s="14" t="str">
        <x:v>home decor and inspirational</x:v>
      </x:c>
      <x:c r="E1366" s="14" t="str">
        <x:v>https://res.cloudinary.com/oxygre42/image/upload/f_auto,q_auto,c_pad,b_white,w_1200,h_1200/v1788351548/1617_Truck_004.png</x:v>
      </x:c>
      <x:c r="F1366" s="14" t="str"/>
      <x:c r="G1366" s="14" t="str">
        <x:v>Lifestyle</x:v>
      </x:c>
      <x:c r="H1366" s="14" t="str"/>
      <x:c r="I1366" s="14" t="str">
        <x:v>Detail</x:v>
      </x:c>
      <x:c r="J1366" s="14" t="str"/>
      <x:c r="K1366" s="14" t="str">
        <x:v>Scale</x:v>
      </x:c>
      <x:c r="L1366" s="14" t="str"/>
      <x:c r="M1366" s="14" t="str">
        <x:v>Alternate</x:v>
      </x:c>
      <x:c r="N1366" s="14" t="n">
        <x:f>IF(E1366&lt;&gt;"",1,0)+IF(F1366&lt;&gt;"",1,0)+IF(H1366&lt;&gt;"",1,0)+IF(J1366&lt;&gt;"",1,0)+IF(L1366&lt;&gt;"",1,0)</x:f>
        <x:v>1</x:v>
      </x:c>
      <x:c r="O1366" s="14" t="str">
        <x:f>IF(E1366="","MISSING MAIN",IF(N1366=1,"MAIN ONLY","MULTI-PHOTO"))</x:f>
        <x:v>MAIN ONLY</x:v>
      </x:c>
      <x:c r="P1366" s="14" t="str">
        <x:v>1617_</x:v>
      </x:c>
      <x:c r="Q1366" s="14" t="str">
        <x:v>https://mb1advancedsolutions.github.io/mb1-catalog/index.html?design=1617</x:v>
      </x:c>
      <x:c r="R1366" s="14" t="str"/>
    </x:row>
    <x:row r="1367">
      <x:c r="A1367" s="13" t="str">
        <x:v>MB1-1618</x:v>
      </x:c>
      <x:c r="B1367" s="13" t="str">
        <x:v>MB1-1618</x:v>
      </x:c>
      <x:c r="C1367" s="14" t="str">
        <x:v>Truck 005</x:v>
      </x:c>
      <x:c r="D1367" s="14" t="str">
        <x:v>home decor and inspirational</x:v>
      </x:c>
      <x:c r="E1367" s="14" t="str">
        <x:v>https://res.cloudinary.com/oxygre42/image/upload/f_auto,q_auto,c_pad,b_white,w_1200,h_1200/v1788351550/1618_Truck_005.png</x:v>
      </x:c>
      <x:c r="F1367" s="14" t="str"/>
      <x:c r="G1367" s="14" t="str">
        <x:v>Lifestyle</x:v>
      </x:c>
      <x:c r="H1367" s="14" t="str"/>
      <x:c r="I1367" s="14" t="str">
        <x:v>Detail</x:v>
      </x:c>
      <x:c r="J1367" s="14" t="str"/>
      <x:c r="K1367" s="14" t="str">
        <x:v>Scale</x:v>
      </x:c>
      <x:c r="L1367" s="14" t="str"/>
      <x:c r="M1367" s="14" t="str">
        <x:v>Alternate</x:v>
      </x:c>
      <x:c r="N1367" s="14" t="n">
        <x:f>IF(E1367&lt;&gt;"",1,0)+IF(F1367&lt;&gt;"",1,0)+IF(H1367&lt;&gt;"",1,0)+IF(J1367&lt;&gt;"",1,0)+IF(L1367&lt;&gt;"",1,0)</x:f>
        <x:v>1</x:v>
      </x:c>
      <x:c r="O1367" s="14" t="str">
        <x:f>IF(E1367="","MISSING MAIN",IF(N1367=1,"MAIN ONLY","MULTI-PHOTO"))</x:f>
        <x:v>MAIN ONLY</x:v>
      </x:c>
      <x:c r="P1367" s="14" t="str">
        <x:v>1618_</x:v>
      </x:c>
      <x:c r="Q1367" s="14" t="str">
        <x:v>https://mb1advancedsolutions.github.io/mb1-catalog/index.html?design=1618</x:v>
      </x:c>
      <x:c r="R1367" s="14" t="str"/>
    </x:row>
    <x:row r="1368">
      <x:c r="A1368" s="13" t="str">
        <x:v>MB1-1619</x:v>
      </x:c>
      <x:c r="B1368" s="13" t="str">
        <x:v>MB1-1619</x:v>
      </x:c>
      <x:c r="C1368" s="14" t="str">
        <x:v>Truck 006</x:v>
      </x:c>
      <x:c r="D1368" s="14" t="str">
        <x:v>home decor and inspirational</x:v>
      </x:c>
      <x:c r="E1368" s="14" t="str">
        <x:v>https://res.cloudinary.com/oxygre42/image/upload/f_auto,q_auto,c_pad,b_white,w_1200,h_1200/v1788351552/1619_Truck_006.png</x:v>
      </x:c>
      <x:c r="F1368" s="14" t="str"/>
      <x:c r="G1368" s="14" t="str">
        <x:v>Lifestyle</x:v>
      </x:c>
      <x:c r="H1368" s="14" t="str"/>
      <x:c r="I1368" s="14" t="str">
        <x:v>Detail</x:v>
      </x:c>
      <x:c r="J1368" s="14" t="str"/>
      <x:c r="K1368" s="14" t="str">
        <x:v>Scale</x:v>
      </x:c>
      <x:c r="L1368" s="14" t="str"/>
      <x:c r="M1368" s="14" t="str">
        <x:v>Alternate</x:v>
      </x:c>
      <x:c r="N1368" s="14" t="n">
        <x:f>IF(E1368&lt;&gt;"",1,0)+IF(F1368&lt;&gt;"",1,0)+IF(H1368&lt;&gt;"",1,0)+IF(J1368&lt;&gt;"",1,0)+IF(L1368&lt;&gt;"",1,0)</x:f>
        <x:v>1</x:v>
      </x:c>
      <x:c r="O1368" s="14" t="str">
        <x:f>IF(E1368="","MISSING MAIN",IF(N1368=1,"MAIN ONLY","MULTI-PHOTO"))</x:f>
        <x:v>MAIN ONLY</x:v>
      </x:c>
      <x:c r="P1368" s="14" t="str">
        <x:v>1619_</x:v>
      </x:c>
      <x:c r="Q1368" s="14" t="str">
        <x:v>https://mb1advancedsolutions.github.io/mb1-catalog/index.html?design=1619</x:v>
      </x:c>
      <x:c r="R1368" s="14" t="str"/>
    </x:row>
    <x:row r="1369">
      <x:c r="A1369" s="13" t="str">
        <x:v>MB1-1620</x:v>
      </x:c>
      <x:c r="B1369" s="13" t="str">
        <x:v>MB1-1620</x:v>
      </x:c>
      <x:c r="C1369" s="14" t="str">
        <x:v>Truck 007</x:v>
      </x:c>
      <x:c r="D1369" s="14" t="str">
        <x:v>home decor and inspirational</x:v>
      </x:c>
      <x:c r="E1369" s="14" t="str">
        <x:v>https://res.cloudinary.com/oxygre42/image/upload/f_auto,q_auto,c_pad,b_white,w_1200,h_1200/v1788351554/1620_Truck_007.png</x:v>
      </x:c>
      <x:c r="F1369" s="14" t="str"/>
      <x:c r="G1369" s="14" t="str">
        <x:v>Lifestyle</x:v>
      </x:c>
      <x:c r="H1369" s="14" t="str"/>
      <x:c r="I1369" s="14" t="str">
        <x:v>Detail</x:v>
      </x:c>
      <x:c r="J1369" s="14" t="str"/>
      <x:c r="K1369" s="14" t="str">
        <x:v>Scale</x:v>
      </x:c>
      <x:c r="L1369" s="14" t="str"/>
      <x:c r="M1369" s="14" t="str">
        <x:v>Alternate</x:v>
      </x:c>
      <x:c r="N1369" s="14" t="n">
        <x:f>IF(E1369&lt;&gt;"",1,0)+IF(F1369&lt;&gt;"",1,0)+IF(H1369&lt;&gt;"",1,0)+IF(J1369&lt;&gt;"",1,0)+IF(L1369&lt;&gt;"",1,0)</x:f>
        <x:v>1</x:v>
      </x:c>
      <x:c r="O1369" s="14" t="str">
        <x:f>IF(E1369="","MISSING MAIN",IF(N1369=1,"MAIN ONLY","MULTI-PHOTO"))</x:f>
        <x:v>MAIN ONLY</x:v>
      </x:c>
      <x:c r="P1369" s="14" t="str">
        <x:v>1620_</x:v>
      </x:c>
      <x:c r="Q1369" s="14" t="str">
        <x:v>https://mb1advancedsolutions.github.io/mb1-catalog/index.html?design=1620</x:v>
      </x:c>
      <x:c r="R1369" s="14" t="str"/>
    </x:row>
    <x:row r="1370">
      <x:c r="A1370" s="13" t="str">
        <x:v>MB1-1621</x:v>
      </x:c>
      <x:c r="B1370" s="13" t="str">
        <x:v>MB1-1621</x:v>
      </x:c>
      <x:c r="C1370" s="14" t="str">
        <x:v>Truck 008</x:v>
      </x:c>
      <x:c r="D1370" s="14" t="str">
        <x:v>home decor and inspirational</x:v>
      </x:c>
      <x:c r="E1370" s="14" t="str">
        <x:v>https://res.cloudinary.com/oxygre42/image/upload/f_auto,q_auto,c_pad,b_white,w_1200,h_1200/v1788351558/1621_Truck_008.png</x:v>
      </x:c>
      <x:c r="F1370" s="14" t="str"/>
      <x:c r="G1370" s="14" t="str">
        <x:v>Lifestyle</x:v>
      </x:c>
      <x:c r="H1370" s="14" t="str"/>
      <x:c r="I1370" s="14" t="str">
        <x:v>Detail</x:v>
      </x:c>
      <x:c r="J1370" s="14" t="str"/>
      <x:c r="K1370" s="14" t="str">
        <x:v>Scale</x:v>
      </x:c>
      <x:c r="L1370" s="14" t="str"/>
      <x:c r="M1370" s="14" t="str">
        <x:v>Alternate</x:v>
      </x:c>
      <x:c r="N1370" s="14" t="n">
        <x:f>IF(E1370&lt;&gt;"",1,0)+IF(F1370&lt;&gt;"",1,0)+IF(H1370&lt;&gt;"",1,0)+IF(J1370&lt;&gt;"",1,0)+IF(L1370&lt;&gt;"",1,0)</x:f>
        <x:v>1</x:v>
      </x:c>
      <x:c r="O1370" s="14" t="str">
        <x:f>IF(E1370="","MISSING MAIN",IF(N1370=1,"MAIN ONLY","MULTI-PHOTO"))</x:f>
        <x:v>MAIN ONLY</x:v>
      </x:c>
      <x:c r="P1370" s="14" t="str">
        <x:v>1621_</x:v>
      </x:c>
      <x:c r="Q1370" s="14" t="str">
        <x:v>https://mb1advancedsolutions.github.io/mb1-catalog/index.html?design=1621</x:v>
      </x:c>
      <x:c r="R1370" s="14" t="str"/>
    </x:row>
    <x:row r="1371">
      <x:c r="A1371" s="13" t="str">
        <x:v>MB1-1622</x:v>
      </x:c>
      <x:c r="B1371" s="13" t="str">
        <x:v>MB1-1622</x:v>
      </x:c>
      <x:c r="C1371" s="14" t="str">
        <x:v>Truck 009</x:v>
      </x:c>
      <x:c r="D1371" s="14" t="str">
        <x:v>home decor and inspirational</x:v>
      </x:c>
      <x:c r="E1371" s="14" t="str">
        <x:v>https://res.cloudinary.com/oxygre42/image/upload/f_auto,q_auto,c_pad,b_white,w_1200,h_1200/v1788351558/1622_Truck_009.png</x:v>
      </x:c>
      <x:c r="F1371" s="14" t="str"/>
      <x:c r="G1371" s="14" t="str">
        <x:v>Lifestyle</x:v>
      </x:c>
      <x:c r="H1371" s="14" t="str"/>
      <x:c r="I1371" s="14" t="str">
        <x:v>Detail</x:v>
      </x:c>
      <x:c r="J1371" s="14" t="str"/>
      <x:c r="K1371" s="14" t="str">
        <x:v>Scale</x:v>
      </x:c>
      <x:c r="L1371" s="14" t="str"/>
      <x:c r="M1371" s="14" t="str">
        <x:v>Alternate</x:v>
      </x:c>
      <x:c r="N1371" s="14" t="n">
        <x:f>IF(E1371&lt;&gt;"",1,0)+IF(F1371&lt;&gt;"",1,0)+IF(H1371&lt;&gt;"",1,0)+IF(J1371&lt;&gt;"",1,0)+IF(L1371&lt;&gt;"",1,0)</x:f>
        <x:v>1</x:v>
      </x:c>
      <x:c r="O1371" s="14" t="str">
        <x:f>IF(E1371="","MISSING MAIN",IF(N1371=1,"MAIN ONLY","MULTI-PHOTO"))</x:f>
        <x:v>MAIN ONLY</x:v>
      </x:c>
      <x:c r="P1371" s="14" t="str">
        <x:v>1622_</x:v>
      </x:c>
      <x:c r="Q1371" s="14" t="str">
        <x:v>https://mb1advancedsolutions.github.io/mb1-catalog/index.html?design=1622</x:v>
      </x:c>
      <x:c r="R1371" s="14" t="str"/>
    </x:row>
    <x:row r="1372">
      <x:c r="A1372" s="13" t="str">
        <x:v>MB1-1623</x:v>
      </x:c>
      <x:c r="B1372" s="13" t="str">
        <x:v>MB1-1623</x:v>
      </x:c>
      <x:c r="C1372" s="14" t="str">
        <x:v>Truck 010</x:v>
      </x:c>
      <x:c r="D1372" s="14" t="str">
        <x:v>home decor and inspirational</x:v>
      </x:c>
      <x:c r="E1372" s="14" t="str">
        <x:v>https://res.cloudinary.com/oxygre42/image/upload/f_auto,q_auto,c_pad,b_white,w_1200,h_1200/v1788351560/1623_Truck_010.png</x:v>
      </x:c>
      <x:c r="F1372" s="14" t="str"/>
      <x:c r="G1372" s="14" t="str">
        <x:v>Lifestyle</x:v>
      </x:c>
      <x:c r="H1372" s="14" t="str"/>
      <x:c r="I1372" s="14" t="str">
        <x:v>Detail</x:v>
      </x:c>
      <x:c r="J1372" s="14" t="str"/>
      <x:c r="K1372" s="14" t="str">
        <x:v>Scale</x:v>
      </x:c>
      <x:c r="L1372" s="14" t="str"/>
      <x:c r="M1372" s="14" t="str">
        <x:v>Alternate</x:v>
      </x:c>
      <x:c r="N1372" s="14" t="n">
        <x:f>IF(E1372&lt;&gt;"",1,0)+IF(F1372&lt;&gt;"",1,0)+IF(H1372&lt;&gt;"",1,0)+IF(J1372&lt;&gt;"",1,0)+IF(L1372&lt;&gt;"",1,0)</x:f>
        <x:v>1</x:v>
      </x:c>
      <x:c r="O1372" s="14" t="str">
        <x:f>IF(E1372="","MISSING MAIN",IF(N1372=1,"MAIN ONLY","MULTI-PHOTO"))</x:f>
        <x:v>MAIN ONLY</x:v>
      </x:c>
      <x:c r="P1372" s="14" t="str">
        <x:v>1623_</x:v>
      </x:c>
      <x:c r="Q1372" s="14" t="str">
        <x:v>https://mb1advancedsolutions.github.io/mb1-catalog/index.html?design=1623</x:v>
      </x:c>
      <x:c r="R1372" s="14" t="str"/>
    </x:row>
    <x:row r="1373">
      <x:c r="A1373" s="13" t="str">
        <x:v>MB1-1624</x:v>
      </x:c>
      <x:c r="B1373" s="13" t="str">
        <x:v>MB1-1624</x:v>
      </x:c>
      <x:c r="C1373" s="14" t="str">
        <x:v>Truck 011</x:v>
      </x:c>
      <x:c r="D1373" s="14" t="str">
        <x:v>home decor and inspirational</x:v>
      </x:c>
      <x:c r="E1373" s="14" t="str">
        <x:v>https://res.cloudinary.com/oxygre42/image/upload/f_auto,q_auto,c_pad,b_white,w_1200,h_1200/v1788351562/1624_Truck_011.png</x:v>
      </x:c>
      <x:c r="F1373" s="14" t="str"/>
      <x:c r="G1373" s="14" t="str">
        <x:v>Lifestyle</x:v>
      </x:c>
      <x:c r="H1373" s="14" t="str"/>
      <x:c r="I1373" s="14" t="str">
        <x:v>Detail</x:v>
      </x:c>
      <x:c r="J1373" s="14" t="str"/>
      <x:c r="K1373" s="14" t="str">
        <x:v>Scale</x:v>
      </x:c>
      <x:c r="L1373" s="14" t="str"/>
      <x:c r="M1373" s="14" t="str">
        <x:v>Alternate</x:v>
      </x:c>
      <x:c r="N1373" s="14" t="n">
        <x:f>IF(E1373&lt;&gt;"",1,0)+IF(F1373&lt;&gt;"",1,0)+IF(H1373&lt;&gt;"",1,0)+IF(J1373&lt;&gt;"",1,0)+IF(L1373&lt;&gt;"",1,0)</x:f>
        <x:v>1</x:v>
      </x:c>
      <x:c r="O1373" s="14" t="str">
        <x:f>IF(E1373="","MISSING MAIN",IF(N1373=1,"MAIN ONLY","MULTI-PHOTO"))</x:f>
        <x:v>MAIN ONLY</x:v>
      </x:c>
      <x:c r="P1373" s="14" t="str">
        <x:v>1624_</x:v>
      </x:c>
      <x:c r="Q1373" s="14" t="str">
        <x:v>https://mb1advancedsolutions.github.io/mb1-catalog/index.html?design=1624</x:v>
      </x:c>
      <x:c r="R1373" s="14" t="str"/>
    </x:row>
    <x:row r="1374">
      <x:c r="A1374" s="13" t="str">
        <x:v>MB1-1625</x:v>
      </x:c>
      <x:c r="B1374" s="13" t="str">
        <x:v>MB1-1625</x:v>
      </x:c>
      <x:c r="C1374" s="14" t="str">
        <x:v>Truck 012</x:v>
      </x:c>
      <x:c r="D1374" s="14" t="str">
        <x:v>home decor and inspirational</x:v>
      </x:c>
      <x:c r="E1374" s="14" t="str">
        <x:v>https://res.cloudinary.com/oxygre42/image/upload/f_auto,q_auto,c_pad,b_white,w_1200,h_1200/v1788351564/1625_Truck_012.png</x:v>
      </x:c>
      <x:c r="F1374" s="14" t="str"/>
      <x:c r="G1374" s="14" t="str">
        <x:v>Lifestyle</x:v>
      </x:c>
      <x:c r="H1374" s="14" t="str"/>
      <x:c r="I1374" s="14" t="str">
        <x:v>Detail</x:v>
      </x:c>
      <x:c r="J1374" s="14" t="str"/>
      <x:c r="K1374" s="14" t="str">
        <x:v>Scale</x:v>
      </x:c>
      <x:c r="L1374" s="14" t="str"/>
      <x:c r="M1374" s="14" t="str">
        <x:v>Alternate</x:v>
      </x:c>
      <x:c r="N1374" s="14" t="n">
        <x:f>IF(E1374&lt;&gt;"",1,0)+IF(F1374&lt;&gt;"",1,0)+IF(H1374&lt;&gt;"",1,0)+IF(J1374&lt;&gt;"",1,0)+IF(L1374&lt;&gt;"",1,0)</x:f>
        <x:v>1</x:v>
      </x:c>
      <x:c r="O1374" s="14" t="str">
        <x:f>IF(E1374="","MISSING MAIN",IF(N1374=1,"MAIN ONLY","MULTI-PHOTO"))</x:f>
        <x:v>MAIN ONLY</x:v>
      </x:c>
      <x:c r="P1374" s="14" t="str">
        <x:v>1625_</x:v>
      </x:c>
      <x:c r="Q1374" s="14" t="str">
        <x:v>https://mb1advancedsolutions.github.io/mb1-catalog/index.html?design=1625</x:v>
      </x:c>
      <x:c r="R1374" s="14" t="str"/>
    </x:row>
    <x:row r="1375">
      <x:c r="A1375" s="13" t="str">
        <x:v>MB1-1626</x:v>
      </x:c>
      <x:c r="B1375" s="13" t="str">
        <x:v>MB1-1626</x:v>
      </x:c>
      <x:c r="C1375" s="14" t="str">
        <x:v>Truck 013</x:v>
      </x:c>
      <x:c r="D1375" s="14" t="str">
        <x:v>home decor and inspirational</x:v>
      </x:c>
      <x:c r="E1375" s="14" t="str">
        <x:v>https://res.cloudinary.com/oxygre42/image/upload/f_auto,q_auto,c_pad,b_white,w_1200,h_1200/v1788351567/1626_Truck_013.png</x:v>
      </x:c>
      <x:c r="F1375" s="14" t="str"/>
      <x:c r="G1375" s="14" t="str">
        <x:v>Lifestyle</x:v>
      </x:c>
      <x:c r="H1375" s="14" t="str"/>
      <x:c r="I1375" s="14" t="str">
        <x:v>Detail</x:v>
      </x:c>
      <x:c r="J1375" s="14" t="str"/>
      <x:c r="K1375" s="14" t="str">
        <x:v>Scale</x:v>
      </x:c>
      <x:c r="L1375" s="14" t="str"/>
      <x:c r="M1375" s="14" t="str">
        <x:v>Alternate</x:v>
      </x:c>
      <x:c r="N1375" s="14" t="n">
        <x:f>IF(E1375&lt;&gt;"",1,0)+IF(F1375&lt;&gt;"",1,0)+IF(H1375&lt;&gt;"",1,0)+IF(J1375&lt;&gt;"",1,0)+IF(L1375&lt;&gt;"",1,0)</x:f>
        <x:v>1</x:v>
      </x:c>
      <x:c r="O1375" s="14" t="str">
        <x:f>IF(E1375="","MISSING MAIN",IF(N1375=1,"MAIN ONLY","MULTI-PHOTO"))</x:f>
        <x:v>MAIN ONLY</x:v>
      </x:c>
      <x:c r="P1375" s="14" t="str">
        <x:v>1626_</x:v>
      </x:c>
      <x:c r="Q1375" s="14" t="str">
        <x:v>https://mb1advancedsolutions.github.io/mb1-catalog/index.html?design=1626</x:v>
      </x:c>
      <x:c r="R1375" s="14" t="str"/>
    </x:row>
    <x:row r="1376">
      <x:c r="A1376" s="13" t="str">
        <x:v>MB1-1627</x:v>
      </x:c>
      <x:c r="B1376" s="13" t="str">
        <x:v>MB1-1627</x:v>
      </x:c>
      <x:c r="C1376" s="14" t="str">
        <x:v>Truck 014 </x:v>
      </x:c>
      <x:c r="D1376" s="14" t="str">
        <x:v>home decor and inspirational</x:v>
      </x:c>
      <x:c r="E1376" s="14" t="str">
        <x:v>https://res.cloudinary.com/oxygre42/image/upload/f_auto,q_auto,c_pad,b_white,w_1200,h_1200/v1788351567/1627_Truck_014.png</x:v>
      </x:c>
      <x:c r="F1376" s="14" t="str"/>
      <x:c r="G1376" s="14" t="str">
        <x:v>Lifestyle</x:v>
      </x:c>
      <x:c r="H1376" s="14" t="str"/>
      <x:c r="I1376" s="14" t="str">
        <x:v>Detail</x:v>
      </x:c>
      <x:c r="J1376" s="14" t="str"/>
      <x:c r="K1376" s="14" t="str">
        <x:v>Scale</x:v>
      </x:c>
      <x:c r="L1376" s="14" t="str"/>
      <x:c r="M1376" s="14" t="str">
        <x:v>Alternate</x:v>
      </x:c>
      <x:c r="N1376" s="14" t="n">
        <x:f>IF(E1376&lt;&gt;"",1,0)+IF(F1376&lt;&gt;"",1,0)+IF(H1376&lt;&gt;"",1,0)+IF(J1376&lt;&gt;"",1,0)+IF(L1376&lt;&gt;"",1,0)</x:f>
        <x:v>1</x:v>
      </x:c>
      <x:c r="O1376" s="14" t="str">
        <x:f>IF(E1376="","MISSING MAIN",IF(N1376=1,"MAIN ONLY","MULTI-PHOTO"))</x:f>
        <x:v>MAIN ONLY</x:v>
      </x:c>
      <x:c r="P1376" s="14" t="str">
        <x:v>1627_</x:v>
      </x:c>
      <x:c r="Q1376" s="14" t="str">
        <x:v>https://mb1advancedsolutions.github.io/mb1-catalog/index.html?design=1627</x:v>
      </x:c>
      <x:c r="R1376" s="14" t="str"/>
    </x:row>
    <x:row r="1377">
      <x:c r="A1377" s="13" t="str">
        <x:v>MB1-1628</x:v>
      </x:c>
      <x:c r="B1377" s="13" t="str">
        <x:v>MB1-1628</x:v>
      </x:c>
      <x:c r="C1377" s="14" t="str">
        <x:v>Truck 015</x:v>
      </x:c>
      <x:c r="D1377" s="14" t="str">
        <x:v>home decor and inspirational</x:v>
      </x:c>
      <x:c r="E1377" s="14" t="str">
        <x:v>https://res.cloudinary.com/oxygre42/image/upload/f_auto,q_auto,c_pad,b_white,w_1200,h_1200/v1788351569/1628_Truck_015.png</x:v>
      </x:c>
      <x:c r="F1377" s="14" t="str"/>
      <x:c r="G1377" s="14" t="str">
        <x:v>Lifestyle</x:v>
      </x:c>
      <x:c r="H1377" s="14" t="str"/>
      <x:c r="I1377" s="14" t="str">
        <x:v>Detail</x:v>
      </x:c>
      <x:c r="J1377" s="14" t="str"/>
      <x:c r="K1377" s="14" t="str">
        <x:v>Scale</x:v>
      </x:c>
      <x:c r="L1377" s="14" t="str"/>
      <x:c r="M1377" s="14" t="str">
        <x:v>Alternate</x:v>
      </x:c>
      <x:c r="N1377" s="14" t="n">
        <x:f>IF(E1377&lt;&gt;"",1,0)+IF(F1377&lt;&gt;"",1,0)+IF(H1377&lt;&gt;"",1,0)+IF(J1377&lt;&gt;"",1,0)+IF(L1377&lt;&gt;"",1,0)</x:f>
        <x:v>1</x:v>
      </x:c>
      <x:c r="O1377" s="14" t="str">
        <x:f>IF(E1377="","MISSING MAIN",IF(N1377=1,"MAIN ONLY","MULTI-PHOTO"))</x:f>
        <x:v>MAIN ONLY</x:v>
      </x:c>
      <x:c r="P1377" s="14" t="str">
        <x:v>1628_</x:v>
      </x:c>
      <x:c r="Q1377" s="14" t="str">
        <x:v>https://mb1advancedsolutions.github.io/mb1-catalog/index.html?design=1628</x:v>
      </x:c>
      <x:c r="R1377" s="14" t="str"/>
    </x:row>
    <x:row r="1378">
      <x:c r="A1378" s="13" t="str">
        <x:v>MB1-1629</x:v>
      </x:c>
      <x:c r="B1378" s="13" t="str">
        <x:v>MB1-1629</x:v>
      </x:c>
      <x:c r="C1378" s="14" t="str">
        <x:v>Truck 016</x:v>
      </x:c>
      <x:c r="D1378" s="14" t="str">
        <x:v>home decor and inspirational</x:v>
      </x:c>
      <x:c r="E1378" s="14" t="str">
        <x:v>https://res.cloudinary.com/oxygre42/image/upload/f_auto,q_auto,c_pad,b_white,w_1200,h_1200/v1788351571/1629_Truck_016.png</x:v>
      </x:c>
      <x:c r="F1378" s="14" t="str"/>
      <x:c r="G1378" s="14" t="str">
        <x:v>Lifestyle</x:v>
      </x:c>
      <x:c r="H1378" s="14" t="str"/>
      <x:c r="I1378" s="14" t="str">
        <x:v>Detail</x:v>
      </x:c>
      <x:c r="J1378" s="14" t="str"/>
      <x:c r="K1378" s="14" t="str">
        <x:v>Scale</x:v>
      </x:c>
      <x:c r="L1378" s="14" t="str"/>
      <x:c r="M1378" s="14" t="str">
        <x:v>Alternate</x:v>
      </x:c>
      <x:c r="N1378" s="14" t="n">
        <x:f>IF(E1378&lt;&gt;"",1,0)+IF(F1378&lt;&gt;"",1,0)+IF(H1378&lt;&gt;"",1,0)+IF(J1378&lt;&gt;"",1,0)+IF(L1378&lt;&gt;"",1,0)</x:f>
        <x:v>1</x:v>
      </x:c>
      <x:c r="O1378" s="14" t="str">
        <x:f>IF(E1378="","MISSING MAIN",IF(N1378=1,"MAIN ONLY","MULTI-PHOTO"))</x:f>
        <x:v>MAIN ONLY</x:v>
      </x:c>
      <x:c r="P1378" s="14" t="str">
        <x:v>1629_</x:v>
      </x:c>
      <x:c r="Q1378" s="14" t="str">
        <x:v>https://mb1advancedsolutions.github.io/mb1-catalog/index.html?design=1629</x:v>
      </x:c>
      <x:c r="R1378" s="14" t="str"/>
    </x:row>
    <x:row r="1379">
      <x:c r="A1379" s="13" t="str">
        <x:v>MB1-1630</x:v>
      </x:c>
      <x:c r="B1379" s="13" t="str">
        <x:v>MB1-1630</x:v>
      </x:c>
      <x:c r="C1379" s="14" t="str">
        <x:v>Truck 017</x:v>
      </x:c>
      <x:c r="D1379" s="14" t="str">
        <x:v>home decor and inspirational</x:v>
      </x:c>
      <x:c r="E1379" s="14" t="str">
        <x:v>https://res.cloudinary.com/oxygre42/image/upload/f_auto,q_auto,c_pad,b_white,w_1200,h_1200/v1788351573/1630_Truck_017.png</x:v>
      </x:c>
      <x:c r="F1379" s="14" t="str"/>
      <x:c r="G1379" s="14" t="str">
        <x:v>Lifestyle</x:v>
      </x:c>
      <x:c r="H1379" s="14" t="str"/>
      <x:c r="I1379" s="14" t="str">
        <x:v>Detail</x:v>
      </x:c>
      <x:c r="J1379" s="14" t="str"/>
      <x:c r="K1379" s="14" t="str">
        <x:v>Scale</x:v>
      </x:c>
      <x:c r="L1379" s="14" t="str"/>
      <x:c r="M1379" s="14" t="str">
        <x:v>Alternate</x:v>
      </x:c>
      <x:c r="N1379" s="14" t="n">
        <x:f>IF(E1379&lt;&gt;"",1,0)+IF(F1379&lt;&gt;"",1,0)+IF(H1379&lt;&gt;"",1,0)+IF(J1379&lt;&gt;"",1,0)+IF(L1379&lt;&gt;"",1,0)</x:f>
        <x:v>1</x:v>
      </x:c>
      <x:c r="O1379" s="14" t="str">
        <x:f>IF(E1379="","MISSING MAIN",IF(N1379=1,"MAIN ONLY","MULTI-PHOTO"))</x:f>
        <x:v>MAIN ONLY</x:v>
      </x:c>
      <x:c r="P1379" s="14" t="str">
        <x:v>1630_</x:v>
      </x:c>
      <x:c r="Q1379" s="14" t="str">
        <x:v>https://mb1advancedsolutions.github.io/mb1-catalog/index.html?design=1630</x:v>
      </x:c>
      <x:c r="R1379" s="14" t="str"/>
    </x:row>
    <x:row r="1380">
      <x:c r="A1380" s="13" t="str">
        <x:v>MB1-1631</x:v>
      </x:c>
      <x:c r="B1380" s="13" t="str">
        <x:v>MB1-1631</x:v>
      </x:c>
      <x:c r="C1380" s="14" t="str">
        <x:v>viking 1</x:v>
      </x:c>
      <x:c r="D1380" s="14" t="str">
        <x:v>sports and hobbies</x:v>
      </x:c>
      <x:c r="E1380" s="14" t="str">
        <x:v>https://res.cloudinary.com/oxygre42/image/upload/f_auto,q_auto,c_pad,b_white,w_1200,h_1200/v1788351575/1631_viking_1.png</x:v>
      </x:c>
      <x:c r="F1380" s="14" t="str"/>
      <x:c r="G1380" s="14" t="str">
        <x:v>Lifestyle</x:v>
      </x:c>
      <x:c r="H1380" s="14" t="str"/>
      <x:c r="I1380" s="14" t="str">
        <x:v>Detail</x:v>
      </x:c>
      <x:c r="J1380" s="14" t="str"/>
      <x:c r="K1380" s="14" t="str">
        <x:v>Scale</x:v>
      </x:c>
      <x:c r="L1380" s="14" t="str"/>
      <x:c r="M1380" s="14" t="str">
        <x:v>Alternate</x:v>
      </x:c>
      <x:c r="N1380" s="14" t="n">
        <x:f>IF(E1380&lt;&gt;"",1,0)+IF(F1380&lt;&gt;"",1,0)+IF(H1380&lt;&gt;"",1,0)+IF(J1380&lt;&gt;"",1,0)+IF(L1380&lt;&gt;"",1,0)</x:f>
        <x:v>1</x:v>
      </x:c>
      <x:c r="O1380" s="14" t="str">
        <x:f>IF(E1380="","MISSING MAIN",IF(N1380=1,"MAIN ONLY","MULTI-PHOTO"))</x:f>
        <x:v>MAIN ONLY</x:v>
      </x:c>
      <x:c r="P1380" s="14" t="str">
        <x:v>1631_</x:v>
      </x:c>
      <x:c r="Q1380" s="14" t="str">
        <x:v>https://mb1advancedsolutions.github.io/mb1-catalog/index.html?design=1631</x:v>
      </x:c>
      <x:c r="R1380" s="14" t="str"/>
    </x:row>
    <x:row r="1381">
      <x:c r="A1381" s="13" t="str">
        <x:v>MB1-1632</x:v>
      </x:c>
      <x:c r="B1381" s="13" t="str">
        <x:v>MB1-1632</x:v>
      </x:c>
      <x:c r="C1381" s="14" t="str">
        <x:v>viking 2</x:v>
      </x:c>
      <x:c r="D1381" s="14" t="str">
        <x:v>sports and hobbies</x:v>
      </x:c>
      <x:c r="E1381" s="14" t="str">
        <x:v>https://res.cloudinary.com/oxygre42/image/upload/f_auto,q_auto,c_pad,b_white,w_1200,h_1200/v1788351576/1632_viking_2.png</x:v>
      </x:c>
      <x:c r="F1381" s="14" t="str"/>
      <x:c r="G1381" s="14" t="str">
        <x:v>Lifestyle</x:v>
      </x:c>
      <x:c r="H1381" s="14" t="str"/>
      <x:c r="I1381" s="14" t="str">
        <x:v>Detail</x:v>
      </x:c>
      <x:c r="J1381" s="14" t="str"/>
      <x:c r="K1381" s="14" t="str">
        <x:v>Scale</x:v>
      </x:c>
      <x:c r="L1381" s="14" t="str"/>
      <x:c r="M1381" s="14" t="str">
        <x:v>Alternate</x:v>
      </x:c>
      <x:c r="N1381" s="14" t="n">
        <x:f>IF(E1381&lt;&gt;"",1,0)+IF(F1381&lt;&gt;"",1,0)+IF(H1381&lt;&gt;"",1,0)+IF(J1381&lt;&gt;"",1,0)+IF(L1381&lt;&gt;"",1,0)</x:f>
        <x:v>1</x:v>
      </x:c>
      <x:c r="O1381" s="14" t="str">
        <x:f>IF(E1381="","MISSING MAIN",IF(N1381=1,"MAIN ONLY","MULTI-PHOTO"))</x:f>
        <x:v>MAIN ONLY</x:v>
      </x:c>
      <x:c r="P1381" s="14" t="str">
        <x:v>1632_</x:v>
      </x:c>
      <x:c r="Q1381" s="14" t="str">
        <x:v>https://mb1advancedsolutions.github.io/mb1-catalog/index.html?design=1632</x:v>
      </x:c>
      <x:c r="R1381" s="14" t="str"/>
    </x:row>
    <x:row r="1382">
      <x:c r="A1382" s="13" t="str">
        <x:v>MB1-1633</x:v>
      </x:c>
      <x:c r="B1382" s="13" t="str">
        <x:v>MB1-1633</x:v>
      </x:c>
      <x:c r="C1382" s="14" t="str">
        <x:v>viking 3</x:v>
      </x:c>
      <x:c r="D1382" s="14" t="str">
        <x:v>sports and hobbies</x:v>
      </x:c>
      <x:c r="E1382" s="14" t="str">
        <x:v>https://res.cloudinary.com/oxygre42/image/upload/f_auto,q_auto,c_pad,b_white,w_1200,h_1200/v1788351579/1633_viking_3.png</x:v>
      </x:c>
      <x:c r="F1382" s="14" t="str"/>
      <x:c r="G1382" s="14" t="str">
        <x:v>Lifestyle</x:v>
      </x:c>
      <x:c r="H1382" s="14" t="str"/>
      <x:c r="I1382" s="14" t="str">
        <x:v>Detail</x:v>
      </x:c>
      <x:c r="J1382" s="14" t="str"/>
      <x:c r="K1382" s="14" t="str">
        <x:v>Scale</x:v>
      </x:c>
      <x:c r="L1382" s="14" t="str"/>
      <x:c r="M1382" s="14" t="str">
        <x:v>Alternate</x:v>
      </x:c>
      <x:c r="N1382" s="14" t="n">
        <x:f>IF(E1382&lt;&gt;"",1,0)+IF(F1382&lt;&gt;"",1,0)+IF(H1382&lt;&gt;"",1,0)+IF(J1382&lt;&gt;"",1,0)+IF(L1382&lt;&gt;"",1,0)</x:f>
        <x:v>1</x:v>
      </x:c>
      <x:c r="O1382" s="14" t="str">
        <x:f>IF(E1382="","MISSING MAIN",IF(N1382=1,"MAIN ONLY","MULTI-PHOTO"))</x:f>
        <x:v>MAIN ONLY</x:v>
      </x:c>
      <x:c r="P1382" s="14" t="str">
        <x:v>1633_</x:v>
      </x:c>
      <x:c r="Q1382" s="14" t="str">
        <x:v>https://mb1advancedsolutions.github.io/mb1-catalog/index.html?design=1633</x:v>
      </x:c>
      <x:c r="R1382" s="14" t="str"/>
    </x:row>
    <x:row r="1383">
      <x:c r="A1383" s="13" t="str">
        <x:v>MB1-1643</x:v>
      </x:c>
      <x:c r="B1383" s="13" t="str">
        <x:v>MB1-1643</x:v>
      </x:c>
      <x:c r="C1383" s="14" t="str">
        <x:v>welcome to the farm</x:v>
      </x:c>
      <x:c r="D1383" s="14" t="str">
        <x:v>farm and western</x:v>
      </x:c>
      <x:c r="E1383" s="14" t="str">
        <x:v>https://res.cloudinary.com/oxygre42/image/upload/f_auto,q_auto,c_pad,b_white,w_1200,h_1200/v1788351580/1643_welcome_to_the_farm.png</x:v>
      </x:c>
      <x:c r="F1383" s="14" t="str"/>
      <x:c r="G1383" s="14" t="str">
        <x:v>Lifestyle</x:v>
      </x:c>
      <x:c r="H1383" s="14" t="str"/>
      <x:c r="I1383" s="14" t="str">
        <x:v>Detail</x:v>
      </x:c>
      <x:c r="J1383" s="14" t="str"/>
      <x:c r="K1383" s="14" t="str">
        <x:v>Scale</x:v>
      </x:c>
      <x:c r="L1383" s="14" t="str"/>
      <x:c r="M1383" s="14" t="str">
        <x:v>Alternate</x:v>
      </x:c>
      <x:c r="N1383" s="14" t="n">
        <x:f>IF(E1383&lt;&gt;"",1,0)+IF(F1383&lt;&gt;"",1,0)+IF(H1383&lt;&gt;"",1,0)+IF(J1383&lt;&gt;"",1,0)+IF(L1383&lt;&gt;"",1,0)</x:f>
        <x:v>1</x:v>
      </x:c>
      <x:c r="O1383" s="14" t="str">
        <x:f>IF(E1383="","MISSING MAIN",IF(N1383=1,"MAIN ONLY","MULTI-PHOTO"))</x:f>
        <x:v>MAIN ONLY</x:v>
      </x:c>
      <x:c r="P1383" s="14" t="str">
        <x:v>1643_</x:v>
      </x:c>
      <x:c r="Q1383" s="14" t="str">
        <x:v>https://mb1advancedsolutions.github.io/mb1-catalog/index.html?design=1643</x:v>
      </x:c>
      <x:c r="R1383" s="14" t="str"/>
    </x:row>
    <x:row r="1384">
      <x:c r="A1384" s="13" t="str">
        <x:v>MB1-1652</x:v>
      </x:c>
      <x:c r="B1384" s="13" t="str">
        <x:v>MB1-1652</x:v>
      </x:c>
      <x:c r="C1384" s="14" t="str">
        <x:v>axe monogram 1</x:v>
      </x:c>
      <x:c r="D1384" s="14" t="str">
        <x:v>sports and hobbies</x:v>
      </x:c>
      <x:c r="E1384" s="14" t="str">
        <x:v>https://res.cloudinary.com/oxygre42/image/upload/f_auto,q_auto,c_pad,b_white,w_1200,h_1200/v1788351582/1652_axe_monogram_1.png</x:v>
      </x:c>
      <x:c r="F1384" s="14" t="str"/>
      <x:c r="G1384" s="14" t="str">
        <x:v>Lifestyle</x:v>
      </x:c>
      <x:c r="H1384" s="14" t="str"/>
      <x:c r="I1384" s="14" t="str">
        <x:v>Detail</x:v>
      </x:c>
      <x:c r="J1384" s="14" t="str"/>
      <x:c r="K1384" s="14" t="str">
        <x:v>Scale</x:v>
      </x:c>
      <x:c r="L1384" s="14" t="str"/>
      <x:c r="M1384" s="14" t="str">
        <x:v>Alternate</x:v>
      </x:c>
      <x:c r="N1384" s="14" t="n">
        <x:f>IF(E1384&lt;&gt;"",1,0)+IF(F1384&lt;&gt;"",1,0)+IF(H1384&lt;&gt;"",1,0)+IF(J1384&lt;&gt;"",1,0)+IF(L1384&lt;&gt;"",1,0)</x:f>
        <x:v>1</x:v>
      </x:c>
      <x:c r="O1384" s="14" t="str">
        <x:f>IF(E1384="","MISSING MAIN",IF(N1384=1,"MAIN ONLY","MULTI-PHOTO"))</x:f>
        <x:v>MAIN ONLY</x:v>
      </x:c>
      <x:c r="P1384" s="14" t="str">
        <x:v>1652_</x:v>
      </x:c>
      <x:c r="Q1384" s="14" t="str">
        <x:v>https://mb1advancedsolutions.github.io/mb1-catalog/index.html?design=1652</x:v>
      </x:c>
      <x:c r="R1384" s="14" t="str"/>
    </x:row>
    <x:row r="1385">
      <x:c r="A1385" s="13" t="str">
        <x:v>MB1-1653</x:v>
      </x:c>
      <x:c r="B1385" s="13" t="str">
        <x:v>MB1-1653</x:v>
      </x:c>
      <x:c r="C1385" s="14" t="str">
        <x:v>axe monogram 10</x:v>
      </x:c>
      <x:c r="D1385" s="14" t="str">
        <x:v>sports and hobbies</x:v>
      </x:c>
      <x:c r="E1385" s="14" t="str">
        <x:v>https://res.cloudinary.com/oxygre42/image/upload/f_auto,q_auto,c_pad,b_white,w_1200,h_1200/v1788351584/1653_axe_monogram_10.png</x:v>
      </x:c>
      <x:c r="F1385" s="14" t="str"/>
      <x:c r="G1385" s="14" t="str">
        <x:v>Lifestyle</x:v>
      </x:c>
      <x:c r="H1385" s="14" t="str"/>
      <x:c r="I1385" s="14" t="str">
        <x:v>Detail</x:v>
      </x:c>
      <x:c r="J1385" s="14" t="str"/>
      <x:c r="K1385" s="14" t="str">
        <x:v>Scale</x:v>
      </x:c>
      <x:c r="L1385" s="14" t="str"/>
      <x:c r="M1385" s="14" t="str">
        <x:v>Alternate</x:v>
      </x:c>
      <x:c r="N1385" s="14" t="n">
        <x:f>IF(E1385&lt;&gt;"",1,0)+IF(F1385&lt;&gt;"",1,0)+IF(H1385&lt;&gt;"",1,0)+IF(J1385&lt;&gt;"",1,0)+IF(L1385&lt;&gt;"",1,0)</x:f>
        <x:v>1</x:v>
      </x:c>
      <x:c r="O1385" s="14" t="str">
        <x:f>IF(E1385="","MISSING MAIN",IF(N1385=1,"MAIN ONLY","MULTI-PHOTO"))</x:f>
        <x:v>MAIN ONLY</x:v>
      </x:c>
      <x:c r="P1385" s="14" t="str">
        <x:v>1653_</x:v>
      </x:c>
      <x:c r="Q1385" s="14" t="str">
        <x:v>https://mb1advancedsolutions.github.io/mb1-catalog/index.html?design=1653</x:v>
      </x:c>
      <x:c r="R1385" s="14" t="str"/>
    </x:row>
    <x:row r="1386">
      <x:c r="A1386" s="13" t="str">
        <x:v>MB1-1654</x:v>
      </x:c>
      <x:c r="B1386" s="13" t="str">
        <x:v>MB1-1654</x:v>
      </x:c>
      <x:c r="C1386" s="14" t="str">
        <x:v>axe monogram 2</x:v>
      </x:c>
      <x:c r="D1386" s="14" t="str">
        <x:v>sports and hobbies</x:v>
      </x:c>
      <x:c r="E1386" s="14" t="str">
        <x:v>https://res.cloudinary.com/oxygre42/image/upload/f_auto,q_auto,c_pad,b_white,w_1200,h_1200/v1788351586/1654_axe_monogram_2.png</x:v>
      </x:c>
      <x:c r="F1386" s="14" t="str"/>
      <x:c r="G1386" s="14" t="str">
        <x:v>Lifestyle</x:v>
      </x:c>
      <x:c r="H1386" s="14" t="str"/>
      <x:c r="I1386" s="14" t="str">
        <x:v>Detail</x:v>
      </x:c>
      <x:c r="J1386" s="14" t="str"/>
      <x:c r="K1386" s="14" t="str">
        <x:v>Scale</x:v>
      </x:c>
      <x:c r="L1386" s="14" t="str"/>
      <x:c r="M1386" s="14" t="str">
        <x:v>Alternate</x:v>
      </x:c>
      <x:c r="N1386" s="14" t="n">
        <x:f>IF(E1386&lt;&gt;"",1,0)+IF(F1386&lt;&gt;"",1,0)+IF(H1386&lt;&gt;"",1,0)+IF(J1386&lt;&gt;"",1,0)+IF(L1386&lt;&gt;"",1,0)</x:f>
        <x:v>1</x:v>
      </x:c>
      <x:c r="O1386" s="14" t="str">
        <x:f>IF(E1386="","MISSING MAIN",IF(N1386=1,"MAIN ONLY","MULTI-PHOTO"))</x:f>
        <x:v>MAIN ONLY</x:v>
      </x:c>
      <x:c r="P1386" s="14" t="str">
        <x:v>1654_</x:v>
      </x:c>
      <x:c r="Q1386" s="14" t="str">
        <x:v>https://mb1advancedsolutions.github.io/mb1-catalog/index.html?design=1654</x:v>
      </x:c>
      <x:c r="R1386" s="14" t="str"/>
    </x:row>
    <x:row r="1387">
      <x:c r="A1387" s="13" t="str">
        <x:v>MB1-1655</x:v>
      </x:c>
      <x:c r="B1387" s="13" t="str">
        <x:v>MB1-1655</x:v>
      </x:c>
      <x:c r="C1387" s="14" t="str">
        <x:v>axe monogram 3</x:v>
      </x:c>
      <x:c r="D1387" s="14" t="str">
        <x:v>sports and hobbies</x:v>
      </x:c>
      <x:c r="E1387" s="14" t="str">
        <x:v>https://res.cloudinary.com/oxygre42/image/upload/f_auto,q_auto,c_pad,b_white,w_1200,h_1200/v1788351590/1655_axe_monogram_3.png</x:v>
      </x:c>
      <x:c r="F1387" s="14" t="str"/>
      <x:c r="G1387" s="14" t="str">
        <x:v>Lifestyle</x:v>
      </x:c>
      <x:c r="H1387" s="14" t="str"/>
      <x:c r="I1387" s="14" t="str">
        <x:v>Detail</x:v>
      </x:c>
      <x:c r="J1387" s="14" t="str"/>
      <x:c r="K1387" s="14" t="str">
        <x:v>Scale</x:v>
      </x:c>
      <x:c r="L1387" s="14" t="str"/>
      <x:c r="M1387" s="14" t="str">
        <x:v>Alternate</x:v>
      </x:c>
      <x:c r="N1387" s="14" t="n">
        <x:f>IF(E1387&lt;&gt;"",1,0)+IF(F1387&lt;&gt;"",1,0)+IF(H1387&lt;&gt;"",1,0)+IF(J1387&lt;&gt;"",1,0)+IF(L1387&lt;&gt;"",1,0)</x:f>
        <x:v>1</x:v>
      </x:c>
      <x:c r="O1387" s="14" t="str">
        <x:f>IF(E1387="","MISSING MAIN",IF(N1387=1,"MAIN ONLY","MULTI-PHOTO"))</x:f>
        <x:v>MAIN ONLY</x:v>
      </x:c>
      <x:c r="P1387" s="14" t="str">
        <x:v>1655_</x:v>
      </x:c>
      <x:c r="Q1387" s="14" t="str">
        <x:v>https://mb1advancedsolutions.github.io/mb1-catalog/index.html?design=1655</x:v>
      </x:c>
      <x:c r="R1387" s="14" t="str"/>
    </x:row>
    <x:row r="1388">
      <x:c r="A1388" s="13" t="str">
        <x:v>MB1-1656</x:v>
      </x:c>
      <x:c r="B1388" s="13" t="str">
        <x:v>MB1-1656</x:v>
      </x:c>
      <x:c r="C1388" s="14" t="str">
        <x:v>axe monogram 4</x:v>
      </x:c>
      <x:c r="D1388" s="14" t="str">
        <x:v>sports and hobbies</x:v>
      </x:c>
      <x:c r="E1388" s="14" t="str">
        <x:v>https://res.cloudinary.com/oxygre42/image/upload/f_auto,q_auto,c_pad,b_white,w_1200,h_1200/v1788351590/1656_axe_monogram_4.png</x:v>
      </x:c>
      <x:c r="F1388" s="14" t="str"/>
      <x:c r="G1388" s="14" t="str">
        <x:v>Lifestyle</x:v>
      </x:c>
      <x:c r="H1388" s="14" t="str"/>
      <x:c r="I1388" s="14" t="str">
        <x:v>Detail</x:v>
      </x:c>
      <x:c r="J1388" s="14" t="str"/>
      <x:c r="K1388" s="14" t="str">
        <x:v>Scale</x:v>
      </x:c>
      <x:c r="L1388" s="14" t="str"/>
      <x:c r="M1388" s="14" t="str">
        <x:v>Alternate</x:v>
      </x:c>
      <x:c r="N1388" s="14" t="n">
        <x:f>IF(E1388&lt;&gt;"",1,0)+IF(F1388&lt;&gt;"",1,0)+IF(H1388&lt;&gt;"",1,0)+IF(J1388&lt;&gt;"",1,0)+IF(L1388&lt;&gt;"",1,0)</x:f>
        <x:v>1</x:v>
      </x:c>
      <x:c r="O1388" s="14" t="str">
        <x:f>IF(E1388="","MISSING MAIN",IF(N1388=1,"MAIN ONLY","MULTI-PHOTO"))</x:f>
        <x:v>MAIN ONLY</x:v>
      </x:c>
      <x:c r="P1388" s="14" t="str">
        <x:v>1656_</x:v>
      </x:c>
      <x:c r="Q1388" s="14" t="str">
        <x:v>https://mb1advancedsolutions.github.io/mb1-catalog/index.html?design=1656</x:v>
      </x:c>
      <x:c r="R1388" s="14" t="str"/>
    </x:row>
    <x:row r="1389">
      <x:c r="A1389" s="13" t="str">
        <x:v>MB1-1657</x:v>
      </x:c>
      <x:c r="B1389" s="13" t="str">
        <x:v>MB1-1657</x:v>
      </x:c>
      <x:c r="C1389" s="14" t="str">
        <x:v>axe monogram 5</x:v>
      </x:c>
      <x:c r="D1389" s="14" t="str">
        <x:v>sports and hobbies</x:v>
      </x:c>
      <x:c r="E1389" s="14" t="str">
        <x:v>https://res.cloudinary.com/oxygre42/image/upload/f_auto,q_auto,c_pad,b_white,w_1200,h_1200/v1788351592/1657_axe_monogram_5.png</x:v>
      </x:c>
      <x:c r="F1389" s="14" t="str"/>
      <x:c r="G1389" s="14" t="str">
        <x:v>Lifestyle</x:v>
      </x:c>
      <x:c r="H1389" s="14" t="str"/>
      <x:c r="I1389" s="14" t="str">
        <x:v>Detail</x:v>
      </x:c>
      <x:c r="J1389" s="14" t="str"/>
      <x:c r="K1389" s="14" t="str">
        <x:v>Scale</x:v>
      </x:c>
      <x:c r="L1389" s="14" t="str"/>
      <x:c r="M1389" s="14" t="str">
        <x:v>Alternate</x:v>
      </x:c>
      <x:c r="N1389" s="14" t="n">
        <x:f>IF(E1389&lt;&gt;"",1,0)+IF(F1389&lt;&gt;"",1,0)+IF(H1389&lt;&gt;"",1,0)+IF(J1389&lt;&gt;"",1,0)+IF(L1389&lt;&gt;"",1,0)</x:f>
        <x:v>1</x:v>
      </x:c>
      <x:c r="O1389" s="14" t="str">
        <x:f>IF(E1389="","MISSING MAIN",IF(N1389=1,"MAIN ONLY","MULTI-PHOTO"))</x:f>
        <x:v>MAIN ONLY</x:v>
      </x:c>
      <x:c r="P1389" s="14" t="str">
        <x:v>1657_</x:v>
      </x:c>
      <x:c r="Q1389" s="14" t="str">
        <x:v>https://mb1advancedsolutions.github.io/mb1-catalog/index.html?design=1657</x:v>
      </x:c>
      <x:c r="R1389" s="14" t="str"/>
    </x:row>
    <x:row r="1390">
      <x:c r="A1390" s="13" t="str">
        <x:v>MB1-1658</x:v>
      </x:c>
      <x:c r="B1390" s="13" t="str">
        <x:v>MB1-1658</x:v>
      </x:c>
      <x:c r="C1390" s="14" t="str">
        <x:v>axe monogram 6</x:v>
      </x:c>
      <x:c r="D1390" s="14" t="str">
        <x:v>sports and hobbies</x:v>
      </x:c>
      <x:c r="E1390" s="14" t="str">
        <x:v>https://res.cloudinary.com/oxygre42/image/upload/f_auto,q_auto,c_pad,b_white,w_1200,h_1200/v1788351593/1658_axe_monogram_6.png</x:v>
      </x:c>
      <x:c r="F1390" s="14" t="str"/>
      <x:c r="G1390" s="14" t="str">
        <x:v>Lifestyle</x:v>
      </x:c>
      <x:c r="H1390" s="14" t="str"/>
      <x:c r="I1390" s="14" t="str">
        <x:v>Detail</x:v>
      </x:c>
      <x:c r="J1390" s="14" t="str"/>
      <x:c r="K1390" s="14" t="str">
        <x:v>Scale</x:v>
      </x:c>
      <x:c r="L1390" s="14" t="str"/>
      <x:c r="M1390" s="14" t="str">
        <x:v>Alternate</x:v>
      </x:c>
      <x:c r="N1390" s="14" t="n">
        <x:f>IF(E1390&lt;&gt;"",1,0)+IF(F1390&lt;&gt;"",1,0)+IF(H1390&lt;&gt;"",1,0)+IF(J1390&lt;&gt;"",1,0)+IF(L1390&lt;&gt;"",1,0)</x:f>
        <x:v>1</x:v>
      </x:c>
      <x:c r="O1390" s="14" t="str">
        <x:f>IF(E1390="","MISSING MAIN",IF(N1390=1,"MAIN ONLY","MULTI-PHOTO"))</x:f>
        <x:v>MAIN ONLY</x:v>
      </x:c>
      <x:c r="P1390" s="14" t="str">
        <x:v>1658_</x:v>
      </x:c>
      <x:c r="Q1390" s="14" t="str">
        <x:v>https://mb1advancedsolutions.github.io/mb1-catalog/index.html?design=1658</x:v>
      </x:c>
      <x:c r="R1390" s="14" t="str"/>
    </x:row>
    <x:row r="1391">
      <x:c r="A1391" s="13" t="str">
        <x:v>MB1-1659</x:v>
      </x:c>
      <x:c r="B1391" s="13" t="str">
        <x:v>MB1-1659</x:v>
      </x:c>
      <x:c r="C1391" s="14" t="str">
        <x:v>axe monogram 7</x:v>
      </x:c>
      <x:c r="D1391" s="14" t="str">
        <x:v>sports and hobbies</x:v>
      </x:c>
      <x:c r="E1391" s="14" t="str">
        <x:v>https://res.cloudinary.com/oxygre42/image/upload/f_auto,q_auto,c_pad,b_white,w_1200,h_1200/v1788351595/1659_axe_monogram_7.png</x:v>
      </x:c>
      <x:c r="F1391" s="14" t="str"/>
      <x:c r="G1391" s="14" t="str">
        <x:v>Lifestyle</x:v>
      </x:c>
      <x:c r="H1391" s="14" t="str"/>
      <x:c r="I1391" s="14" t="str">
        <x:v>Detail</x:v>
      </x:c>
      <x:c r="J1391" s="14" t="str"/>
      <x:c r="K1391" s="14" t="str">
        <x:v>Scale</x:v>
      </x:c>
      <x:c r="L1391" s="14" t="str"/>
      <x:c r="M1391" s="14" t="str">
        <x:v>Alternate</x:v>
      </x:c>
      <x:c r="N1391" s="14" t="n">
        <x:f>IF(E1391&lt;&gt;"",1,0)+IF(F1391&lt;&gt;"",1,0)+IF(H1391&lt;&gt;"",1,0)+IF(J1391&lt;&gt;"",1,0)+IF(L1391&lt;&gt;"",1,0)</x:f>
        <x:v>1</x:v>
      </x:c>
      <x:c r="O1391" s="14" t="str">
        <x:f>IF(E1391="","MISSING MAIN",IF(N1391=1,"MAIN ONLY","MULTI-PHOTO"))</x:f>
        <x:v>MAIN ONLY</x:v>
      </x:c>
      <x:c r="P1391" s="14" t="str">
        <x:v>1659_</x:v>
      </x:c>
      <x:c r="Q1391" s="14" t="str">
        <x:v>https://mb1advancedsolutions.github.io/mb1-catalog/index.html?design=1659</x:v>
      </x:c>
      <x:c r="R1391" s="14" t="str"/>
    </x:row>
    <x:row r="1392">
      <x:c r="A1392" s="13" t="str">
        <x:v>MB1-1660</x:v>
      </x:c>
      <x:c r="B1392" s="13" t="str">
        <x:v>MB1-1660</x:v>
      </x:c>
      <x:c r="C1392" s="14" t="str">
        <x:v>axe monogram 8</x:v>
      </x:c>
      <x:c r="D1392" s="14" t="str">
        <x:v>sports and hobbies</x:v>
      </x:c>
      <x:c r="E1392" s="14" t="str">
        <x:v>https://res.cloudinary.com/oxygre42/image/upload/f_auto,q_auto,c_pad,b_white,w_1200,h_1200/v1788351597/1660_axe_monogram_8.png</x:v>
      </x:c>
      <x:c r="F1392" s="14" t="str"/>
      <x:c r="G1392" s="14" t="str">
        <x:v>Lifestyle</x:v>
      </x:c>
      <x:c r="H1392" s="14" t="str"/>
      <x:c r="I1392" s="14" t="str">
        <x:v>Detail</x:v>
      </x:c>
      <x:c r="J1392" s="14" t="str"/>
      <x:c r="K1392" s="14" t="str">
        <x:v>Scale</x:v>
      </x:c>
      <x:c r="L1392" s="14" t="str"/>
      <x:c r="M1392" s="14" t="str">
        <x:v>Alternate</x:v>
      </x:c>
      <x:c r="N1392" s="14" t="n">
        <x:f>IF(E1392&lt;&gt;"",1,0)+IF(F1392&lt;&gt;"",1,0)+IF(H1392&lt;&gt;"",1,0)+IF(J1392&lt;&gt;"",1,0)+IF(L1392&lt;&gt;"",1,0)</x:f>
        <x:v>1</x:v>
      </x:c>
      <x:c r="O1392" s="14" t="str">
        <x:f>IF(E1392="","MISSING MAIN",IF(N1392=1,"MAIN ONLY","MULTI-PHOTO"))</x:f>
        <x:v>MAIN ONLY</x:v>
      </x:c>
      <x:c r="P1392" s="14" t="str">
        <x:v>1660_</x:v>
      </x:c>
      <x:c r="Q1392" s="14" t="str">
        <x:v>https://mb1advancedsolutions.github.io/mb1-catalog/index.html?design=1660</x:v>
      </x:c>
      <x:c r="R1392" s="14" t="str"/>
    </x:row>
    <x:row r="1393">
      <x:c r="A1393" s="13" t="str">
        <x:v>MB1-1661</x:v>
      </x:c>
      <x:c r="B1393" s="13" t="str">
        <x:v>MB1-1661</x:v>
      </x:c>
      <x:c r="C1393" s="14" t="str">
        <x:v>axe monogram 9</x:v>
      </x:c>
      <x:c r="D1393" s="14" t="str">
        <x:v>sports and hobbies</x:v>
      </x:c>
      <x:c r="E1393" s="14" t="str">
        <x:v>https://res.cloudinary.com/oxygre42/image/upload/f_auto,q_auto,c_pad,b_white,w_1200,h_1200/v1788351599/1661_axe_monogram_9.png</x:v>
      </x:c>
      <x:c r="F1393" s="14" t="str"/>
      <x:c r="G1393" s="14" t="str">
        <x:v>Lifestyle</x:v>
      </x:c>
      <x:c r="H1393" s="14" t="str"/>
      <x:c r="I1393" s="14" t="str">
        <x:v>Detail</x:v>
      </x:c>
      <x:c r="J1393" s="14" t="str"/>
      <x:c r="K1393" s="14" t="str">
        <x:v>Scale</x:v>
      </x:c>
      <x:c r="L1393" s="14" t="str"/>
      <x:c r="M1393" s="14" t="str">
        <x:v>Alternate</x:v>
      </x:c>
      <x:c r="N1393" s="14" t="n">
        <x:f>IF(E1393&lt;&gt;"",1,0)+IF(F1393&lt;&gt;"",1,0)+IF(H1393&lt;&gt;"",1,0)+IF(J1393&lt;&gt;"",1,0)+IF(L1393&lt;&gt;"",1,0)</x:f>
        <x:v>1</x:v>
      </x:c>
      <x:c r="O1393" s="14" t="str">
        <x:f>IF(E1393="","MISSING MAIN",IF(N1393=1,"MAIN ONLY","MULTI-PHOTO"))</x:f>
        <x:v>MAIN ONLY</x:v>
      </x:c>
      <x:c r="P1393" s="14" t="str">
        <x:v>1661_</x:v>
      </x:c>
      <x:c r="Q1393" s="14" t="str">
        <x:v>https://mb1advancedsolutions.github.io/mb1-catalog/index.html?design=1661</x:v>
      </x:c>
      <x:c r="R1393" s="14" t="str"/>
    </x:row>
    <x:row r="1394">
      <x:c r="A1394" s="13" t="str">
        <x:v>MB1-1662</x:v>
      </x:c>
      <x:c r="B1394" s="13" t="str">
        <x:v>MB1-1662</x:v>
      </x:c>
      <x:c r="C1394" s="14" t="str">
        <x:v>Christmas Wreath</x:v>
      </x:c>
      <x:c r="D1394" s="14" t="str">
        <x:v>seasonal and holiday</x:v>
      </x:c>
      <x:c r="E1394" s="14" t="str">
        <x:v>https://res.cloudinary.com/oxygre42/image/upload/f_auto,q_auto,c_pad,b_white,w_1200,h_1200/v1788351601/1662_Christmas_Wreath.png</x:v>
      </x:c>
      <x:c r="F1394" s="14" t="str"/>
      <x:c r="G1394" s="14" t="str">
        <x:v>Lifestyle</x:v>
      </x:c>
      <x:c r="H1394" s="14" t="str"/>
      <x:c r="I1394" s="14" t="str">
        <x:v>Detail</x:v>
      </x:c>
      <x:c r="J1394" s="14" t="str"/>
      <x:c r="K1394" s="14" t="str">
        <x:v>Scale</x:v>
      </x:c>
      <x:c r="L1394" s="14" t="str"/>
      <x:c r="M1394" s="14" t="str">
        <x:v>Alternate</x:v>
      </x:c>
      <x:c r="N1394" s="14" t="n">
        <x:f>IF(E1394&lt;&gt;"",1,0)+IF(F1394&lt;&gt;"",1,0)+IF(H1394&lt;&gt;"",1,0)+IF(J1394&lt;&gt;"",1,0)+IF(L1394&lt;&gt;"",1,0)</x:f>
        <x:v>1</x:v>
      </x:c>
      <x:c r="O1394" s="14" t="str">
        <x:f>IF(E1394="","MISSING MAIN",IF(N1394=1,"MAIN ONLY","MULTI-PHOTO"))</x:f>
        <x:v>MAIN ONLY</x:v>
      </x:c>
      <x:c r="P1394" s="14" t="str">
        <x:v>1662_</x:v>
      </x:c>
      <x:c r="Q1394" s="14" t="str">
        <x:v>https://mb1advancedsolutions.github.io/mb1-catalog/index.html?design=1662</x:v>
      </x:c>
      <x:c r="R1394" s="14" t="str"/>
    </x:row>
    <x:row r="1395">
      <x:c r="A1395" s="13" t="str">
        <x:v>MB1-1663</x:v>
      </x:c>
      <x:c r="B1395" s="13" t="str">
        <x:v>MB1-1663</x:v>
      </x:c>
      <x:c r="C1395" s="14" t="str">
        <x:v>merry christmas monogram fancy metal</x:v>
      </x:c>
      <x:c r="D1395" s="14" t="str">
        <x:v>seasonal and holiday</x:v>
      </x:c>
      <x:c r="E1395" s="14" t="str">
        <x:v>https://res.cloudinary.com/oxygre42/image/upload/f_auto,q_auto,c_pad,b_white,w_1200,h_1200/v1788351603/1663_merry_christmas_monogram_fancy_metal.png</x:v>
      </x:c>
      <x:c r="F1395" s="14" t="str"/>
      <x:c r="G1395" s="14" t="str">
        <x:v>Lifestyle</x:v>
      </x:c>
      <x:c r="H1395" s="14" t="str"/>
      <x:c r="I1395" s="14" t="str">
        <x:v>Detail</x:v>
      </x:c>
      <x:c r="J1395" s="14" t="str"/>
      <x:c r="K1395" s="14" t="str">
        <x:v>Scale</x:v>
      </x:c>
      <x:c r="L1395" s="14" t="str"/>
      <x:c r="M1395" s="14" t="str">
        <x:v>Alternate</x:v>
      </x:c>
      <x:c r="N1395" s="14" t="n">
        <x:f>IF(E1395&lt;&gt;"",1,0)+IF(F1395&lt;&gt;"",1,0)+IF(H1395&lt;&gt;"",1,0)+IF(J1395&lt;&gt;"",1,0)+IF(L1395&lt;&gt;"",1,0)</x:f>
        <x:v>1</x:v>
      </x:c>
      <x:c r="O1395" s="14" t="str">
        <x:f>IF(E1395="","MISSING MAIN",IF(N1395=1,"MAIN ONLY","MULTI-PHOTO"))</x:f>
        <x:v>MAIN ONLY</x:v>
      </x:c>
      <x:c r="P1395" s="14" t="str">
        <x:v>1663_</x:v>
      </x:c>
      <x:c r="Q1395" s="14" t="str">
        <x:v>https://mb1advancedsolutions.github.io/mb1-catalog/index.html?design=1663</x:v>
      </x:c>
      <x:c r="R1395" s="14" t="str"/>
    </x:row>
    <x:row r="1396">
      <x:c r="A1396" s="13" t="str">
        <x:v>MB1-1664</x:v>
      </x:c>
      <x:c r="B1396" s="13" t="str">
        <x:v>MB1-1664</x:v>
      </x:c>
      <x:c r="C1396" s="14" t="str">
        <x:v>merry christmas tree</x:v>
      </x:c>
      <x:c r="D1396" s="14" t="str">
        <x:v>seasonal and holiday</x:v>
      </x:c>
      <x:c r="E1396" s="14" t="str">
        <x:v>https://res.cloudinary.com/oxygre42/image/upload/f_auto,q_auto,c_pad,b_white,w_1200,h_1200/v1788351605/1664_merry_christmas_tree.png</x:v>
      </x:c>
      <x:c r="F1396" s="14" t="str"/>
      <x:c r="G1396" s="14" t="str">
        <x:v>Lifestyle</x:v>
      </x:c>
      <x:c r="H1396" s="14" t="str"/>
      <x:c r="I1396" s="14" t="str">
        <x:v>Detail</x:v>
      </x:c>
      <x:c r="J1396" s="14" t="str"/>
      <x:c r="K1396" s="14" t="str">
        <x:v>Scale</x:v>
      </x:c>
      <x:c r="L1396" s="14" t="str"/>
      <x:c r="M1396" s="14" t="str">
        <x:v>Alternate</x:v>
      </x:c>
      <x:c r="N1396" s="14" t="n">
        <x:f>IF(E1396&lt;&gt;"",1,0)+IF(F1396&lt;&gt;"",1,0)+IF(H1396&lt;&gt;"",1,0)+IF(J1396&lt;&gt;"",1,0)+IF(L1396&lt;&gt;"",1,0)</x:f>
        <x:v>1</x:v>
      </x:c>
      <x:c r="O1396" s="14" t="str">
        <x:f>IF(E1396="","MISSING MAIN",IF(N1396=1,"MAIN ONLY","MULTI-PHOTO"))</x:f>
        <x:v>MAIN ONLY</x:v>
      </x:c>
      <x:c r="P1396" s="14" t="str">
        <x:v>1664_</x:v>
      </x:c>
      <x:c r="Q1396" s="14" t="str">
        <x:v>https://mb1advancedsolutions.github.io/mb1-catalog/index.html?design=1664</x:v>
      </x:c>
      <x:c r="R1396" s="14" t="str"/>
    </x:row>
    <x:row r="1397">
      <x:c r="A1397" s="13" t="str">
        <x:v>MB1-1665</x:v>
      </x:c>
      <x:c r="B1397" s="13" t="str">
        <x:v>MB1-1665</x:v>
      </x:c>
      <x:c r="C1397" s="14" t="str">
        <x:v>deer elk  monogram 1</x:v>
      </x:c>
      <x:c r="D1397" s="14" t="str">
        <x:v>wildlife and outdoors</x:v>
      </x:c>
      <x:c r="E1397" s="14" t="str">
        <x:v>https://res.cloudinary.com/oxygre42/image/upload/f_auto,q_auto,c_pad,b_white,w_1200,h_1200/v1788351607/1665_deer_elk_monogram_1.png</x:v>
      </x:c>
      <x:c r="F1397" s="14" t="str"/>
      <x:c r="G1397" s="14" t="str">
        <x:v>Lifestyle</x:v>
      </x:c>
      <x:c r="H1397" s="14" t="str"/>
      <x:c r="I1397" s="14" t="str">
        <x:v>Detail</x:v>
      </x:c>
      <x:c r="J1397" s="14" t="str"/>
      <x:c r="K1397" s="14" t="str">
        <x:v>Scale</x:v>
      </x:c>
      <x:c r="L1397" s="14" t="str"/>
      <x:c r="M1397" s="14" t="str">
        <x:v>Alternate</x:v>
      </x:c>
      <x:c r="N1397" s="14" t="n">
        <x:f>IF(E1397&lt;&gt;"",1,0)+IF(F1397&lt;&gt;"",1,0)+IF(H1397&lt;&gt;"",1,0)+IF(J1397&lt;&gt;"",1,0)+IF(L1397&lt;&gt;"",1,0)</x:f>
        <x:v>1</x:v>
      </x:c>
      <x:c r="O1397" s="14" t="str">
        <x:f>IF(E1397="","MISSING MAIN",IF(N1397=1,"MAIN ONLY","MULTI-PHOTO"))</x:f>
        <x:v>MAIN ONLY</x:v>
      </x:c>
      <x:c r="P1397" s="14" t="str">
        <x:v>1665_</x:v>
      </x:c>
      <x:c r="Q1397" s="14" t="str">
        <x:v>https://mb1advancedsolutions.github.io/mb1-catalog/index.html?design=1665</x:v>
      </x:c>
      <x:c r="R1397" s="14" t="str"/>
    </x:row>
    <x:row r="1398">
      <x:c r="A1398" s="13" t="str">
        <x:v>MB1-1666</x:v>
      </x:c>
      <x:c r="B1398" s="13" t="str">
        <x:v>MB1-1666</x:v>
      </x:c>
      <x:c r="C1398" s="14" t="str">
        <x:v>deer elk  monogram 2</x:v>
      </x:c>
      <x:c r="D1398" s="14" t="str">
        <x:v>wildlife and outdoors</x:v>
      </x:c>
      <x:c r="E1398" s="14" t="str">
        <x:v>https://res.cloudinary.com/oxygre42/image/upload/f_auto,q_auto,c_pad,b_white,w_1200,h_1200/v1788351609/1666_deer_elk_monogram_2.png</x:v>
      </x:c>
      <x:c r="F1398" s="14" t="str"/>
      <x:c r="G1398" s="14" t="str">
        <x:v>Lifestyle</x:v>
      </x:c>
      <x:c r="H1398" s="14" t="str"/>
      <x:c r="I1398" s="14" t="str">
        <x:v>Detail</x:v>
      </x:c>
      <x:c r="J1398" s="14" t="str"/>
      <x:c r="K1398" s="14" t="str">
        <x:v>Scale</x:v>
      </x:c>
      <x:c r="L1398" s="14" t="str"/>
      <x:c r="M1398" s="14" t="str">
        <x:v>Alternate</x:v>
      </x:c>
      <x:c r="N1398" s="14" t="n">
        <x:f>IF(E1398&lt;&gt;"",1,0)+IF(F1398&lt;&gt;"",1,0)+IF(H1398&lt;&gt;"",1,0)+IF(J1398&lt;&gt;"",1,0)+IF(L1398&lt;&gt;"",1,0)</x:f>
        <x:v>1</x:v>
      </x:c>
      <x:c r="O1398" s="14" t="str">
        <x:f>IF(E1398="","MISSING MAIN",IF(N1398=1,"MAIN ONLY","MULTI-PHOTO"))</x:f>
        <x:v>MAIN ONLY</x:v>
      </x:c>
      <x:c r="P1398" s="14" t="str">
        <x:v>1666_</x:v>
      </x:c>
      <x:c r="Q1398" s="14" t="str">
        <x:v>https://mb1advancedsolutions.github.io/mb1-catalog/index.html?design=1666</x:v>
      </x:c>
      <x:c r="R1398" s="14" t="str"/>
    </x:row>
  </x:sheetData>
  <x:conditionalFormatting sqref="O2:O1398">
    <x:cfRule type="expression" dxfId="0" priority="1">
      <x:formula>O2="MULTI-PHOTO"</x:formula>
    </x:cfRule>
    <x:cfRule type="expression" dxfId="1" priority="2">
      <x:formula>O2="MAIN ONLY"</x:formula>
    </x:cfRule>
    <x:cfRule type="expression" dxfId="2" priority="3">
      <x:formula>O2="MISSING MAIN"</x:formula>
    </x:cfRule>
  </x:conditionalFormatting>
  <x:dataValidations count="4">
    <x:dataValidation type="list" sqref="G2:G1398">
      <x:formula1>'Photo Types &amp; Naming'!$A$2:$A$9</x:formula1>
    </x:dataValidation>
    <x:dataValidation type="list" sqref="I2:I1398">
      <x:formula1>'Photo Types &amp; Naming'!$A$2:$A$9</x:formula1>
    </x:dataValidation>
    <x:dataValidation type="list" sqref="K2:K1398">
      <x:formula1>'Photo Types &amp; Naming'!$A$2:$A$9</x:formula1>
    </x:dataValidation>
    <x:dataValidation type="list" sqref="M2:M1398">
      <x:formula1>'Photo Types &amp; Naming'!$A$2:$A$9</x:formula1>
    </x:dataValidation>
  </x:dataValidations>
  <x:pageMargins left="0.7" right="0.7" top="0.75" bottom="0.75" header="0.3" footer="0.3"/>
  <x:tableParts count="1">
    <x:tablePart xmlns:r="http://schemas.openxmlformats.org/officeDocument/2006/relationships" r:id="Ra5b8e581c9c74879"/>
  </x:tableParts>
</x:worksheet>
</file>

<file path=xl/worksheets/sheet2.xml><?xml version="1.0" encoding="utf-8"?>
<x:worksheet xmlns:x="http://schemas.openxmlformats.org/spreadsheetml/2006/main">
  <x:sheetFormatPr defaultRowHeight="15"/>
  <x:cols>
    <x:col min="1" max="1" width="22" hidden="0" customWidth="1"/>
    <x:col min="2" max="2" width="28" hidden="0" customWidth="1"/>
    <x:col min="3" max="3" width="55" hidden="0" customWidth="1"/>
    <x:col min="4" max="4" width="48" hidden="0" customWidth="1"/>
  </x:cols>
  <x:sheetData>
    <x:row r="1">
      <x:c r="A1" s="5" t="str">
        <x:v>Photo Type</x:v>
      </x:c>
      <x:c r="B1" s="5" t="str">
        <x:v>Recommended Filename Suffix</x:v>
      </x:c>
      <x:c r="C1" s="5" t="str">
        <x:v>Best Use</x:v>
      </x:c>
      <x:c r="D1" s="5" t="str">
        <x:v>Notes</x:v>
      </x:c>
    </x:row>
    <x:row r="2">
      <x:c r="A2" t="str">
        <x:v>Lifestyle</x:v>
      </x:c>
      <x:c r="B2" t="str">
        <x:v>lifestyle</x:v>
      </x:c>
      <x:c r="C2" s="10" t="str">
        <x:v>Sign shown in a realistic home, lake house, porch, shop, or commercial setting.</x:v>
      </x:c>
      <x:c r="D2" s="10" t="str">
        <x:v>Use a realistic setting that matches the product.</x:v>
      </x:c>
    </x:row>
    <x:row r="3">
      <x:c r="A3" t="str">
        <x:v>Detail</x:v>
      </x:c>
      <x:c r="B3" t="str">
        <x:v>detail</x:v>
      </x:c>
      <x:c r="C3" s="10" t="str">
        <x:v>Close-up of cut quality, powder coat, texture, edge, or engraving.</x:v>
      </x:c>
      <x:c r="D3" s="10" t="str">
        <x:v>Good for showing craftsmanship.</x:v>
      </x:c>
    </x:row>
    <x:row r="4">
      <x:c r="A4" t="str">
        <x:v>Scale</x:v>
      </x:c>
      <x:c r="B4" t="str">
        <x:v>scale</x:v>
      </x:c>
      <x:c r="C4" s="10" t="str">
        <x:v>Photo that helps a customer understand physical size.</x:v>
      </x:c>
      <x:c r="D4" s="10" t="str">
        <x:v>Use furniture, wall placement, or another familiar object for scale.</x:v>
      </x:c>
    </x:row>
    <x:row r="5">
      <x:c r="A5" t="str">
        <x:v>Alternate</x:v>
      </x:c>
      <x:c r="B5" t="str">
        <x:v>alternate</x:v>
      </x:c>
      <x:c r="C5" s="10" t="str">
        <x:v>Alternate angle, layout, finish, or presentation.</x:v>
      </x:c>
      <x:c r="D5" s="10" t="str">
        <x:v>Use when the difference is meaningful.</x:v>
      </x:c>
    </x:row>
    <x:row r="6">
      <x:c r="A6" t="str">
        <x:v>Alternate Color</x:v>
      </x:c>
      <x:c r="B6" t="str">
        <x:v>alternate-color</x:v>
      </x:c>
      <x:c r="C6" s="10" t="str">
        <x:v>Same design shown in another offered color.</x:v>
      </x:c>
      <x:c r="D6" s="10" t="str">
        <x:v>Do not imply a color is available unless MB1 offers it.</x:v>
      </x:c>
    </x:row>
    <x:row r="7">
      <x:c r="A7" t="str">
        <x:v>Installed</x:v>
      </x:c>
      <x:c r="B7" t="str">
        <x:v>installed</x:v>
      </x:c>
      <x:c r="C7" s="10" t="str">
        <x:v>Finished sign mounted in its intended location.</x:v>
      </x:c>
      <x:c r="D7" s="10" t="str">
        <x:v>Excellent for business signs and outdoor pieces.</x:v>
      </x:c>
    </x:row>
    <x:row r="8">
      <x:c r="A8" t="str">
        <x:v>Packaging</x:v>
      </x:c>
      <x:c r="B8" t="str">
        <x:v>packaging</x:v>
      </x:c>
      <x:c r="C8" s="10" t="str">
        <x:v>Packaging or ready-to-ship presentation.</x:v>
      </x:c>
      <x:c r="D8" s="10" t="str">
        <x:v>Optional; useful for larger or premium products.</x:v>
      </x:c>
    </x:row>
    <x:row r="9">
      <x:c r="A9" t="str">
        <x:v>Other</x:v>
      </x:c>
      <x:c r="B9" t="str">
        <x:v>other</x:v>
      </x:c>
      <x:c r="C9" s="10" t="str">
        <x:v>Any useful product-specific photo not covered above.</x:v>
      </x:c>
      <x:c r="D9" s="10" t="str">
        <x:v>Describe it in Review Notes.</x:v>
      </x:c>
    </x:row>
    <x:row r="12">
      <x:c r="A12" s="5" t="str">
        <x:v>Recommended Cloudinary Naming Convention</x:v>
      </x:c>
      <x:c r="B12" s="5"/>
      <x:c r="C12" s="5"/>
      <x:c r="D12" s="5"/>
    </x:row>
    <x:row r="13">
      <x:c r="A13" s="10" t="str">
        <x:v>Photo 1</x:v>
      </x:c>
      <x:c r="B13" s="10" t="str">
        <x:v>0037_01_main.jpg</x:v>
      </x:c>
      <x:c r="C13" s="10" t="str">
        <x:v>Existing/current primary image</x:v>
      </x:c>
      <x:c r="D13" s="10" t="str"/>
    </x:row>
    <x:row r="14">
      <x:c r="A14" s="10" t="str">
        <x:v>Photo 2</x:v>
      </x:c>
      <x:c r="B14" s="10" t="str">
        <x:v>0037_02_lifestyle.jpg</x:v>
      </x:c>
      <x:c r="C14" s="10" t="str">
        <x:v>Lifestyle example</x:v>
      </x:c>
      <x:c r="D14" s="10" t="str"/>
    </x:row>
    <x:row r="15">
      <x:c r="A15" s="10" t="str">
        <x:v>Photo 3</x:v>
      </x:c>
      <x:c r="B15" s="10" t="str">
        <x:v>0037_03_detail.jpg</x:v>
      </x:c>
      <x:c r="C15" s="10" t="str">
        <x:v>Detail example</x:v>
      </x:c>
      <x:c r="D15" s="10" t="str"/>
    </x:row>
    <x:row r="16">
      <x:c r="A16" s="10" t="str">
        <x:v>Photo 4</x:v>
      </x:c>
      <x:c r="B16" s="10" t="str">
        <x:v>0037_04_scale.jpg</x:v>
      </x:c>
      <x:c r="C16" s="10" t="str">
        <x:v>Scale example</x:v>
      </x:c>
      <x:c r="D16" s="10" t="str"/>
    </x:row>
    <x:row r="17">
      <x:c r="A17" s="10" t="str">
        <x:v>Photo 5</x:v>
      </x:c>
      <x:c r="B17" s="10" t="str">
        <x:v>0037_05_alternate.jpg</x:v>
      </x:c>
      <x:c r="C17" s="10" t="str">
        <x:v>Alternate example</x:v>
      </x:c>
      <x:c r="D17" s="10" t="str"/>
    </x:row>
    <x:row r="18">
      <x:c r="A18" s="10" t="str">
        <x:v>Rule</x:v>
      </x:c>
      <x:c r="B18" s="10" t="str">
        <x:v>####_##_type.ext</x:v>
      </x:c>
      <x:c r="C18" s="10" t="str">
        <x:v>The first four digits must match the MB1 design number.</x:v>
      </x:c>
      <x:c r="D18" s="10" t="str">
        <x:v>This lets us automate image-to-product matching later.</x:v>
      </x:c>
    </x:row>
  </x:sheetData>
  <x:mergeCells>
    <x:mergeCell ref="A12:D12"/>
  </x:mergeCells>
  <x:pageMargins left="0.7" right="0.7" top="0.75" bottom="0.75" header="0.3" footer="0.3"/>
  <x:tableParts count="1">
    <x:tablePart xmlns:r="http://schemas.openxmlformats.org/officeDocument/2006/relationships" r:id="Rb6381d8a7b3b4738"/>
  </x:tableParts>
</x:worksheet>
</file>

<file path=xl/worksheets/sheet3.xml><?xml version="1.0" encoding="utf-8"?>
<x:worksheet xmlns:x="http://schemas.openxmlformats.org/spreadsheetml/2006/main">
  <x:sheetFormatPr defaultRowHeight="15"/>
  <x:cols>
    <x:col min="1" max="1" width="32" hidden="0" customWidth="1"/>
    <x:col min="2" max="2" width="18" hidden="0" customWidth="1"/>
  </x:cols>
  <x:sheetData>
    <x:row r="1" ht="36" customHeight="1">
      <x:c r="A1" s="20" t="str">
        <x:v>MB1 Advanced Solutions — V18 Multi-Photo Gallery</x:v>
      </x:c>
      <x:c r="B1" s="20"/>
      <x:c r="C1" s="20"/>
      <x:c r="D1" s="20"/>
      <x:c r="E1" s="20"/>
      <x:c r="F1" s="20"/>
      <x:c r="G1" s="20"/>
      <x:c r="H1" s="20"/>
    </x:row>
    <x:row r="3">
      <x:c r="A3" s="28" t="str">
        <x:v>Total Products</x:v>
      </x:c>
      <x:c r="B3" s="28" t="str"/>
      <x:c r="C3" s="28" t="str">
        <x:v>Main-Only Products</x:v>
      </x:c>
      <x:c r="D3" s="28" t="str"/>
      <x:c r="E3" s="28" t="str">
        <x:v>Multi-Photo Products</x:v>
      </x:c>
      <x:c r="F3" s="28" t="str"/>
      <x:c r="G3" s="28" t="str">
        <x:v>Missing Main Photo</x:v>
      </x:c>
      <x:c r="H3" s="28" t="str"/>
    </x:row>
    <x:row r="4">
      <x:c r="A4" s="29" t="str"/>
      <x:c r="B4" s="29" t="n">
        <x:f>COUNTA('Photo Management'!A2:A1398)</x:f>
        <x:v>1397</x:v>
      </x:c>
      <x:c r="C4" s="29" t="str"/>
      <x:c r="D4" s="29" t="n">
        <x:f>COUNTIF('Photo Management'!O2:O1398,"MAIN ONLY")</x:f>
        <x:v>1397</x:v>
      </x:c>
      <x:c r="E4" s="29" t="str"/>
      <x:c r="F4" s="29" t="n">
        <x:f>COUNTIF('Photo Management'!O2:O1398,"MULTI-PHOTO")</x:f>
        <x:v>0</x:v>
      </x:c>
      <x:c r="G4" s="29" t="str"/>
      <x:c r="H4" s="29" t="n">
        <x:f>COUNTIF('Photo Management'!O2:O1398,"MISSING MAIN")</x:f>
        <x:v>0</x:v>
      </x:c>
    </x:row>
    <x:row r="7">
      <x:c r="A7" s="34" t="str">
        <x:v>Metric</x:v>
      </x:c>
      <x:c r="B7" s="34" t="str">
        <x:v>Value</x:v>
      </x:c>
      <x:c r="D7" s="10" t="str">
        <x:v>Gallery Status</x:v>
      </x:c>
      <x:c r="E7" s="10" t="str">
        <x:v>Products</x:v>
      </x:c>
    </x:row>
    <x:row r="8">
      <x:c r="A8" s="10" t="str">
        <x:v>Total Product Photos</x:v>
      </x:c>
      <x:c r="B8" s="10" t="n">
        <x:f>SUM('Photo Management'!N2:N1398)</x:f>
        <x:v>1397</x:v>
      </x:c>
      <x:c r="D8" s="10" t="str">
        <x:v>Main Only</x:v>
      </x:c>
      <x:c r="E8" s="10" t="n">
        <x:f>D4</x:f>
        <x:v>1397</x:v>
      </x:c>
    </x:row>
    <x:row r="9">
      <x:c r="A9" s="10" t="str">
        <x:v>Average Photos per Product</x:v>
      </x:c>
      <x:c r="B9" s="35" t="n">
        <x:f>IF(B4=0,0,B8/B4)</x:f>
        <x:v>1</x:v>
      </x:c>
      <x:c r="D9" s="10" t="str">
        <x:v>Multi-Photo</x:v>
      </x:c>
      <x:c r="E9" s="10" t="n">
        <x:f>F4</x:f>
        <x:v>0</x:v>
      </x:c>
    </x:row>
    <x:row r="10">
      <x:c r="A10" s="10" t="str">
        <x:v>Products with 2+ Photos</x:v>
      </x:c>
      <x:c r="B10" s="10" t="n">
        <x:f>COUNTIF('Photo Management'!N2:N1398,"&gt;=2")</x:f>
        <x:v>0</x:v>
      </x:c>
      <x:c r="D10" s="10" t="str">
        <x:v>Missing Main</x:v>
      </x:c>
      <x:c r="E10" s="10" t="n">
        <x:f>H4</x:f>
        <x:v>0</x:v>
      </x:c>
    </x:row>
    <x:row r="11">
      <x:c r="A11" s="10" t="str">
        <x:v>Maximum Supported per Product</x:v>
      </x:c>
      <x:c r="B11" s="10" t="n">
        <x:v>5</x:v>
      </x:c>
    </x:row>
    <x:row r="12">
      <x:c r="A12" s="10" t="str">
        <x:v>Current Catalog Version</x:v>
      </x:c>
      <x:c r="B12" s="10" t="str">
        <x:v>V18</x:v>
      </x:c>
    </x:row>
    <x:row r="15">
      <x:c r="A15" s="5" t="str">
        <x:v>V18 Workflow</x:v>
      </x:c>
      <x:c r="B15" s="5"/>
    </x:row>
    <x:row r="16">
      <x:c r="A16" s="14" t="str">
        <x:v>1. Keep the existing Main Photo URL.
2. Upload extra photos to Cloudinary.
3. Use filenames beginning with the four-digit design number.
4. Paste each Cloudinary delivery URL into Photo 2–5 URL.
5. Choose the matching Photo Type from the dropdown.
6. Return this workbook when you want the website JSON regenerated.
The live catalog automatically hides gallery controls for products with only one photo.</x:v>
      </x:c>
      <x:c r="B16" s="14"/>
    </x:row>
    <x:row r="17">
      <x:c r="A17" s="14"/>
      <x:c r="B17" s="14"/>
    </x:row>
    <x:row r="18">
      <x:c r="A18" s="14"/>
      <x:c r="B18" s="14"/>
    </x:row>
    <x:row r="19">
      <x:c r="A19" s="14"/>
      <x:c r="B19" s="14"/>
    </x:row>
    <x:row r="20">
      <x:c r="A20" s="14"/>
      <x:c r="B20" s="14"/>
    </x:row>
    <x:row r="21">
      <x:c r="A21" s="14"/>
      <x:c r="B21" s="14"/>
    </x:row>
    <x:row r="22">
      <x:c r="A22" s="14"/>
      <x:c r="B22" s="14"/>
    </x:row>
    <x:row r="23">
      <x:c r="A23" s="14"/>
      <x:c r="B23" s="14"/>
    </x:row>
  </x:sheetData>
  <x:mergeCells>
    <x:mergeCell ref="A1:H1"/>
    <x:mergeCell ref="A15:B15"/>
    <x:mergeCell ref="A16:B23"/>
  </x:mergeCells>
  <x:pageMargins left="0.7" right="0.7" top="0.75" bottom="0.75" header="0.3" footer="0.3"/>
  <x:drawing xmlns:r="http://schemas.openxmlformats.org/officeDocument/2006/relationships" r:id="R29bf91454f4b4b7e"/>
  <x:tableParts count="1">
    <x:tablePart xmlns:r="http://schemas.openxmlformats.org/officeDocument/2006/relationships" r:id="Rbbd74186602f4122"/>
  </x:tableParts>
</x:worksheet>
</file>